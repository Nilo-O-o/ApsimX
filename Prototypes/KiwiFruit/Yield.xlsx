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EE301054-BAB1-4E73-952D-6F8B909985F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FruitFW" sheetId="1" r:id="rId1"/>
    <sheet name="FruitDMg" sheetId="3" r:id="rId2"/>
    <sheet name="FruitDMP" sheetId="4" r:id="rId3"/>
  </sheets>
  <definedNames>
    <definedName name="_xlnm._FilterDatabase" localSheetId="1" hidden="1">FruitDMg!$B$1:$B$613</definedName>
    <definedName name="_xlnm._FilterDatabase" localSheetId="2" hidden="1">FruitDMP!$F$614:$F$1224</definedName>
    <definedName name="_xlnm._FilterDatabase" localSheetId="0" hidden="1">FruitFW!$B$1:$B$612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7" i="4" l="1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<sst xmlns="http://schemas.openxmlformats.org/spreadsheetml/2006/main" count="7353" uniqueCount="27">
  <si>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</si>
  <si>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</si>
  <si>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</si>
  <si>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</si>
  <si>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</si>
  <si>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</si>
  <si>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</si>
  <si>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KiwiFruit.Fruit.FruitDMg</t>
  </si>
  <si>
    <t>TPHW2016_2024</t>
  </si>
  <si>
    <t>KKHW2020_2024</t>
  </si>
  <si>
    <t>Kerikeri</t>
  </si>
  <si>
    <t>KiwiFruit.Fruit.FruitDMP</t>
  </si>
  <si>
    <t>KiwiFruit.Fruit.FruitFW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</si>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</sst>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24"/>
  <sheetViews>
    <sheetView topLeftCell="A588" zoomScale="55" zoomScaleNormal="55" workbookViewId="0">
      <selection activeCell="A697" sqref="A697:A784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33.140625" customWidth="1"/>
    <col min="7" max="7" width="47.140625" customWidth="1"/>
    <col min="8" max="8" width="2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</v>
      </c>
      <c r="G1" s="1" t="s">
        <v>5</v>
      </c>
    </row>
    <row r="2" spans="1:7" x14ac:dyDescent="0.25">
      <c r="A2" t="s">
        <v>8</v>
      </c>
      <c r="B2" s="2">
        <v>44603</v>
      </c>
      <c r="C2">
        <v>2022</v>
      </c>
      <c r="D2" s="2"/>
      <c r="E2" t="s">
        <v>6</v>
      </c>
      <c r="F2">
        <v>65.7</v>
      </c>
    </row>
    <row r="3" spans="1:7" x14ac:dyDescent="0.25">
      <c r="A3" t="s">
        <v>8</v>
      </c>
      <c r="B3" s="2">
        <v>44608</v>
      </c>
      <c r="C3">
        <v>2022</v>
      </c>
      <c r="E3" t="s">
        <v>6</v>
      </c>
      <c r="F3">
        <v>77</v>
      </c>
    </row>
    <row r="4" spans="1:7" x14ac:dyDescent="0.25">
      <c r="A4" t="s">
        <v>8</v>
      </c>
      <c r="B4" s="2">
        <v>44622</v>
      </c>
      <c r="C4">
        <v>2022</v>
      </c>
      <c r="E4" t="s">
        <v>6</v>
      </c>
      <c r="F4">
        <v>108.9</v>
      </c>
    </row>
    <row r="5" spans="1:7" x14ac:dyDescent="0.25">
      <c r="A5" t="s">
        <v>8</v>
      </c>
      <c r="B5" s="2">
        <v>44636</v>
      </c>
      <c r="C5">
        <v>2022</v>
      </c>
      <c r="E5" t="s">
        <v>6</v>
      </c>
      <c r="F5">
        <v>87.8</v>
      </c>
    </row>
    <row r="6" spans="1:7" x14ac:dyDescent="0.25">
      <c r="A6" t="s">
        <v>8</v>
      </c>
      <c r="B6" s="2">
        <v>44650</v>
      </c>
      <c r="C6">
        <v>2022</v>
      </c>
      <c r="E6" t="s">
        <v>6</v>
      </c>
      <c r="F6">
        <v>92</v>
      </c>
    </row>
    <row r="7" spans="1:7" x14ac:dyDescent="0.25">
      <c r="A7" t="s">
        <v>8</v>
      </c>
      <c r="B7" s="2">
        <v>44664</v>
      </c>
      <c r="C7">
        <v>2022</v>
      </c>
      <c r="E7" t="s">
        <v>6</v>
      </c>
      <c r="F7">
        <v>100</v>
      </c>
    </row>
    <row r="8" spans="1:7" x14ac:dyDescent="0.25">
      <c r="A8" t="s">
        <v>8</v>
      </c>
      <c r="B8" s="2">
        <v>44672</v>
      </c>
      <c r="C8">
        <v>2022</v>
      </c>
      <c r="E8" t="s">
        <v>6</v>
      </c>
      <c r="F8">
        <v>102.7</v>
      </c>
    </row>
    <row r="9" spans="1:7" x14ac:dyDescent="0.25">
      <c r="A9" t="s">
        <v>8</v>
      </c>
      <c r="B9" s="2">
        <v>44680</v>
      </c>
      <c r="C9">
        <v>2022</v>
      </c>
      <c r="E9" t="s">
        <v>6</v>
      </c>
      <c r="F9">
        <v>102.5</v>
      </c>
    </row>
    <row r="10" spans="1:7" x14ac:dyDescent="0.25">
      <c r="A10" t="s">
        <v>8</v>
      </c>
      <c r="B10" s="2">
        <v>44685</v>
      </c>
      <c r="C10">
        <v>2022</v>
      </c>
      <c r="E10" t="s">
        <v>6</v>
      </c>
      <c r="F10">
        <v>105.9</v>
      </c>
    </row>
    <row r="11" spans="1:7" x14ac:dyDescent="0.25">
      <c r="A11" t="s">
        <v>8</v>
      </c>
      <c r="B11" s="2">
        <v>44699</v>
      </c>
      <c r="C11">
        <v>2022</v>
      </c>
      <c r="E11" t="s">
        <v>6</v>
      </c>
      <c r="F11">
        <v>110.1</v>
      </c>
    </row>
    <row r="12" spans="1:7" x14ac:dyDescent="0.25">
      <c r="A12" t="s">
        <v>8</v>
      </c>
      <c r="B12" s="2">
        <v>44713</v>
      </c>
      <c r="C12">
        <v>2022</v>
      </c>
      <c r="E12" t="s">
        <v>6</v>
      </c>
      <c r="F12">
        <v>108.5</v>
      </c>
    </row>
    <row r="13" spans="1:7" x14ac:dyDescent="0.25">
      <c r="A13" t="s">
        <v>8</v>
      </c>
      <c r="B13" s="2">
        <v>44952</v>
      </c>
      <c r="C13">
        <v>2023</v>
      </c>
      <c r="E13" t="s">
        <v>6</v>
      </c>
      <c r="F13">
        <v>67.400000000000006</v>
      </c>
    </row>
    <row r="14" spans="1:7" x14ac:dyDescent="0.25">
      <c r="A14" t="s">
        <v>8</v>
      </c>
      <c r="B14" s="2">
        <v>44973</v>
      </c>
      <c r="C14">
        <v>2023</v>
      </c>
      <c r="E14" t="s">
        <v>6</v>
      </c>
      <c r="F14">
        <v>75.3</v>
      </c>
    </row>
    <row r="15" spans="1:7" x14ac:dyDescent="0.25">
      <c r="A15" t="s">
        <v>8</v>
      </c>
      <c r="B15" s="2">
        <v>44984</v>
      </c>
      <c r="C15">
        <v>2023</v>
      </c>
      <c r="E15" t="s">
        <v>6</v>
      </c>
      <c r="F15">
        <v>83.9</v>
      </c>
    </row>
    <row r="16" spans="1:7" x14ac:dyDescent="0.25">
      <c r="A16" t="s">
        <v>8</v>
      </c>
      <c r="B16" s="2">
        <v>45000</v>
      </c>
      <c r="C16">
        <v>2023</v>
      </c>
      <c r="E16" t="s">
        <v>6</v>
      </c>
      <c r="F16">
        <v>94.4</v>
      </c>
    </row>
    <row r="17" spans="1:6" x14ac:dyDescent="0.25">
      <c r="A17" t="s">
        <v>8</v>
      </c>
      <c r="B17" s="2">
        <v>45015</v>
      </c>
      <c r="C17">
        <v>2023</v>
      </c>
      <c r="E17" t="s">
        <v>6</v>
      </c>
      <c r="F17">
        <v>100.6</v>
      </c>
    </row>
    <row r="18" spans="1:6" x14ac:dyDescent="0.25">
      <c r="A18" t="s">
        <v>8</v>
      </c>
      <c r="B18" s="2">
        <v>45029</v>
      </c>
      <c r="C18">
        <v>2023</v>
      </c>
      <c r="E18" t="s">
        <v>6</v>
      </c>
      <c r="F18">
        <v>103</v>
      </c>
    </row>
    <row r="19" spans="1:6" x14ac:dyDescent="0.25">
      <c r="A19" t="s">
        <v>8</v>
      </c>
      <c r="B19" s="2">
        <v>45041</v>
      </c>
      <c r="C19">
        <v>2023</v>
      </c>
      <c r="E19" t="s">
        <v>6</v>
      </c>
      <c r="F19">
        <v>110.6</v>
      </c>
    </row>
    <row r="20" spans="1:6" x14ac:dyDescent="0.25">
      <c r="A20" t="s">
        <v>8</v>
      </c>
      <c r="B20" s="2">
        <v>45049</v>
      </c>
      <c r="C20">
        <v>2023</v>
      </c>
      <c r="E20" t="s">
        <v>6</v>
      </c>
      <c r="F20">
        <v>114.6</v>
      </c>
    </row>
    <row r="21" spans="1:6" x14ac:dyDescent="0.25">
      <c r="A21" t="s">
        <v>8</v>
      </c>
      <c r="B21" s="2">
        <v>45062</v>
      </c>
      <c r="C21">
        <v>2023</v>
      </c>
      <c r="E21" t="s">
        <v>6</v>
      </c>
      <c r="F21">
        <v>116.7</v>
      </c>
    </row>
    <row r="22" spans="1:6" x14ac:dyDescent="0.25">
      <c r="A22" t="s">
        <v>8</v>
      </c>
      <c r="B22" s="2">
        <v>45076</v>
      </c>
      <c r="C22">
        <v>2023</v>
      </c>
      <c r="E22" t="s">
        <v>6</v>
      </c>
      <c r="F22">
        <v>118.8</v>
      </c>
    </row>
    <row r="23" spans="1:6" x14ac:dyDescent="0.25">
      <c r="A23" t="s">
        <v>8</v>
      </c>
      <c r="B23" s="2">
        <v>45083</v>
      </c>
      <c r="C23">
        <v>2023</v>
      </c>
      <c r="E23" t="s">
        <v>6</v>
      </c>
      <c r="F23">
        <v>114.3</v>
      </c>
    </row>
    <row r="24" spans="1:6" x14ac:dyDescent="0.25">
      <c r="A24" t="s">
        <v>8</v>
      </c>
      <c r="B24" s="2">
        <v>45316</v>
      </c>
      <c r="C24">
        <v>2024</v>
      </c>
      <c r="E24" t="s">
        <v>6</v>
      </c>
      <c r="F24">
        <v>58</v>
      </c>
    </row>
    <row r="25" spans="1:6" x14ac:dyDescent="0.25">
      <c r="A25" t="s">
        <v>8</v>
      </c>
      <c r="B25" s="2">
        <v>45337</v>
      </c>
      <c r="C25">
        <v>2024</v>
      </c>
      <c r="E25" t="s">
        <v>6</v>
      </c>
      <c r="F25">
        <v>70.2</v>
      </c>
    </row>
    <row r="26" spans="1:6" x14ac:dyDescent="0.25">
      <c r="A26" t="s">
        <v>8</v>
      </c>
      <c r="B26" s="2">
        <v>45350</v>
      </c>
      <c r="C26">
        <v>2024</v>
      </c>
      <c r="E26" t="s">
        <v>6</v>
      </c>
      <c r="F26">
        <v>77.8</v>
      </c>
    </row>
    <row r="27" spans="1:6" x14ac:dyDescent="0.25">
      <c r="A27" t="s">
        <v>8</v>
      </c>
      <c r="B27" s="2">
        <v>45364</v>
      </c>
      <c r="C27">
        <v>2024</v>
      </c>
      <c r="E27" t="s">
        <v>6</v>
      </c>
      <c r="F27">
        <v>83.2</v>
      </c>
    </row>
    <row r="28" spans="1:6" x14ac:dyDescent="0.25">
      <c r="A28" t="s">
        <v>8</v>
      </c>
      <c r="B28" s="2">
        <v>45378</v>
      </c>
      <c r="C28">
        <v>2024</v>
      </c>
      <c r="E28" t="s">
        <v>6</v>
      </c>
      <c r="F28">
        <v>87</v>
      </c>
    </row>
    <row r="29" spans="1:6" x14ac:dyDescent="0.25">
      <c r="A29" t="s">
        <v>8</v>
      </c>
      <c r="B29" s="2">
        <v>45390</v>
      </c>
      <c r="C29">
        <v>2024</v>
      </c>
      <c r="E29" t="s">
        <v>6</v>
      </c>
      <c r="F29">
        <v>83.7</v>
      </c>
    </row>
    <row r="30" spans="1:6" x14ac:dyDescent="0.25">
      <c r="A30" t="s">
        <v>8</v>
      </c>
      <c r="B30" s="2">
        <v>45404</v>
      </c>
      <c r="C30">
        <v>2024</v>
      </c>
      <c r="E30" t="s">
        <v>6</v>
      </c>
      <c r="F30">
        <v>87</v>
      </c>
    </row>
    <row r="31" spans="1:6" x14ac:dyDescent="0.25">
      <c r="A31" t="s">
        <v>8</v>
      </c>
      <c r="B31" s="2">
        <v>45414</v>
      </c>
      <c r="C31">
        <v>2024</v>
      </c>
      <c r="E31" t="s">
        <v>6</v>
      </c>
      <c r="F31">
        <v>93</v>
      </c>
    </row>
    <row r="32" spans="1:6" x14ac:dyDescent="0.25">
      <c r="A32" t="s">
        <v>8</v>
      </c>
      <c r="B32" s="2">
        <v>45425</v>
      </c>
      <c r="C32">
        <v>2024</v>
      </c>
      <c r="E32" t="s">
        <v>6</v>
      </c>
      <c r="F32">
        <v>91</v>
      </c>
    </row>
    <row r="33" spans="1:6" x14ac:dyDescent="0.25">
      <c r="A33" t="s">
        <v>8</v>
      </c>
      <c r="B33" s="2">
        <v>45439</v>
      </c>
      <c r="C33">
        <v>2024</v>
      </c>
      <c r="E33" t="s">
        <v>6</v>
      </c>
      <c r="F33">
        <v>98.4</v>
      </c>
    </row>
    <row r="34" spans="1:6" x14ac:dyDescent="0.25">
      <c r="A34" t="s">
        <v>8</v>
      </c>
      <c r="B34" s="2">
        <v>45454</v>
      </c>
      <c r="C34">
        <v>2024</v>
      </c>
      <c r="E34" t="s">
        <v>6</v>
      </c>
      <c r="F34">
        <v>84.8</v>
      </c>
    </row>
    <row r="35" spans="1:6" x14ac:dyDescent="0.25">
      <c r="A35" t="s">
        <v>8</v>
      </c>
      <c r="B35" s="2">
        <v>44595</v>
      </c>
      <c r="C35">
        <v>2022</v>
      </c>
      <c r="E35" t="s">
        <v>6</v>
      </c>
      <c r="F35">
        <v>82.8</v>
      </c>
    </row>
    <row r="36" spans="1:6" x14ac:dyDescent="0.25">
      <c r="A36" t="s">
        <v>8</v>
      </c>
      <c r="B36" s="2">
        <v>44608</v>
      </c>
      <c r="C36">
        <v>2022</v>
      </c>
      <c r="E36" t="s">
        <v>6</v>
      </c>
      <c r="F36">
        <v>96.5</v>
      </c>
    </row>
    <row r="37" spans="1:6" x14ac:dyDescent="0.25">
      <c r="A37" t="s">
        <v>8</v>
      </c>
      <c r="B37" s="2">
        <v>44622</v>
      </c>
      <c r="C37">
        <v>2022</v>
      </c>
      <c r="E37" t="s">
        <v>6</v>
      </c>
      <c r="F37">
        <v>109</v>
      </c>
    </row>
    <row r="38" spans="1:6" x14ac:dyDescent="0.25">
      <c r="A38" t="s">
        <v>8</v>
      </c>
      <c r="B38" s="2">
        <v>44636</v>
      </c>
      <c r="C38">
        <v>2022</v>
      </c>
      <c r="E38" t="s">
        <v>6</v>
      </c>
      <c r="F38">
        <v>118.6</v>
      </c>
    </row>
    <row r="39" spans="1:6" x14ac:dyDescent="0.25">
      <c r="A39" t="s">
        <v>8</v>
      </c>
      <c r="B39" s="2">
        <v>44650</v>
      </c>
      <c r="C39">
        <v>2022</v>
      </c>
      <c r="E39" t="s">
        <v>6</v>
      </c>
      <c r="F39">
        <v>122</v>
      </c>
    </row>
    <row r="40" spans="1:6" x14ac:dyDescent="0.25">
      <c r="A40" t="s">
        <v>8</v>
      </c>
      <c r="B40" s="2">
        <v>44664</v>
      </c>
      <c r="C40">
        <v>2022</v>
      </c>
      <c r="E40" t="s">
        <v>6</v>
      </c>
      <c r="F40">
        <v>130.69999999999999</v>
      </c>
    </row>
    <row r="41" spans="1:6" x14ac:dyDescent="0.25">
      <c r="A41" t="s">
        <v>8</v>
      </c>
      <c r="B41" s="2">
        <v>44672</v>
      </c>
      <c r="C41">
        <v>2022</v>
      </c>
      <c r="E41" t="s">
        <v>6</v>
      </c>
      <c r="F41">
        <v>130.80000000000001</v>
      </c>
    </row>
    <row r="42" spans="1:6" x14ac:dyDescent="0.25">
      <c r="A42" t="s">
        <v>8</v>
      </c>
      <c r="B42" s="2">
        <v>44680</v>
      </c>
      <c r="C42">
        <v>2022</v>
      </c>
      <c r="E42" t="s">
        <v>6</v>
      </c>
      <c r="F42">
        <v>131.6</v>
      </c>
    </row>
    <row r="43" spans="1:6" x14ac:dyDescent="0.25">
      <c r="A43" t="s">
        <v>8</v>
      </c>
      <c r="B43" s="2">
        <v>44685</v>
      </c>
      <c r="C43">
        <v>2022</v>
      </c>
      <c r="E43" t="s">
        <v>6</v>
      </c>
      <c r="F43">
        <v>134.6</v>
      </c>
    </row>
    <row r="44" spans="1:6" x14ac:dyDescent="0.25">
      <c r="A44" t="s">
        <v>8</v>
      </c>
      <c r="B44" s="2">
        <v>44699</v>
      </c>
      <c r="C44">
        <v>2022</v>
      </c>
      <c r="E44" t="s">
        <v>6</v>
      </c>
      <c r="F44">
        <v>134.80000000000001</v>
      </c>
    </row>
    <row r="45" spans="1:6" x14ac:dyDescent="0.25">
      <c r="A45" t="s">
        <v>8</v>
      </c>
      <c r="B45" s="2">
        <v>44713</v>
      </c>
      <c r="C45">
        <v>2022</v>
      </c>
      <c r="E45" t="s">
        <v>6</v>
      </c>
      <c r="F45">
        <v>134.30000000000001</v>
      </c>
    </row>
    <row r="46" spans="1:6" x14ac:dyDescent="0.25">
      <c r="A46" t="s">
        <v>8</v>
      </c>
      <c r="B46" s="2">
        <v>44952</v>
      </c>
      <c r="C46">
        <v>2023</v>
      </c>
      <c r="E46" t="s">
        <v>6</v>
      </c>
      <c r="F46">
        <v>80</v>
      </c>
    </row>
    <row r="47" spans="1:6" x14ac:dyDescent="0.25">
      <c r="A47" t="s">
        <v>8</v>
      </c>
      <c r="B47" s="2">
        <v>44974</v>
      </c>
      <c r="C47">
        <v>2023</v>
      </c>
      <c r="E47" t="s">
        <v>6</v>
      </c>
      <c r="F47">
        <v>90.7</v>
      </c>
    </row>
    <row r="48" spans="1:6" x14ac:dyDescent="0.25">
      <c r="A48" t="s">
        <v>8</v>
      </c>
      <c r="B48" s="2">
        <v>44984</v>
      </c>
      <c r="C48">
        <v>2023</v>
      </c>
      <c r="E48" t="s">
        <v>6</v>
      </c>
      <c r="F48">
        <v>104.6</v>
      </c>
    </row>
    <row r="49" spans="1:6" x14ac:dyDescent="0.25">
      <c r="A49" t="s">
        <v>8</v>
      </c>
      <c r="B49" s="2">
        <v>45000</v>
      </c>
      <c r="C49">
        <v>2023</v>
      </c>
      <c r="E49" t="s">
        <v>6</v>
      </c>
      <c r="F49">
        <v>119.5</v>
      </c>
    </row>
    <row r="50" spans="1:6" x14ac:dyDescent="0.25">
      <c r="A50" t="s">
        <v>8</v>
      </c>
      <c r="B50" s="2">
        <v>45015</v>
      </c>
      <c r="C50">
        <v>2023</v>
      </c>
      <c r="E50" t="s">
        <v>6</v>
      </c>
      <c r="F50">
        <v>129.5</v>
      </c>
    </row>
    <row r="51" spans="1:6" x14ac:dyDescent="0.25">
      <c r="A51" t="s">
        <v>8</v>
      </c>
      <c r="B51" s="2">
        <v>45029</v>
      </c>
      <c r="C51">
        <v>2023</v>
      </c>
      <c r="E51" t="s">
        <v>6</v>
      </c>
      <c r="F51">
        <v>136.80000000000001</v>
      </c>
    </row>
    <row r="52" spans="1:6" x14ac:dyDescent="0.25">
      <c r="A52" t="s">
        <v>8</v>
      </c>
      <c r="B52" s="2">
        <v>45041</v>
      </c>
      <c r="C52">
        <v>2023</v>
      </c>
      <c r="E52" t="s">
        <v>6</v>
      </c>
      <c r="F52">
        <v>135.19999999999999</v>
      </c>
    </row>
    <row r="53" spans="1:6" x14ac:dyDescent="0.25">
      <c r="A53" t="s">
        <v>8</v>
      </c>
      <c r="B53" s="2">
        <v>45049</v>
      </c>
      <c r="C53">
        <v>2023</v>
      </c>
      <c r="E53" t="s">
        <v>6</v>
      </c>
      <c r="F53">
        <v>141.4</v>
      </c>
    </row>
    <row r="54" spans="1:6" x14ac:dyDescent="0.25">
      <c r="A54" t="s">
        <v>8</v>
      </c>
      <c r="B54" s="2">
        <v>45062</v>
      </c>
      <c r="C54">
        <v>2023</v>
      </c>
      <c r="E54" t="s">
        <v>6</v>
      </c>
      <c r="F54">
        <v>140.5</v>
      </c>
    </row>
    <row r="55" spans="1:6" x14ac:dyDescent="0.25">
      <c r="A55" t="s">
        <v>8</v>
      </c>
      <c r="B55" s="2">
        <v>45077</v>
      </c>
      <c r="C55">
        <v>2023</v>
      </c>
      <c r="E55" t="s">
        <v>6</v>
      </c>
      <c r="F55">
        <v>142.80000000000001</v>
      </c>
    </row>
    <row r="56" spans="1:6" x14ac:dyDescent="0.25">
      <c r="A56" t="s">
        <v>8</v>
      </c>
      <c r="B56" s="2">
        <v>45083</v>
      </c>
      <c r="C56">
        <v>2023</v>
      </c>
      <c r="E56" t="s">
        <v>6</v>
      </c>
      <c r="F56">
        <v>131</v>
      </c>
    </row>
    <row r="57" spans="1:6" x14ac:dyDescent="0.25">
      <c r="A57" t="s">
        <v>8</v>
      </c>
      <c r="B57" s="2">
        <v>44595</v>
      </c>
      <c r="C57">
        <v>2022</v>
      </c>
      <c r="D57" s="2"/>
      <c r="E57" t="s">
        <v>6</v>
      </c>
      <c r="F57">
        <v>73.099999999999994</v>
      </c>
    </row>
    <row r="58" spans="1:6" x14ac:dyDescent="0.25">
      <c r="A58" t="s">
        <v>8</v>
      </c>
      <c r="B58" s="2">
        <v>44608</v>
      </c>
      <c r="C58">
        <v>2022</v>
      </c>
      <c r="E58" t="s">
        <v>6</v>
      </c>
      <c r="F58">
        <v>85.9</v>
      </c>
    </row>
    <row r="59" spans="1:6" x14ac:dyDescent="0.25">
      <c r="A59" t="s">
        <v>8</v>
      </c>
      <c r="B59" s="2">
        <v>44622</v>
      </c>
      <c r="C59">
        <v>2022</v>
      </c>
      <c r="E59" t="s">
        <v>6</v>
      </c>
      <c r="F59">
        <v>91</v>
      </c>
    </row>
    <row r="60" spans="1:6" x14ac:dyDescent="0.25">
      <c r="A60" t="s">
        <v>8</v>
      </c>
      <c r="B60" s="2">
        <v>44636</v>
      </c>
      <c r="C60">
        <v>2022</v>
      </c>
      <c r="E60" t="s">
        <v>6</v>
      </c>
      <c r="F60">
        <v>102.2</v>
      </c>
    </row>
    <row r="61" spans="1:6" x14ac:dyDescent="0.25">
      <c r="A61" t="s">
        <v>8</v>
      </c>
      <c r="B61" s="2">
        <v>44650</v>
      </c>
      <c r="C61">
        <v>2022</v>
      </c>
      <c r="E61" t="s">
        <v>6</v>
      </c>
      <c r="F61">
        <v>107.1</v>
      </c>
    </row>
    <row r="62" spans="1:6" x14ac:dyDescent="0.25">
      <c r="A62" t="s">
        <v>8</v>
      </c>
      <c r="B62" s="2">
        <v>44664</v>
      </c>
      <c r="C62">
        <v>2022</v>
      </c>
      <c r="E62" t="s">
        <v>6</v>
      </c>
      <c r="F62">
        <v>113.7</v>
      </c>
    </row>
    <row r="63" spans="1:6" x14ac:dyDescent="0.25">
      <c r="A63" t="s">
        <v>8</v>
      </c>
      <c r="B63" s="2">
        <v>44673</v>
      </c>
      <c r="C63">
        <v>2022</v>
      </c>
      <c r="E63" t="s">
        <v>6</v>
      </c>
      <c r="F63">
        <v>111.4</v>
      </c>
    </row>
    <row r="64" spans="1:6" x14ac:dyDescent="0.25">
      <c r="A64" t="s">
        <v>8</v>
      </c>
      <c r="B64" s="2">
        <v>44680</v>
      </c>
      <c r="C64">
        <v>2022</v>
      </c>
      <c r="E64" t="s">
        <v>6</v>
      </c>
      <c r="F64">
        <v>118.6</v>
      </c>
    </row>
    <row r="65" spans="1:6" x14ac:dyDescent="0.25">
      <c r="A65" t="s">
        <v>8</v>
      </c>
      <c r="B65" s="2">
        <v>44685</v>
      </c>
      <c r="C65">
        <v>2022</v>
      </c>
      <c r="E65" t="s">
        <v>6</v>
      </c>
      <c r="F65">
        <v>120.7</v>
      </c>
    </row>
    <row r="66" spans="1:6" x14ac:dyDescent="0.25">
      <c r="A66" t="s">
        <v>8</v>
      </c>
      <c r="B66" s="2">
        <v>44699</v>
      </c>
      <c r="C66">
        <v>2022</v>
      </c>
      <c r="E66" t="s">
        <v>6</v>
      </c>
      <c r="F66">
        <v>127</v>
      </c>
    </row>
    <row r="67" spans="1:6" x14ac:dyDescent="0.25">
      <c r="A67" t="s">
        <v>8</v>
      </c>
      <c r="B67" s="2">
        <v>44713</v>
      </c>
      <c r="C67">
        <v>2022</v>
      </c>
      <c r="E67" t="s">
        <v>6</v>
      </c>
      <c r="F67">
        <v>126.8</v>
      </c>
    </row>
    <row r="68" spans="1:6" x14ac:dyDescent="0.25">
      <c r="A68" t="s">
        <v>8</v>
      </c>
      <c r="B68" s="2">
        <v>44952</v>
      </c>
      <c r="C68">
        <v>2023</v>
      </c>
      <c r="E68" t="s">
        <v>6</v>
      </c>
      <c r="F68">
        <v>75.400000000000006</v>
      </c>
    </row>
    <row r="69" spans="1:6" x14ac:dyDescent="0.25">
      <c r="A69" t="s">
        <v>8</v>
      </c>
      <c r="B69" s="2">
        <v>44973</v>
      </c>
      <c r="C69">
        <v>2023</v>
      </c>
      <c r="E69" t="s">
        <v>6</v>
      </c>
      <c r="F69">
        <v>86.8</v>
      </c>
    </row>
    <row r="70" spans="1:6" x14ac:dyDescent="0.25">
      <c r="A70" t="s">
        <v>8</v>
      </c>
      <c r="B70" s="2">
        <v>44987</v>
      </c>
      <c r="C70">
        <v>2023</v>
      </c>
      <c r="E70" t="s">
        <v>6</v>
      </c>
      <c r="F70">
        <v>93.7</v>
      </c>
    </row>
    <row r="71" spans="1:6" x14ac:dyDescent="0.25">
      <c r="A71" t="s">
        <v>8</v>
      </c>
      <c r="B71" s="2">
        <v>45001</v>
      </c>
      <c r="C71">
        <v>2023</v>
      </c>
      <c r="E71" t="s">
        <v>6</v>
      </c>
      <c r="F71">
        <v>104.6</v>
      </c>
    </row>
    <row r="72" spans="1:6" x14ac:dyDescent="0.25">
      <c r="A72" t="s">
        <v>8</v>
      </c>
      <c r="B72" s="2">
        <v>45014</v>
      </c>
      <c r="C72">
        <v>2023</v>
      </c>
      <c r="E72" t="s">
        <v>6</v>
      </c>
      <c r="F72">
        <v>114.6</v>
      </c>
    </row>
    <row r="73" spans="1:6" x14ac:dyDescent="0.25">
      <c r="A73" t="s">
        <v>8</v>
      </c>
      <c r="B73" s="2">
        <v>45029</v>
      </c>
      <c r="C73">
        <v>2023</v>
      </c>
      <c r="E73" t="s">
        <v>6</v>
      </c>
      <c r="F73">
        <v>128.6</v>
      </c>
    </row>
    <row r="74" spans="1:6" x14ac:dyDescent="0.25">
      <c r="A74" t="s">
        <v>8</v>
      </c>
      <c r="B74" s="2">
        <v>45041</v>
      </c>
      <c r="C74">
        <v>2023</v>
      </c>
      <c r="E74" t="s">
        <v>6</v>
      </c>
      <c r="F74">
        <v>129.6</v>
      </c>
    </row>
    <row r="75" spans="1:6" x14ac:dyDescent="0.25">
      <c r="A75" t="s">
        <v>8</v>
      </c>
      <c r="B75" s="2">
        <v>45049</v>
      </c>
      <c r="C75">
        <v>2023</v>
      </c>
      <c r="E75" t="s">
        <v>6</v>
      </c>
      <c r="F75">
        <v>138.69999999999999</v>
      </c>
    </row>
    <row r="76" spans="1:6" x14ac:dyDescent="0.25">
      <c r="A76" t="s">
        <v>8</v>
      </c>
      <c r="B76" s="2">
        <v>45062</v>
      </c>
      <c r="C76">
        <v>2023</v>
      </c>
      <c r="E76" t="s">
        <v>6</v>
      </c>
      <c r="F76">
        <v>136.9</v>
      </c>
    </row>
    <row r="77" spans="1:6" x14ac:dyDescent="0.25">
      <c r="A77" t="s">
        <v>8</v>
      </c>
      <c r="B77" s="2">
        <v>45076</v>
      </c>
      <c r="C77">
        <v>2023</v>
      </c>
      <c r="E77" t="s">
        <v>6</v>
      </c>
      <c r="F77">
        <v>131.5</v>
      </c>
    </row>
    <row r="78" spans="1:6" x14ac:dyDescent="0.25">
      <c r="A78" t="s">
        <v>8</v>
      </c>
      <c r="B78" s="2">
        <v>45083</v>
      </c>
      <c r="C78">
        <v>2023</v>
      </c>
      <c r="E78" t="s">
        <v>6</v>
      </c>
      <c r="F78">
        <v>133</v>
      </c>
    </row>
    <row r="79" spans="1:6" x14ac:dyDescent="0.25">
      <c r="A79" t="s">
        <v>8</v>
      </c>
      <c r="B79" s="2">
        <v>45314</v>
      </c>
      <c r="C79">
        <v>2024</v>
      </c>
      <c r="E79" t="s">
        <v>6</v>
      </c>
      <c r="F79">
        <v>65.2</v>
      </c>
    </row>
    <row r="80" spans="1:6" x14ac:dyDescent="0.25">
      <c r="A80" t="s">
        <v>8</v>
      </c>
      <c r="B80" s="2">
        <v>45337</v>
      </c>
      <c r="C80">
        <v>2024</v>
      </c>
      <c r="E80" t="s">
        <v>6</v>
      </c>
      <c r="F80">
        <v>83.2</v>
      </c>
    </row>
    <row r="81" spans="1:6" x14ac:dyDescent="0.25">
      <c r="A81" t="s">
        <v>8</v>
      </c>
      <c r="B81" s="2">
        <v>45348</v>
      </c>
      <c r="C81">
        <v>2024</v>
      </c>
      <c r="E81" t="s">
        <v>6</v>
      </c>
      <c r="F81">
        <v>84.1</v>
      </c>
    </row>
    <row r="82" spans="1:6" x14ac:dyDescent="0.25">
      <c r="A82" t="s">
        <v>8</v>
      </c>
      <c r="B82" s="2">
        <v>45365</v>
      </c>
      <c r="C82">
        <v>2024</v>
      </c>
      <c r="E82" t="s">
        <v>6</v>
      </c>
      <c r="F82">
        <v>93.8</v>
      </c>
    </row>
    <row r="83" spans="1:6" x14ac:dyDescent="0.25">
      <c r="A83" t="s">
        <v>8</v>
      </c>
      <c r="B83" s="2">
        <v>45379</v>
      </c>
      <c r="C83">
        <v>2024</v>
      </c>
      <c r="E83" t="s">
        <v>6</v>
      </c>
      <c r="F83">
        <v>99.2</v>
      </c>
    </row>
    <row r="84" spans="1:6" x14ac:dyDescent="0.25">
      <c r="A84" t="s">
        <v>8</v>
      </c>
      <c r="B84" s="2">
        <v>45393</v>
      </c>
      <c r="C84">
        <v>2024</v>
      </c>
      <c r="E84" t="s">
        <v>6</v>
      </c>
      <c r="F84">
        <v>103.7</v>
      </c>
    </row>
    <row r="85" spans="1:6" x14ac:dyDescent="0.25">
      <c r="A85" t="s">
        <v>8</v>
      </c>
      <c r="B85" s="2">
        <v>45407</v>
      </c>
      <c r="C85">
        <v>2024</v>
      </c>
      <c r="E85" t="s">
        <v>6</v>
      </c>
      <c r="F85">
        <v>108.9</v>
      </c>
    </row>
    <row r="86" spans="1:6" x14ac:dyDescent="0.25">
      <c r="A86" t="s">
        <v>8</v>
      </c>
      <c r="B86" s="2">
        <v>45414</v>
      </c>
      <c r="C86">
        <v>2024</v>
      </c>
      <c r="E86" t="s">
        <v>6</v>
      </c>
      <c r="F86">
        <v>117.1</v>
      </c>
    </row>
    <row r="87" spans="1:6" x14ac:dyDescent="0.25">
      <c r="A87" t="s">
        <v>8</v>
      </c>
      <c r="B87" s="2">
        <v>45425</v>
      </c>
      <c r="C87">
        <v>2024</v>
      </c>
      <c r="E87" t="s">
        <v>6</v>
      </c>
      <c r="F87">
        <v>113.1</v>
      </c>
    </row>
    <row r="88" spans="1:6" x14ac:dyDescent="0.25">
      <c r="A88" t="s">
        <v>8</v>
      </c>
      <c r="B88" s="2">
        <v>45441</v>
      </c>
      <c r="C88">
        <v>2024</v>
      </c>
      <c r="E88" t="s">
        <v>6</v>
      </c>
      <c r="F88">
        <v>115.1</v>
      </c>
    </row>
    <row r="89" spans="1:6" x14ac:dyDescent="0.25">
      <c r="A89" t="s">
        <v>8</v>
      </c>
      <c r="B89" s="2">
        <v>45453</v>
      </c>
      <c r="C89">
        <v>2024</v>
      </c>
      <c r="E89" t="s">
        <v>6</v>
      </c>
      <c r="F89">
        <v>114.5</v>
      </c>
    </row>
    <row r="90" spans="1:6" x14ac:dyDescent="0.25">
      <c r="A90" t="s">
        <v>8</v>
      </c>
      <c r="B90" s="2">
        <v>44595</v>
      </c>
      <c r="C90">
        <f>YEAR((B90))</f>
        <v>2022</v>
      </c>
      <c r="E90" t="s">
        <v>6</v>
      </c>
      <c r="F90">
        <v>69.599999999999994</v>
      </c>
    </row>
    <row r="91" spans="1:6" x14ac:dyDescent="0.25">
      <c r="A91" t="s">
        <v>8</v>
      </c>
      <c r="B91" s="2">
        <v>44608</v>
      </c>
      <c r="C91">
        <f t="shared" ref="C91:C122" si="0">YEAR((B91))</f>
        <v>2022</v>
      </c>
      <c r="E91" t="s">
        <v>6</v>
      </c>
      <c r="F91">
        <v>80.2</v>
      </c>
    </row>
    <row r="92" spans="1:6" x14ac:dyDescent="0.25">
      <c r="A92" t="s">
        <v>8</v>
      </c>
      <c r="B92" s="2">
        <v>44622</v>
      </c>
      <c r="C92">
        <f t="shared" si="0"/>
        <v>2022</v>
      </c>
      <c r="E92" t="s">
        <v>6</v>
      </c>
      <c r="F92">
        <v>85.8</v>
      </c>
    </row>
    <row r="93" spans="1:6" x14ac:dyDescent="0.25">
      <c r="A93" t="s">
        <v>8</v>
      </c>
      <c r="B93" s="2">
        <v>44636</v>
      </c>
      <c r="C93">
        <f t="shared" si="0"/>
        <v>2022</v>
      </c>
      <c r="E93" t="s">
        <v>6</v>
      </c>
      <c r="F93">
        <v>96.4</v>
      </c>
    </row>
    <row r="94" spans="1:6" x14ac:dyDescent="0.25">
      <c r="A94" t="s">
        <v>8</v>
      </c>
      <c r="B94" s="2">
        <v>44650</v>
      </c>
      <c r="C94">
        <f t="shared" si="0"/>
        <v>2022</v>
      </c>
      <c r="E94" t="s">
        <v>6</v>
      </c>
      <c r="F94">
        <v>106.7</v>
      </c>
    </row>
    <row r="95" spans="1:6" x14ac:dyDescent="0.25">
      <c r="A95" t="s">
        <v>8</v>
      </c>
      <c r="B95" s="2">
        <v>44664</v>
      </c>
      <c r="C95">
        <f t="shared" si="0"/>
        <v>2022</v>
      </c>
      <c r="E95" t="s">
        <v>6</v>
      </c>
      <c r="F95">
        <v>114</v>
      </c>
    </row>
    <row r="96" spans="1:6" x14ac:dyDescent="0.25">
      <c r="A96" t="s">
        <v>8</v>
      </c>
      <c r="B96" s="2">
        <v>44673</v>
      </c>
      <c r="C96">
        <f t="shared" si="0"/>
        <v>2022</v>
      </c>
      <c r="E96" t="s">
        <v>6</v>
      </c>
      <c r="F96">
        <v>111.3</v>
      </c>
    </row>
    <row r="97" spans="1:6" x14ac:dyDescent="0.25">
      <c r="A97" t="s">
        <v>8</v>
      </c>
      <c r="B97" s="2">
        <v>44680</v>
      </c>
      <c r="C97">
        <f t="shared" si="0"/>
        <v>2022</v>
      </c>
      <c r="E97" t="s">
        <v>6</v>
      </c>
      <c r="F97">
        <v>109.8</v>
      </c>
    </row>
    <row r="98" spans="1:6" x14ac:dyDescent="0.25">
      <c r="A98" t="s">
        <v>8</v>
      </c>
      <c r="B98" s="2">
        <v>44685</v>
      </c>
      <c r="C98">
        <f>YEAR((B98))</f>
        <v>2022</v>
      </c>
      <c r="E98" t="s">
        <v>6</v>
      </c>
      <c r="F98">
        <v>112.7</v>
      </c>
    </row>
    <row r="99" spans="1:6" x14ac:dyDescent="0.25">
      <c r="A99" t="s">
        <v>8</v>
      </c>
      <c r="B99" s="2">
        <v>44699</v>
      </c>
      <c r="C99">
        <f t="shared" si="0"/>
        <v>2022</v>
      </c>
      <c r="E99" t="s">
        <v>6</v>
      </c>
      <c r="F99">
        <v>115.6</v>
      </c>
    </row>
    <row r="100" spans="1:6" x14ac:dyDescent="0.25">
      <c r="A100" t="s">
        <v>8</v>
      </c>
      <c r="B100" s="2">
        <v>44713</v>
      </c>
      <c r="C100">
        <f t="shared" si="0"/>
        <v>2022</v>
      </c>
      <c r="E100" t="s">
        <v>6</v>
      </c>
      <c r="F100">
        <v>117.9</v>
      </c>
    </row>
    <row r="101" spans="1:6" x14ac:dyDescent="0.25">
      <c r="A101" t="s">
        <v>8</v>
      </c>
      <c r="B101" s="2">
        <v>44950</v>
      </c>
      <c r="C101">
        <f t="shared" si="0"/>
        <v>2023</v>
      </c>
      <c r="E101" t="s">
        <v>6</v>
      </c>
      <c r="F101">
        <v>63.7</v>
      </c>
    </row>
    <row r="102" spans="1:6" x14ac:dyDescent="0.25">
      <c r="A102" t="s">
        <v>8</v>
      </c>
      <c r="B102" s="2">
        <v>44974</v>
      </c>
      <c r="C102">
        <f t="shared" si="0"/>
        <v>2023</v>
      </c>
      <c r="E102" t="s">
        <v>6</v>
      </c>
      <c r="F102">
        <v>72.7</v>
      </c>
    </row>
    <row r="103" spans="1:6" x14ac:dyDescent="0.25">
      <c r="A103" t="s">
        <v>8</v>
      </c>
      <c r="B103" s="2">
        <v>44987</v>
      </c>
      <c r="C103">
        <f t="shared" si="0"/>
        <v>2023</v>
      </c>
      <c r="E103" t="s">
        <v>6</v>
      </c>
      <c r="F103">
        <v>78.599999999999994</v>
      </c>
    </row>
    <row r="104" spans="1:6" x14ac:dyDescent="0.25">
      <c r="A104" t="s">
        <v>8</v>
      </c>
      <c r="B104" s="2">
        <v>45001</v>
      </c>
      <c r="C104">
        <f t="shared" si="0"/>
        <v>2023</v>
      </c>
      <c r="E104" t="s">
        <v>6</v>
      </c>
      <c r="F104">
        <v>86.5</v>
      </c>
    </row>
    <row r="105" spans="1:6" x14ac:dyDescent="0.25">
      <c r="A105" t="s">
        <v>8</v>
      </c>
      <c r="B105" s="2">
        <v>45014</v>
      </c>
      <c r="C105">
        <f t="shared" si="0"/>
        <v>2023</v>
      </c>
      <c r="E105" t="s">
        <v>6</v>
      </c>
      <c r="F105">
        <v>95.4</v>
      </c>
    </row>
    <row r="106" spans="1:6" x14ac:dyDescent="0.25">
      <c r="A106" t="s">
        <v>8</v>
      </c>
      <c r="B106" s="2">
        <v>45031</v>
      </c>
      <c r="C106">
        <f t="shared" si="0"/>
        <v>2023</v>
      </c>
      <c r="E106" t="s">
        <v>6</v>
      </c>
      <c r="F106">
        <v>101.4</v>
      </c>
    </row>
    <row r="107" spans="1:6" x14ac:dyDescent="0.25">
      <c r="A107" t="s">
        <v>8</v>
      </c>
      <c r="B107" s="2">
        <v>45041</v>
      </c>
      <c r="C107">
        <f t="shared" si="0"/>
        <v>2023</v>
      </c>
      <c r="E107" t="s">
        <v>6</v>
      </c>
      <c r="F107">
        <v>108</v>
      </c>
    </row>
    <row r="108" spans="1:6" x14ac:dyDescent="0.25">
      <c r="A108" t="s">
        <v>8</v>
      </c>
      <c r="B108" s="2">
        <v>45049</v>
      </c>
      <c r="C108">
        <f t="shared" si="0"/>
        <v>2023</v>
      </c>
      <c r="E108" t="s">
        <v>6</v>
      </c>
      <c r="F108">
        <v>112.4</v>
      </c>
    </row>
    <row r="109" spans="1:6" x14ac:dyDescent="0.25">
      <c r="A109" t="s">
        <v>8</v>
      </c>
      <c r="B109" s="2">
        <v>45062</v>
      </c>
      <c r="C109">
        <f t="shared" si="0"/>
        <v>2023</v>
      </c>
      <c r="E109" t="s">
        <v>6</v>
      </c>
      <c r="F109">
        <v>117.5</v>
      </c>
    </row>
    <row r="110" spans="1:6" x14ac:dyDescent="0.25">
      <c r="A110" t="s">
        <v>8</v>
      </c>
      <c r="B110" s="2">
        <v>45077</v>
      </c>
      <c r="C110">
        <f t="shared" si="0"/>
        <v>2023</v>
      </c>
      <c r="E110" t="s">
        <v>6</v>
      </c>
      <c r="F110">
        <v>116.8</v>
      </c>
    </row>
    <row r="111" spans="1:6" x14ac:dyDescent="0.25">
      <c r="A111" t="s">
        <v>8</v>
      </c>
      <c r="B111" s="2">
        <v>45083</v>
      </c>
      <c r="C111">
        <f t="shared" si="0"/>
        <v>2023</v>
      </c>
      <c r="E111" t="s">
        <v>6</v>
      </c>
      <c r="F111">
        <v>113.2</v>
      </c>
    </row>
    <row r="112" spans="1:6" x14ac:dyDescent="0.25">
      <c r="A112" t="s">
        <v>8</v>
      </c>
      <c r="B112" s="2">
        <v>45314</v>
      </c>
      <c r="C112">
        <f t="shared" si="0"/>
        <v>2024</v>
      </c>
      <c r="E112" t="s">
        <v>6</v>
      </c>
      <c r="F112">
        <v>59.9</v>
      </c>
    </row>
    <row r="113" spans="1:6" x14ac:dyDescent="0.25">
      <c r="A113" t="s">
        <v>8</v>
      </c>
      <c r="B113" s="2">
        <v>45336</v>
      </c>
      <c r="C113">
        <f t="shared" si="0"/>
        <v>2024</v>
      </c>
      <c r="E113" t="s">
        <v>6</v>
      </c>
      <c r="F113">
        <v>66.7</v>
      </c>
    </row>
    <row r="114" spans="1:6" x14ac:dyDescent="0.25">
      <c r="A114" t="s">
        <v>8</v>
      </c>
      <c r="B114" s="2">
        <v>45348</v>
      </c>
      <c r="C114">
        <f t="shared" si="0"/>
        <v>2024</v>
      </c>
      <c r="E114" t="s">
        <v>6</v>
      </c>
      <c r="F114">
        <v>74.900000000000006</v>
      </c>
    </row>
    <row r="115" spans="1:6" x14ac:dyDescent="0.25">
      <c r="A115" t="s">
        <v>8</v>
      </c>
      <c r="B115" s="2">
        <v>45365</v>
      </c>
      <c r="C115">
        <f t="shared" si="0"/>
        <v>2024</v>
      </c>
      <c r="E115" t="s">
        <v>6</v>
      </c>
      <c r="F115">
        <v>85.1</v>
      </c>
    </row>
    <row r="116" spans="1:6" x14ac:dyDescent="0.25">
      <c r="A116" t="s">
        <v>8</v>
      </c>
      <c r="B116" s="2">
        <v>45379</v>
      </c>
      <c r="C116">
        <f t="shared" si="0"/>
        <v>2024</v>
      </c>
      <c r="E116" t="s">
        <v>6</v>
      </c>
      <c r="F116">
        <v>90.7</v>
      </c>
    </row>
    <row r="117" spans="1:6" x14ac:dyDescent="0.25">
      <c r="A117" t="s">
        <v>8</v>
      </c>
      <c r="B117" s="2">
        <v>45390</v>
      </c>
      <c r="C117">
        <f t="shared" si="0"/>
        <v>2024</v>
      </c>
      <c r="E117" t="s">
        <v>6</v>
      </c>
      <c r="F117">
        <v>91.8</v>
      </c>
    </row>
    <row r="118" spans="1:6" x14ac:dyDescent="0.25">
      <c r="A118" t="s">
        <v>8</v>
      </c>
      <c r="B118" s="2">
        <v>45404</v>
      </c>
      <c r="C118">
        <f t="shared" si="0"/>
        <v>2024</v>
      </c>
      <c r="E118" t="s">
        <v>6</v>
      </c>
      <c r="F118">
        <v>98.2</v>
      </c>
    </row>
    <row r="119" spans="1:6" x14ac:dyDescent="0.25">
      <c r="A119" t="s">
        <v>8</v>
      </c>
      <c r="B119" s="2">
        <v>45413</v>
      </c>
      <c r="C119">
        <f t="shared" si="0"/>
        <v>2024</v>
      </c>
      <c r="E119" t="s">
        <v>6</v>
      </c>
      <c r="F119">
        <v>101.7</v>
      </c>
    </row>
    <row r="120" spans="1:6" x14ac:dyDescent="0.25">
      <c r="A120" t="s">
        <v>8</v>
      </c>
      <c r="B120" s="2">
        <v>45425</v>
      </c>
      <c r="C120">
        <f t="shared" si="0"/>
        <v>2024</v>
      </c>
      <c r="E120" t="s">
        <v>6</v>
      </c>
      <c r="F120">
        <v>103.3</v>
      </c>
    </row>
    <row r="121" spans="1:6" x14ac:dyDescent="0.25">
      <c r="A121" t="s">
        <v>8</v>
      </c>
      <c r="B121" s="2">
        <v>45441</v>
      </c>
      <c r="C121">
        <f t="shared" si="0"/>
        <v>2024</v>
      </c>
      <c r="E121" t="s">
        <v>6</v>
      </c>
      <c r="F121">
        <v>99.2</v>
      </c>
    </row>
    <row r="122" spans="1:6" x14ac:dyDescent="0.25">
      <c r="A122" t="s">
        <v>8</v>
      </c>
      <c r="B122" s="2">
        <v>45453</v>
      </c>
      <c r="C122">
        <f t="shared" si="0"/>
        <v>2024</v>
      </c>
      <c r="E122" t="s">
        <v>6</v>
      </c>
      <c r="F122">
        <v>99.8</v>
      </c>
    </row>
    <row r="123" spans="1:6" x14ac:dyDescent="0.25">
      <c r="A123" t="s">
        <v>8</v>
      </c>
      <c r="B123" s="2">
        <v>44595</v>
      </c>
      <c r="C123">
        <f>YEAR(B123)</f>
        <v>2022</v>
      </c>
      <c r="E123" t="s">
        <v>6</v>
      </c>
      <c r="F123">
        <v>83.4</v>
      </c>
    </row>
    <row r="124" spans="1:6" x14ac:dyDescent="0.25">
      <c r="A124" t="s">
        <v>8</v>
      </c>
      <c r="B124" s="2">
        <v>44608</v>
      </c>
      <c r="C124">
        <f t="shared" ref="C124:C186" si="1">YEAR(B124)</f>
        <v>2022</v>
      </c>
      <c r="E124" t="s">
        <v>6</v>
      </c>
      <c r="F124">
        <v>94.3</v>
      </c>
    </row>
    <row r="125" spans="1:6" x14ac:dyDescent="0.25">
      <c r="A125" t="s">
        <v>8</v>
      </c>
      <c r="B125" s="2">
        <v>44622</v>
      </c>
      <c r="C125">
        <f t="shared" si="1"/>
        <v>2022</v>
      </c>
      <c r="E125" t="s">
        <v>6</v>
      </c>
      <c r="F125">
        <v>102.9</v>
      </c>
    </row>
    <row r="126" spans="1:6" x14ac:dyDescent="0.25">
      <c r="A126" t="s">
        <v>8</v>
      </c>
      <c r="B126" s="2">
        <v>44636</v>
      </c>
      <c r="C126">
        <f t="shared" si="1"/>
        <v>2022</v>
      </c>
      <c r="E126" t="s">
        <v>6</v>
      </c>
      <c r="F126">
        <v>104</v>
      </c>
    </row>
    <row r="127" spans="1:6" x14ac:dyDescent="0.25">
      <c r="A127" t="s">
        <v>8</v>
      </c>
      <c r="B127" s="2">
        <v>44650</v>
      </c>
      <c r="C127">
        <f t="shared" si="1"/>
        <v>2022</v>
      </c>
      <c r="E127" t="s">
        <v>6</v>
      </c>
      <c r="F127">
        <v>113.4</v>
      </c>
    </row>
    <row r="128" spans="1:6" x14ac:dyDescent="0.25">
      <c r="A128" t="s">
        <v>8</v>
      </c>
      <c r="B128" s="2">
        <v>44664</v>
      </c>
      <c r="C128">
        <f t="shared" si="1"/>
        <v>2022</v>
      </c>
      <c r="E128" t="s">
        <v>6</v>
      </c>
      <c r="F128">
        <v>125.8</v>
      </c>
    </row>
    <row r="129" spans="1:6" x14ac:dyDescent="0.25">
      <c r="A129" t="s">
        <v>8</v>
      </c>
      <c r="B129" s="2">
        <v>44672</v>
      </c>
      <c r="C129">
        <f t="shared" si="1"/>
        <v>2022</v>
      </c>
      <c r="E129" t="s">
        <v>6</v>
      </c>
      <c r="F129">
        <v>132.9</v>
      </c>
    </row>
    <row r="130" spans="1:6" x14ac:dyDescent="0.25">
      <c r="A130" t="s">
        <v>8</v>
      </c>
      <c r="B130" s="2">
        <v>44680</v>
      </c>
      <c r="C130">
        <f t="shared" si="1"/>
        <v>2022</v>
      </c>
      <c r="E130" t="s">
        <v>6</v>
      </c>
      <c r="F130">
        <v>139.80000000000001</v>
      </c>
    </row>
    <row r="131" spans="1:6" x14ac:dyDescent="0.25">
      <c r="A131" t="s">
        <v>8</v>
      </c>
      <c r="B131" s="2">
        <v>44685</v>
      </c>
      <c r="C131">
        <f t="shared" si="1"/>
        <v>2022</v>
      </c>
      <c r="E131" t="s">
        <v>6</v>
      </c>
      <c r="F131">
        <v>135.1</v>
      </c>
    </row>
    <row r="132" spans="1:6" x14ac:dyDescent="0.25">
      <c r="A132" t="s">
        <v>8</v>
      </c>
      <c r="B132" s="2">
        <v>44699</v>
      </c>
      <c r="C132">
        <f t="shared" si="1"/>
        <v>2022</v>
      </c>
      <c r="E132" t="s">
        <v>6</v>
      </c>
      <c r="F132">
        <v>138.1</v>
      </c>
    </row>
    <row r="133" spans="1:6" x14ac:dyDescent="0.25">
      <c r="A133" t="s">
        <v>8</v>
      </c>
      <c r="B133" s="2">
        <v>44713</v>
      </c>
      <c r="C133">
        <f t="shared" si="1"/>
        <v>2022</v>
      </c>
      <c r="E133" t="s">
        <v>6</v>
      </c>
      <c r="F133">
        <v>142</v>
      </c>
    </row>
    <row r="134" spans="1:6" x14ac:dyDescent="0.25">
      <c r="A134" t="s">
        <v>8</v>
      </c>
      <c r="B134" s="2">
        <v>44952</v>
      </c>
      <c r="C134">
        <f t="shared" si="1"/>
        <v>2023</v>
      </c>
      <c r="E134" t="s">
        <v>6</v>
      </c>
      <c r="F134">
        <v>61.4</v>
      </c>
    </row>
    <row r="135" spans="1:6" x14ac:dyDescent="0.25">
      <c r="A135" t="s">
        <v>8</v>
      </c>
      <c r="B135" s="2">
        <v>44974</v>
      </c>
      <c r="C135">
        <f t="shared" si="1"/>
        <v>2023</v>
      </c>
      <c r="E135" t="s">
        <v>6</v>
      </c>
      <c r="F135">
        <v>67.8</v>
      </c>
    </row>
    <row r="136" spans="1:6" x14ac:dyDescent="0.25">
      <c r="A136" t="s">
        <v>8</v>
      </c>
      <c r="B136" s="2">
        <v>44984</v>
      </c>
      <c r="C136">
        <f t="shared" si="1"/>
        <v>2023</v>
      </c>
      <c r="E136" t="s">
        <v>6</v>
      </c>
      <c r="F136">
        <v>73.099999999999994</v>
      </c>
    </row>
    <row r="137" spans="1:6" x14ac:dyDescent="0.25">
      <c r="A137" t="s">
        <v>8</v>
      </c>
      <c r="B137" s="2">
        <v>45000</v>
      </c>
      <c r="C137">
        <f t="shared" si="1"/>
        <v>2023</v>
      </c>
      <c r="E137" t="s">
        <v>6</v>
      </c>
      <c r="F137">
        <v>78.099999999999994</v>
      </c>
    </row>
    <row r="138" spans="1:6" x14ac:dyDescent="0.25">
      <c r="A138" t="s">
        <v>8</v>
      </c>
      <c r="B138" s="2">
        <v>45015</v>
      </c>
      <c r="C138">
        <f t="shared" si="1"/>
        <v>2023</v>
      </c>
      <c r="E138" t="s">
        <v>6</v>
      </c>
      <c r="F138">
        <v>84.1</v>
      </c>
    </row>
    <row r="139" spans="1:6" x14ac:dyDescent="0.25">
      <c r="A139" t="s">
        <v>8</v>
      </c>
      <c r="B139" s="2">
        <v>45029</v>
      </c>
      <c r="C139">
        <f t="shared" si="1"/>
        <v>2023</v>
      </c>
      <c r="E139" t="s">
        <v>6</v>
      </c>
      <c r="F139">
        <v>89.9</v>
      </c>
    </row>
    <row r="140" spans="1:6" x14ac:dyDescent="0.25">
      <c r="A140" t="s">
        <v>8</v>
      </c>
      <c r="B140" s="2">
        <v>45041</v>
      </c>
      <c r="C140">
        <f t="shared" si="1"/>
        <v>2023</v>
      </c>
      <c r="E140" t="s">
        <v>6</v>
      </c>
      <c r="F140">
        <v>95.9</v>
      </c>
    </row>
    <row r="141" spans="1:6" x14ac:dyDescent="0.25">
      <c r="A141" t="s">
        <v>8</v>
      </c>
      <c r="B141" s="2">
        <v>45049</v>
      </c>
      <c r="C141">
        <f t="shared" si="1"/>
        <v>2023</v>
      </c>
      <c r="E141" t="s">
        <v>6</v>
      </c>
      <c r="F141">
        <v>97.4</v>
      </c>
    </row>
    <row r="142" spans="1:6" x14ac:dyDescent="0.25">
      <c r="A142" t="s">
        <v>8</v>
      </c>
      <c r="B142" s="2">
        <v>45062</v>
      </c>
      <c r="C142">
        <f t="shared" si="1"/>
        <v>2023</v>
      </c>
      <c r="E142" t="s">
        <v>6</v>
      </c>
      <c r="F142">
        <v>97.8</v>
      </c>
    </row>
    <row r="143" spans="1:6" x14ac:dyDescent="0.25">
      <c r="A143" t="s">
        <v>8</v>
      </c>
      <c r="B143" s="2">
        <v>45076</v>
      </c>
      <c r="C143">
        <f t="shared" si="1"/>
        <v>2023</v>
      </c>
      <c r="E143" t="s">
        <v>6</v>
      </c>
      <c r="F143">
        <v>99.8</v>
      </c>
    </row>
    <row r="144" spans="1:6" x14ac:dyDescent="0.25">
      <c r="A144" t="s">
        <v>8</v>
      </c>
      <c r="B144" s="2">
        <v>45083</v>
      </c>
      <c r="C144">
        <f t="shared" si="1"/>
        <v>2023</v>
      </c>
      <c r="E144" t="s">
        <v>6</v>
      </c>
      <c r="F144">
        <v>109.6</v>
      </c>
    </row>
    <row r="145" spans="1:6" x14ac:dyDescent="0.25">
      <c r="A145" t="s">
        <v>8</v>
      </c>
      <c r="B145" s="2">
        <v>45316</v>
      </c>
      <c r="C145">
        <f t="shared" si="1"/>
        <v>2024</v>
      </c>
      <c r="E145" t="s">
        <v>6</v>
      </c>
      <c r="F145">
        <v>57.1</v>
      </c>
    </row>
    <row r="146" spans="1:6" x14ac:dyDescent="0.25">
      <c r="A146" t="s">
        <v>8</v>
      </c>
      <c r="B146" s="2">
        <v>45337</v>
      </c>
      <c r="C146">
        <f t="shared" si="1"/>
        <v>2024</v>
      </c>
      <c r="E146" t="s">
        <v>6</v>
      </c>
      <c r="F146">
        <v>71.099999999999994</v>
      </c>
    </row>
    <row r="147" spans="1:6" x14ac:dyDescent="0.25">
      <c r="A147" t="s">
        <v>8</v>
      </c>
      <c r="B147" s="2">
        <v>45350</v>
      </c>
      <c r="C147">
        <f t="shared" si="1"/>
        <v>2024</v>
      </c>
      <c r="E147" t="s">
        <v>6</v>
      </c>
      <c r="F147">
        <v>77</v>
      </c>
    </row>
    <row r="148" spans="1:6" x14ac:dyDescent="0.25">
      <c r="A148" t="s">
        <v>8</v>
      </c>
      <c r="B148" s="2">
        <v>45364</v>
      </c>
      <c r="C148">
        <f t="shared" si="1"/>
        <v>2024</v>
      </c>
      <c r="E148" t="s">
        <v>6</v>
      </c>
      <c r="F148">
        <v>83.1</v>
      </c>
    </row>
    <row r="149" spans="1:6" x14ac:dyDescent="0.25">
      <c r="A149" t="s">
        <v>8</v>
      </c>
      <c r="B149" s="2">
        <v>45378</v>
      </c>
      <c r="C149">
        <f t="shared" si="1"/>
        <v>2024</v>
      </c>
      <c r="E149" t="s">
        <v>6</v>
      </c>
      <c r="F149">
        <v>87.3</v>
      </c>
    </row>
    <row r="150" spans="1:6" x14ac:dyDescent="0.25">
      <c r="A150" t="s">
        <v>8</v>
      </c>
      <c r="B150" s="2">
        <v>45393</v>
      </c>
      <c r="C150">
        <f t="shared" si="1"/>
        <v>2024</v>
      </c>
      <c r="E150" t="s">
        <v>6</v>
      </c>
      <c r="F150">
        <v>86.6</v>
      </c>
    </row>
    <row r="151" spans="1:6" x14ac:dyDescent="0.25">
      <c r="A151" t="s">
        <v>8</v>
      </c>
      <c r="B151" s="2">
        <v>45404</v>
      </c>
      <c r="C151">
        <f t="shared" si="1"/>
        <v>2024</v>
      </c>
      <c r="E151" t="s">
        <v>6</v>
      </c>
      <c r="F151">
        <v>90.1</v>
      </c>
    </row>
    <row r="152" spans="1:6" x14ac:dyDescent="0.25">
      <c r="A152" t="s">
        <v>8</v>
      </c>
      <c r="B152" s="2">
        <v>45414</v>
      </c>
      <c r="C152">
        <f t="shared" si="1"/>
        <v>2024</v>
      </c>
      <c r="E152" t="s">
        <v>6</v>
      </c>
      <c r="F152">
        <v>99.7</v>
      </c>
    </row>
    <row r="153" spans="1:6" x14ac:dyDescent="0.25">
      <c r="A153" t="s">
        <v>8</v>
      </c>
      <c r="B153" s="2">
        <v>45425</v>
      </c>
      <c r="C153">
        <f t="shared" si="1"/>
        <v>2024</v>
      </c>
      <c r="E153" t="s">
        <v>6</v>
      </c>
      <c r="F153">
        <v>101.1</v>
      </c>
    </row>
    <row r="154" spans="1:6" x14ac:dyDescent="0.25">
      <c r="A154" t="s">
        <v>8</v>
      </c>
      <c r="B154" s="2">
        <v>45441</v>
      </c>
      <c r="C154">
        <f t="shared" si="1"/>
        <v>2024</v>
      </c>
      <c r="E154" t="s">
        <v>6</v>
      </c>
      <c r="F154">
        <v>100.3</v>
      </c>
    </row>
    <row r="155" spans="1:6" x14ac:dyDescent="0.25">
      <c r="A155" t="s">
        <v>8</v>
      </c>
      <c r="B155" s="2">
        <v>45453</v>
      </c>
      <c r="C155">
        <f t="shared" si="1"/>
        <v>2024</v>
      </c>
      <c r="E155" t="s">
        <v>6</v>
      </c>
      <c r="F155">
        <v>97.4</v>
      </c>
    </row>
    <row r="156" spans="1:6" x14ac:dyDescent="0.25">
      <c r="A156" t="s">
        <v>8</v>
      </c>
      <c r="B156" s="2">
        <v>45316</v>
      </c>
      <c r="C156">
        <f t="shared" si="1"/>
        <v>2024</v>
      </c>
      <c r="E156" t="s">
        <v>6</v>
      </c>
      <c r="F156">
        <v>64.400000000000006</v>
      </c>
    </row>
    <row r="157" spans="1:6" x14ac:dyDescent="0.25">
      <c r="A157" t="s">
        <v>8</v>
      </c>
      <c r="B157" s="2">
        <v>45337</v>
      </c>
      <c r="C157">
        <f t="shared" si="1"/>
        <v>2024</v>
      </c>
      <c r="E157" t="s">
        <v>6</v>
      </c>
      <c r="F157">
        <v>68.599999999999994</v>
      </c>
    </row>
    <row r="158" spans="1:6" x14ac:dyDescent="0.25">
      <c r="A158" t="s">
        <v>8</v>
      </c>
      <c r="B158" s="2">
        <v>45350</v>
      </c>
      <c r="C158">
        <f t="shared" si="1"/>
        <v>2024</v>
      </c>
      <c r="E158" t="s">
        <v>6</v>
      </c>
      <c r="F158">
        <v>86.5</v>
      </c>
    </row>
    <row r="159" spans="1:6" x14ac:dyDescent="0.25">
      <c r="A159" t="s">
        <v>8</v>
      </c>
      <c r="B159" s="2">
        <v>45364</v>
      </c>
      <c r="C159">
        <f t="shared" si="1"/>
        <v>2024</v>
      </c>
      <c r="E159" t="s">
        <v>6</v>
      </c>
      <c r="F159">
        <v>90</v>
      </c>
    </row>
    <row r="160" spans="1:6" x14ac:dyDescent="0.25">
      <c r="A160" t="s">
        <v>8</v>
      </c>
      <c r="B160" s="2">
        <v>45378</v>
      </c>
      <c r="C160">
        <f t="shared" si="1"/>
        <v>2024</v>
      </c>
      <c r="E160" t="s">
        <v>6</v>
      </c>
      <c r="F160">
        <v>98.4</v>
      </c>
    </row>
    <row r="161" spans="1:6" x14ac:dyDescent="0.25">
      <c r="A161" t="s">
        <v>8</v>
      </c>
      <c r="B161" s="2">
        <v>45390</v>
      </c>
      <c r="C161">
        <f t="shared" si="1"/>
        <v>2024</v>
      </c>
      <c r="E161" t="s">
        <v>6</v>
      </c>
      <c r="F161">
        <v>102.7</v>
      </c>
    </row>
    <row r="162" spans="1:6" x14ac:dyDescent="0.25">
      <c r="A162" t="s">
        <v>8</v>
      </c>
      <c r="B162" s="2">
        <v>45407</v>
      </c>
      <c r="C162">
        <f t="shared" si="1"/>
        <v>2024</v>
      </c>
      <c r="E162" t="s">
        <v>6</v>
      </c>
      <c r="F162">
        <v>102.3</v>
      </c>
    </row>
    <row r="163" spans="1:6" x14ac:dyDescent="0.25">
      <c r="A163" t="s">
        <v>8</v>
      </c>
      <c r="B163" s="2">
        <v>45413</v>
      </c>
      <c r="C163">
        <f t="shared" si="1"/>
        <v>2024</v>
      </c>
      <c r="E163" t="s">
        <v>6</v>
      </c>
      <c r="F163">
        <v>103.9</v>
      </c>
    </row>
    <row r="164" spans="1:6" x14ac:dyDescent="0.25">
      <c r="A164" t="s">
        <v>8</v>
      </c>
      <c r="B164" s="2">
        <v>45425</v>
      </c>
      <c r="C164">
        <f t="shared" si="1"/>
        <v>2024</v>
      </c>
      <c r="E164" t="s">
        <v>6</v>
      </c>
      <c r="F164">
        <v>100.2</v>
      </c>
    </row>
    <row r="165" spans="1:6" x14ac:dyDescent="0.25">
      <c r="A165" t="s">
        <v>8</v>
      </c>
      <c r="B165" s="2">
        <v>45439</v>
      </c>
      <c r="C165">
        <f t="shared" si="1"/>
        <v>2024</v>
      </c>
      <c r="E165" t="s">
        <v>6</v>
      </c>
      <c r="F165">
        <v>103</v>
      </c>
    </row>
    <row r="166" spans="1:6" x14ac:dyDescent="0.25">
      <c r="A166" t="s">
        <v>8</v>
      </c>
      <c r="B166" s="2">
        <v>45454</v>
      </c>
      <c r="C166">
        <f t="shared" si="1"/>
        <v>2024</v>
      </c>
      <c r="E166" t="s">
        <v>6</v>
      </c>
      <c r="F166">
        <v>101.2</v>
      </c>
    </row>
    <row r="167" spans="1:6" x14ac:dyDescent="0.25">
      <c r="A167" t="s">
        <v>8</v>
      </c>
      <c r="B167" s="2">
        <v>42387</v>
      </c>
      <c r="C167">
        <f t="shared" si="1"/>
        <v>2016</v>
      </c>
      <c r="E167" t="s">
        <v>6</v>
      </c>
      <c r="F167">
        <v>59.6</v>
      </c>
    </row>
    <row r="168" spans="1:6" x14ac:dyDescent="0.25">
      <c r="A168" t="s">
        <v>8</v>
      </c>
      <c r="B168" s="2">
        <v>42387</v>
      </c>
      <c r="C168">
        <f t="shared" si="1"/>
        <v>2016</v>
      </c>
      <c r="E168" t="s">
        <v>6</v>
      </c>
      <c r="F168">
        <v>58.3</v>
      </c>
    </row>
    <row r="169" spans="1:6" x14ac:dyDescent="0.25">
      <c r="A169" t="s">
        <v>8</v>
      </c>
      <c r="B169" s="2">
        <v>42423</v>
      </c>
      <c r="C169">
        <f t="shared" si="1"/>
        <v>2016</v>
      </c>
      <c r="E169" t="s">
        <v>6</v>
      </c>
      <c r="F169">
        <v>74.400000000000006</v>
      </c>
    </row>
    <row r="170" spans="1:6" x14ac:dyDescent="0.25">
      <c r="A170" t="s">
        <v>8</v>
      </c>
      <c r="B170" s="2">
        <v>42423</v>
      </c>
      <c r="C170">
        <f t="shared" si="1"/>
        <v>2016</v>
      </c>
      <c r="E170" t="s">
        <v>6</v>
      </c>
      <c r="F170">
        <v>85.7</v>
      </c>
    </row>
    <row r="171" spans="1:6" x14ac:dyDescent="0.25">
      <c r="A171" t="s">
        <v>8</v>
      </c>
      <c r="B171" s="2">
        <v>42437</v>
      </c>
      <c r="C171">
        <f t="shared" si="1"/>
        <v>2016</v>
      </c>
      <c r="E171" t="s">
        <v>6</v>
      </c>
      <c r="F171">
        <v>79.400000000000006</v>
      </c>
    </row>
    <row r="172" spans="1:6" x14ac:dyDescent="0.25">
      <c r="A172" t="s">
        <v>8</v>
      </c>
      <c r="B172" s="2">
        <v>42437</v>
      </c>
      <c r="C172">
        <f t="shared" si="1"/>
        <v>2016</v>
      </c>
      <c r="E172" t="s">
        <v>6</v>
      </c>
      <c r="F172">
        <v>92.4</v>
      </c>
    </row>
    <row r="173" spans="1:6" x14ac:dyDescent="0.25">
      <c r="A173" t="s">
        <v>8</v>
      </c>
      <c r="B173" s="2">
        <v>42451</v>
      </c>
      <c r="C173">
        <f t="shared" si="1"/>
        <v>2016</v>
      </c>
      <c r="E173" t="s">
        <v>6</v>
      </c>
      <c r="F173">
        <v>91.9</v>
      </c>
    </row>
    <row r="174" spans="1:6" x14ac:dyDescent="0.25">
      <c r="A174" t="s">
        <v>8</v>
      </c>
      <c r="B174" s="2">
        <v>42451</v>
      </c>
      <c r="C174">
        <f t="shared" si="1"/>
        <v>2016</v>
      </c>
      <c r="E174" t="s">
        <v>6</v>
      </c>
      <c r="F174">
        <v>101.1</v>
      </c>
    </row>
    <row r="175" spans="1:6" x14ac:dyDescent="0.25">
      <c r="A175" t="s">
        <v>8</v>
      </c>
      <c r="B175" s="2">
        <v>42466</v>
      </c>
      <c r="C175">
        <f t="shared" si="1"/>
        <v>2016</v>
      </c>
      <c r="E175" t="s">
        <v>6</v>
      </c>
      <c r="F175">
        <v>94.9</v>
      </c>
    </row>
    <row r="176" spans="1:6" x14ac:dyDescent="0.25">
      <c r="A176" t="s">
        <v>8</v>
      </c>
      <c r="B176" s="2">
        <v>42467</v>
      </c>
      <c r="C176">
        <f t="shared" si="1"/>
        <v>2016</v>
      </c>
      <c r="E176" t="s">
        <v>6</v>
      </c>
      <c r="F176">
        <v>113.4</v>
      </c>
    </row>
    <row r="177" spans="1:6" x14ac:dyDescent="0.25">
      <c r="A177" t="s">
        <v>8</v>
      </c>
      <c r="B177" s="2">
        <v>42474</v>
      </c>
      <c r="C177">
        <f t="shared" si="1"/>
        <v>2016</v>
      </c>
      <c r="E177" t="s">
        <v>6</v>
      </c>
      <c r="F177">
        <v>115.3</v>
      </c>
    </row>
    <row r="178" spans="1:6" x14ac:dyDescent="0.25">
      <c r="A178" t="s">
        <v>8</v>
      </c>
      <c r="B178" s="2">
        <v>42475</v>
      </c>
      <c r="C178">
        <f t="shared" si="1"/>
        <v>2016</v>
      </c>
      <c r="E178" t="s">
        <v>6</v>
      </c>
      <c r="F178">
        <v>101.2</v>
      </c>
    </row>
    <row r="179" spans="1:6" x14ac:dyDescent="0.25">
      <c r="A179" t="s">
        <v>8</v>
      </c>
      <c r="B179" s="2">
        <v>42482</v>
      </c>
      <c r="C179">
        <f t="shared" si="1"/>
        <v>2016</v>
      </c>
      <c r="E179" t="s">
        <v>6</v>
      </c>
      <c r="F179">
        <v>103.3</v>
      </c>
    </row>
    <row r="180" spans="1:6" x14ac:dyDescent="0.25">
      <c r="A180" t="s">
        <v>8</v>
      </c>
      <c r="B180" s="2">
        <v>42482</v>
      </c>
      <c r="C180">
        <f t="shared" si="1"/>
        <v>2016</v>
      </c>
      <c r="E180" t="s">
        <v>6</v>
      </c>
      <c r="F180">
        <v>119.2</v>
      </c>
    </row>
    <row r="181" spans="1:6" x14ac:dyDescent="0.25">
      <c r="A181" t="s">
        <v>8</v>
      </c>
      <c r="B181" s="2">
        <v>42486</v>
      </c>
      <c r="C181">
        <f t="shared" si="1"/>
        <v>2016</v>
      </c>
      <c r="E181" t="s">
        <v>6</v>
      </c>
      <c r="F181">
        <v>103.4</v>
      </c>
    </row>
    <row r="182" spans="1:6" x14ac:dyDescent="0.25">
      <c r="A182" t="s">
        <v>8</v>
      </c>
      <c r="B182" s="2">
        <v>42486</v>
      </c>
      <c r="C182">
        <f t="shared" si="1"/>
        <v>2016</v>
      </c>
      <c r="E182" t="s">
        <v>6</v>
      </c>
      <c r="F182">
        <v>115.3</v>
      </c>
    </row>
    <row r="183" spans="1:6" x14ac:dyDescent="0.25">
      <c r="A183" t="s">
        <v>8</v>
      </c>
      <c r="B183" s="2">
        <v>42493</v>
      </c>
      <c r="C183">
        <f t="shared" si="1"/>
        <v>2016</v>
      </c>
      <c r="E183" t="s">
        <v>6</v>
      </c>
      <c r="F183">
        <v>105.7</v>
      </c>
    </row>
    <row r="184" spans="1:6" x14ac:dyDescent="0.25">
      <c r="A184" t="s">
        <v>8</v>
      </c>
      <c r="B184" s="2">
        <v>42493</v>
      </c>
      <c r="C184">
        <f t="shared" si="1"/>
        <v>2016</v>
      </c>
      <c r="E184" t="s">
        <v>6</v>
      </c>
      <c r="F184">
        <v>122.2</v>
      </c>
    </row>
    <row r="185" spans="1:6" x14ac:dyDescent="0.25">
      <c r="A185" t="s">
        <v>8</v>
      </c>
      <c r="B185" s="2">
        <v>42510</v>
      </c>
      <c r="C185">
        <f t="shared" si="1"/>
        <v>2016</v>
      </c>
      <c r="E185" t="s">
        <v>6</v>
      </c>
      <c r="F185">
        <v>106.7</v>
      </c>
    </row>
    <row r="186" spans="1:6" x14ac:dyDescent="0.25">
      <c r="A186" t="s">
        <v>8</v>
      </c>
      <c r="B186" s="2">
        <v>42510</v>
      </c>
      <c r="C186">
        <f t="shared" si="1"/>
        <v>2016</v>
      </c>
      <c r="E186" t="s">
        <v>6</v>
      </c>
      <c r="F186">
        <v>123.3</v>
      </c>
    </row>
    <row r="187" spans="1:6" x14ac:dyDescent="0.25">
      <c r="A187" t="s">
        <v>8</v>
      </c>
      <c r="B187" s="2">
        <v>42521</v>
      </c>
      <c r="C187">
        <f t="shared" ref="C187:C249" si="2">YEAR(B187)</f>
        <v>2016</v>
      </c>
      <c r="E187" t="s">
        <v>6</v>
      </c>
      <c r="F187">
        <v>103.3</v>
      </c>
    </row>
    <row r="188" spans="1:6" x14ac:dyDescent="0.25">
      <c r="A188" t="s">
        <v>8</v>
      </c>
      <c r="B188" s="2">
        <v>42521</v>
      </c>
      <c r="C188">
        <f t="shared" si="2"/>
        <v>2016</v>
      </c>
      <c r="E188" t="s">
        <v>6</v>
      </c>
      <c r="F188">
        <v>122.6</v>
      </c>
    </row>
    <row r="189" spans="1:6" x14ac:dyDescent="0.25">
      <c r="A189" t="s">
        <v>8</v>
      </c>
      <c r="B189" s="2">
        <v>42535</v>
      </c>
      <c r="C189">
        <f t="shared" si="2"/>
        <v>2016</v>
      </c>
      <c r="E189" t="s">
        <v>6</v>
      </c>
      <c r="F189">
        <v>106.7</v>
      </c>
    </row>
    <row r="190" spans="1:6" x14ac:dyDescent="0.25">
      <c r="A190" t="s">
        <v>8</v>
      </c>
      <c r="B190" s="2">
        <v>42535</v>
      </c>
      <c r="C190">
        <f t="shared" si="2"/>
        <v>2016</v>
      </c>
      <c r="E190" t="s">
        <v>6</v>
      </c>
      <c r="F190">
        <v>118.4</v>
      </c>
    </row>
    <row r="191" spans="1:6" x14ac:dyDescent="0.25">
      <c r="A191" t="s">
        <v>8</v>
      </c>
      <c r="B191" s="2">
        <v>42752</v>
      </c>
      <c r="C191">
        <f t="shared" si="2"/>
        <v>2017</v>
      </c>
      <c r="E191" t="s">
        <v>6</v>
      </c>
      <c r="F191">
        <v>64.3</v>
      </c>
    </row>
    <row r="192" spans="1:6" x14ac:dyDescent="0.25">
      <c r="A192" t="s">
        <v>8</v>
      </c>
      <c r="B192" s="2">
        <v>42752</v>
      </c>
      <c r="C192">
        <f t="shared" si="2"/>
        <v>2017</v>
      </c>
      <c r="E192" t="s">
        <v>6</v>
      </c>
      <c r="F192">
        <v>54.6</v>
      </c>
    </row>
    <row r="193" spans="1:6" x14ac:dyDescent="0.25">
      <c r="A193" t="s">
        <v>8</v>
      </c>
      <c r="B193" s="2">
        <v>42787</v>
      </c>
      <c r="C193">
        <f t="shared" si="2"/>
        <v>2017</v>
      </c>
      <c r="E193" t="s">
        <v>6</v>
      </c>
      <c r="F193">
        <v>86</v>
      </c>
    </row>
    <row r="194" spans="1:6" x14ac:dyDescent="0.25">
      <c r="A194" t="s">
        <v>8</v>
      </c>
      <c r="B194" s="2">
        <v>42787</v>
      </c>
      <c r="C194">
        <f t="shared" si="2"/>
        <v>2017</v>
      </c>
      <c r="E194" t="s">
        <v>6</v>
      </c>
      <c r="F194">
        <v>82.6</v>
      </c>
    </row>
    <row r="195" spans="1:6" x14ac:dyDescent="0.25">
      <c r="A195" t="s">
        <v>8</v>
      </c>
      <c r="B195" s="2">
        <v>42801</v>
      </c>
      <c r="C195">
        <f t="shared" si="2"/>
        <v>2017</v>
      </c>
      <c r="E195" t="s">
        <v>6</v>
      </c>
      <c r="F195">
        <v>96.5</v>
      </c>
    </row>
    <row r="196" spans="1:6" x14ac:dyDescent="0.25">
      <c r="A196" t="s">
        <v>8</v>
      </c>
      <c r="B196" s="2">
        <v>42801</v>
      </c>
      <c r="C196">
        <f t="shared" si="2"/>
        <v>2017</v>
      </c>
      <c r="E196" t="s">
        <v>6</v>
      </c>
      <c r="F196">
        <v>88.4</v>
      </c>
    </row>
    <row r="197" spans="1:6" x14ac:dyDescent="0.25">
      <c r="A197" t="s">
        <v>8</v>
      </c>
      <c r="B197" s="2">
        <v>42815</v>
      </c>
      <c r="C197">
        <f t="shared" si="2"/>
        <v>2017</v>
      </c>
      <c r="E197" t="s">
        <v>6</v>
      </c>
      <c r="F197">
        <v>102.8</v>
      </c>
    </row>
    <row r="198" spans="1:6" x14ac:dyDescent="0.25">
      <c r="A198" t="s">
        <v>8</v>
      </c>
      <c r="B198" s="2">
        <v>42815</v>
      </c>
      <c r="C198">
        <f t="shared" si="2"/>
        <v>2017</v>
      </c>
      <c r="E198" t="s">
        <v>6</v>
      </c>
      <c r="F198">
        <v>93.6</v>
      </c>
    </row>
    <row r="199" spans="1:6" x14ac:dyDescent="0.25">
      <c r="A199" t="s">
        <v>8</v>
      </c>
      <c r="B199" s="2">
        <v>42829</v>
      </c>
      <c r="C199">
        <f t="shared" si="2"/>
        <v>2017</v>
      </c>
      <c r="E199" t="s">
        <v>6</v>
      </c>
      <c r="F199">
        <v>117.4</v>
      </c>
    </row>
    <row r="200" spans="1:6" x14ac:dyDescent="0.25">
      <c r="A200" t="s">
        <v>8</v>
      </c>
      <c r="B200" s="2">
        <v>42829</v>
      </c>
      <c r="C200">
        <f t="shared" si="2"/>
        <v>2017</v>
      </c>
      <c r="E200" t="s">
        <v>6</v>
      </c>
      <c r="F200">
        <v>103.2</v>
      </c>
    </row>
    <row r="201" spans="1:6" x14ac:dyDescent="0.25">
      <c r="A201" t="s">
        <v>8</v>
      </c>
      <c r="B201" s="2">
        <v>42839</v>
      </c>
      <c r="C201">
        <f t="shared" si="2"/>
        <v>2017</v>
      </c>
      <c r="E201" t="s">
        <v>6</v>
      </c>
      <c r="F201">
        <v>114.5</v>
      </c>
    </row>
    <row r="202" spans="1:6" x14ac:dyDescent="0.25">
      <c r="A202" t="s">
        <v>8</v>
      </c>
      <c r="B202" s="2">
        <v>42839</v>
      </c>
      <c r="C202">
        <f t="shared" si="2"/>
        <v>2017</v>
      </c>
      <c r="E202" t="s">
        <v>6</v>
      </c>
      <c r="F202">
        <v>108.9</v>
      </c>
    </row>
    <row r="203" spans="1:6" x14ac:dyDescent="0.25">
      <c r="A203" t="s">
        <v>8</v>
      </c>
      <c r="B203" s="2">
        <v>42844</v>
      </c>
      <c r="C203">
        <f t="shared" si="2"/>
        <v>2017</v>
      </c>
      <c r="E203" t="s">
        <v>6</v>
      </c>
      <c r="F203">
        <v>118.9</v>
      </c>
    </row>
    <row r="204" spans="1:6" x14ac:dyDescent="0.25">
      <c r="A204" t="s">
        <v>8</v>
      </c>
      <c r="B204" s="2">
        <v>42844</v>
      </c>
      <c r="C204">
        <f t="shared" si="2"/>
        <v>2017</v>
      </c>
      <c r="E204" t="s">
        <v>6</v>
      </c>
      <c r="F204">
        <v>111.8</v>
      </c>
    </row>
    <row r="205" spans="1:6" x14ac:dyDescent="0.25">
      <c r="A205" t="s">
        <v>8</v>
      </c>
      <c r="B205" s="2">
        <v>42850</v>
      </c>
      <c r="C205">
        <f t="shared" si="2"/>
        <v>2017</v>
      </c>
      <c r="E205" t="s">
        <v>6</v>
      </c>
      <c r="F205">
        <v>110.2</v>
      </c>
    </row>
    <row r="206" spans="1:6" x14ac:dyDescent="0.25">
      <c r="A206" t="s">
        <v>8</v>
      </c>
      <c r="B206" s="2">
        <v>42853</v>
      </c>
      <c r="C206">
        <f t="shared" si="2"/>
        <v>2017</v>
      </c>
      <c r="E206" t="s">
        <v>6</v>
      </c>
      <c r="F206">
        <v>124.6</v>
      </c>
    </row>
    <row r="207" spans="1:6" x14ac:dyDescent="0.25">
      <c r="A207" t="s">
        <v>8</v>
      </c>
      <c r="B207" s="2">
        <v>42858</v>
      </c>
      <c r="C207">
        <f t="shared" si="2"/>
        <v>2017</v>
      </c>
      <c r="E207" t="s">
        <v>6</v>
      </c>
      <c r="F207">
        <v>120.5</v>
      </c>
    </row>
    <row r="208" spans="1:6" x14ac:dyDescent="0.25">
      <c r="A208" t="s">
        <v>8</v>
      </c>
      <c r="B208" s="2">
        <v>42858</v>
      </c>
      <c r="C208">
        <f t="shared" si="2"/>
        <v>2017</v>
      </c>
      <c r="E208" t="s">
        <v>6</v>
      </c>
      <c r="F208">
        <v>109.1</v>
      </c>
    </row>
    <row r="209" spans="1:6" x14ac:dyDescent="0.25">
      <c r="A209" t="s">
        <v>8</v>
      </c>
      <c r="B209" s="2">
        <v>42871</v>
      </c>
      <c r="C209">
        <f t="shared" si="2"/>
        <v>2017</v>
      </c>
      <c r="E209" t="s">
        <v>6</v>
      </c>
      <c r="F209">
        <v>123.6</v>
      </c>
    </row>
    <row r="210" spans="1:6" x14ac:dyDescent="0.25">
      <c r="A210" t="s">
        <v>8</v>
      </c>
      <c r="B210" s="2">
        <v>42871</v>
      </c>
      <c r="C210">
        <f t="shared" si="2"/>
        <v>2017</v>
      </c>
      <c r="E210" t="s">
        <v>6</v>
      </c>
      <c r="F210">
        <v>117.7</v>
      </c>
    </row>
    <row r="211" spans="1:6" x14ac:dyDescent="0.25">
      <c r="A211" t="s">
        <v>8</v>
      </c>
      <c r="B211" s="2">
        <v>42885</v>
      </c>
      <c r="C211">
        <f t="shared" si="2"/>
        <v>2017</v>
      </c>
      <c r="E211" t="s">
        <v>6</v>
      </c>
      <c r="F211">
        <v>121.5</v>
      </c>
    </row>
    <row r="212" spans="1:6" x14ac:dyDescent="0.25">
      <c r="A212" t="s">
        <v>8</v>
      </c>
      <c r="B212" s="2">
        <v>42885</v>
      </c>
      <c r="C212">
        <f t="shared" si="2"/>
        <v>2017</v>
      </c>
      <c r="E212" t="s">
        <v>6</v>
      </c>
      <c r="F212">
        <v>118.8</v>
      </c>
    </row>
    <row r="213" spans="1:6" x14ac:dyDescent="0.25">
      <c r="A213" t="s">
        <v>8</v>
      </c>
      <c r="B213" s="2">
        <v>42893</v>
      </c>
      <c r="C213">
        <f t="shared" si="2"/>
        <v>2017</v>
      </c>
      <c r="E213" t="s">
        <v>6</v>
      </c>
      <c r="F213">
        <v>122.4</v>
      </c>
    </row>
    <row r="214" spans="1:6" x14ac:dyDescent="0.25">
      <c r="A214" t="s">
        <v>8</v>
      </c>
      <c r="B214" s="2">
        <v>42893</v>
      </c>
      <c r="C214">
        <f t="shared" si="2"/>
        <v>2017</v>
      </c>
      <c r="E214" t="s">
        <v>6</v>
      </c>
      <c r="F214">
        <v>113</v>
      </c>
    </row>
    <row r="215" spans="1:6" x14ac:dyDescent="0.25">
      <c r="A215" t="s">
        <v>8</v>
      </c>
      <c r="B215" s="2">
        <v>42907</v>
      </c>
      <c r="C215">
        <f t="shared" si="2"/>
        <v>2017</v>
      </c>
      <c r="E215" t="s">
        <v>6</v>
      </c>
      <c r="F215">
        <v>115.9</v>
      </c>
    </row>
    <row r="216" spans="1:6" x14ac:dyDescent="0.25">
      <c r="A216" t="s">
        <v>8</v>
      </c>
      <c r="B216" s="2">
        <v>42907</v>
      </c>
      <c r="C216">
        <f t="shared" si="2"/>
        <v>2017</v>
      </c>
      <c r="E216" t="s">
        <v>6</v>
      </c>
      <c r="F216">
        <v>117.7</v>
      </c>
    </row>
    <row r="217" spans="1:6" x14ac:dyDescent="0.25">
      <c r="A217" t="s">
        <v>8</v>
      </c>
      <c r="B217" s="2">
        <v>43116</v>
      </c>
      <c r="C217">
        <f t="shared" si="2"/>
        <v>2018</v>
      </c>
      <c r="E217" t="s">
        <v>6</v>
      </c>
      <c r="F217">
        <v>62.4</v>
      </c>
    </row>
    <row r="218" spans="1:6" x14ac:dyDescent="0.25">
      <c r="A218" t="s">
        <v>8</v>
      </c>
      <c r="B218" s="2">
        <v>43116</v>
      </c>
      <c r="C218">
        <f t="shared" si="2"/>
        <v>2018</v>
      </c>
      <c r="E218" t="s">
        <v>6</v>
      </c>
      <c r="F218">
        <v>57.1</v>
      </c>
    </row>
    <row r="219" spans="1:6" x14ac:dyDescent="0.25">
      <c r="A219" t="s">
        <v>8</v>
      </c>
      <c r="B219" s="2">
        <v>43151</v>
      </c>
      <c r="C219">
        <f t="shared" si="2"/>
        <v>2018</v>
      </c>
      <c r="E219" t="s">
        <v>6</v>
      </c>
      <c r="F219">
        <v>82.1</v>
      </c>
    </row>
    <row r="220" spans="1:6" x14ac:dyDescent="0.25">
      <c r="A220" t="s">
        <v>8</v>
      </c>
      <c r="B220" s="2">
        <v>43151</v>
      </c>
      <c r="C220">
        <f t="shared" si="2"/>
        <v>2018</v>
      </c>
      <c r="E220" t="s">
        <v>6</v>
      </c>
      <c r="F220">
        <v>79.7</v>
      </c>
    </row>
    <row r="221" spans="1:6" x14ac:dyDescent="0.25">
      <c r="A221" t="s">
        <v>8</v>
      </c>
      <c r="B221" s="2">
        <v>43165</v>
      </c>
      <c r="C221">
        <f t="shared" si="2"/>
        <v>2018</v>
      </c>
      <c r="E221" t="s">
        <v>6</v>
      </c>
      <c r="F221">
        <v>89.9</v>
      </c>
    </row>
    <row r="222" spans="1:6" x14ac:dyDescent="0.25">
      <c r="A222" t="s">
        <v>8</v>
      </c>
      <c r="B222" s="2">
        <v>43165</v>
      </c>
      <c r="C222">
        <f t="shared" si="2"/>
        <v>2018</v>
      </c>
      <c r="E222" t="s">
        <v>6</v>
      </c>
      <c r="F222">
        <v>87.6</v>
      </c>
    </row>
    <row r="223" spans="1:6" x14ac:dyDescent="0.25">
      <c r="A223" t="s">
        <v>8</v>
      </c>
      <c r="B223" s="2">
        <v>43179</v>
      </c>
      <c r="C223">
        <f t="shared" si="2"/>
        <v>2018</v>
      </c>
      <c r="E223" t="s">
        <v>6</v>
      </c>
      <c r="F223">
        <v>93.2</v>
      </c>
    </row>
    <row r="224" spans="1:6" x14ac:dyDescent="0.25">
      <c r="A224" t="s">
        <v>8</v>
      </c>
      <c r="B224" s="2">
        <v>43179</v>
      </c>
      <c r="C224">
        <f t="shared" si="2"/>
        <v>2018</v>
      </c>
      <c r="E224" t="s">
        <v>6</v>
      </c>
      <c r="F224">
        <v>90.1</v>
      </c>
    </row>
    <row r="225" spans="1:6" x14ac:dyDescent="0.25">
      <c r="A225" t="s">
        <v>8</v>
      </c>
      <c r="B225" s="2">
        <v>43195</v>
      </c>
      <c r="C225">
        <f t="shared" si="2"/>
        <v>2018</v>
      </c>
      <c r="E225" t="s">
        <v>6</v>
      </c>
      <c r="F225">
        <v>102.3</v>
      </c>
    </row>
    <row r="226" spans="1:6" x14ac:dyDescent="0.25">
      <c r="A226" t="s">
        <v>8</v>
      </c>
      <c r="B226" s="2">
        <v>43195</v>
      </c>
      <c r="C226">
        <f t="shared" si="2"/>
        <v>2018</v>
      </c>
      <c r="E226" t="s">
        <v>6</v>
      </c>
      <c r="F226">
        <v>98.2</v>
      </c>
    </row>
    <row r="227" spans="1:6" x14ac:dyDescent="0.25">
      <c r="A227" t="s">
        <v>8</v>
      </c>
      <c r="B227" s="2">
        <v>43201</v>
      </c>
      <c r="C227">
        <f t="shared" si="2"/>
        <v>2018</v>
      </c>
      <c r="E227" t="s">
        <v>6</v>
      </c>
      <c r="F227">
        <v>105.5</v>
      </c>
    </row>
    <row r="228" spans="1:6" x14ac:dyDescent="0.25">
      <c r="A228" t="s">
        <v>8</v>
      </c>
      <c r="B228" s="2">
        <v>43201</v>
      </c>
      <c r="C228">
        <f t="shared" si="2"/>
        <v>2018</v>
      </c>
      <c r="E228" t="s">
        <v>6</v>
      </c>
      <c r="F228">
        <v>98.8</v>
      </c>
    </row>
    <row r="229" spans="1:6" x14ac:dyDescent="0.25">
      <c r="A229" t="s">
        <v>8</v>
      </c>
      <c r="B229" s="2">
        <v>43209</v>
      </c>
      <c r="C229">
        <f t="shared" si="2"/>
        <v>2018</v>
      </c>
      <c r="E229" t="s">
        <v>6</v>
      </c>
      <c r="F229">
        <v>110</v>
      </c>
    </row>
    <row r="230" spans="1:6" x14ac:dyDescent="0.25">
      <c r="A230" t="s">
        <v>8</v>
      </c>
      <c r="B230" s="2">
        <v>43209</v>
      </c>
      <c r="C230">
        <f t="shared" si="2"/>
        <v>2018</v>
      </c>
      <c r="E230" t="s">
        <v>6</v>
      </c>
      <c r="F230">
        <v>99.3</v>
      </c>
    </row>
    <row r="231" spans="1:6" x14ac:dyDescent="0.25">
      <c r="A231" t="s">
        <v>8</v>
      </c>
      <c r="B231" s="2">
        <v>43215</v>
      </c>
      <c r="C231">
        <f t="shared" si="2"/>
        <v>2018</v>
      </c>
      <c r="E231" t="s">
        <v>6</v>
      </c>
      <c r="F231">
        <v>113.2</v>
      </c>
    </row>
    <row r="232" spans="1:6" x14ac:dyDescent="0.25">
      <c r="A232" t="s">
        <v>8</v>
      </c>
      <c r="B232" s="2">
        <v>43215</v>
      </c>
      <c r="C232">
        <f t="shared" si="2"/>
        <v>2018</v>
      </c>
      <c r="E232" t="s">
        <v>6</v>
      </c>
      <c r="F232">
        <v>106.4</v>
      </c>
    </row>
    <row r="233" spans="1:6" x14ac:dyDescent="0.25">
      <c r="A233" t="s">
        <v>8</v>
      </c>
      <c r="B233" s="2">
        <v>43221</v>
      </c>
      <c r="C233">
        <f t="shared" si="2"/>
        <v>2018</v>
      </c>
      <c r="E233" t="s">
        <v>6</v>
      </c>
      <c r="F233">
        <v>117.6</v>
      </c>
    </row>
    <row r="234" spans="1:6" x14ac:dyDescent="0.25">
      <c r="A234" t="s">
        <v>8</v>
      </c>
      <c r="B234" s="2">
        <v>43221</v>
      </c>
      <c r="C234">
        <f t="shared" si="2"/>
        <v>2018</v>
      </c>
      <c r="E234" t="s">
        <v>6</v>
      </c>
      <c r="F234">
        <v>109</v>
      </c>
    </row>
    <row r="235" spans="1:6" x14ac:dyDescent="0.25">
      <c r="A235" t="s">
        <v>8</v>
      </c>
      <c r="B235" s="2">
        <v>43235</v>
      </c>
      <c r="C235">
        <f t="shared" si="2"/>
        <v>2018</v>
      </c>
      <c r="E235" t="s">
        <v>6</v>
      </c>
      <c r="F235">
        <v>115.1</v>
      </c>
    </row>
    <row r="236" spans="1:6" x14ac:dyDescent="0.25">
      <c r="A236" t="s">
        <v>8</v>
      </c>
      <c r="B236" s="2">
        <v>43235</v>
      </c>
      <c r="C236">
        <f t="shared" si="2"/>
        <v>2018</v>
      </c>
      <c r="E236" t="s">
        <v>6</v>
      </c>
      <c r="F236">
        <v>108.3</v>
      </c>
    </row>
    <row r="237" spans="1:6" x14ac:dyDescent="0.25">
      <c r="A237" t="s">
        <v>8</v>
      </c>
      <c r="B237" s="2">
        <v>43249</v>
      </c>
      <c r="C237">
        <f t="shared" si="2"/>
        <v>2018</v>
      </c>
      <c r="E237" t="s">
        <v>6</v>
      </c>
      <c r="F237">
        <v>114.4</v>
      </c>
    </row>
    <row r="238" spans="1:6" x14ac:dyDescent="0.25">
      <c r="A238" t="s">
        <v>8</v>
      </c>
      <c r="B238" s="2">
        <v>43249</v>
      </c>
      <c r="C238">
        <f t="shared" si="2"/>
        <v>2018</v>
      </c>
      <c r="E238" t="s">
        <v>6</v>
      </c>
      <c r="F238">
        <v>105.5</v>
      </c>
    </row>
    <row r="239" spans="1:6" x14ac:dyDescent="0.25">
      <c r="A239" t="s">
        <v>8</v>
      </c>
      <c r="B239" s="2">
        <v>43479</v>
      </c>
      <c r="C239">
        <f t="shared" si="2"/>
        <v>2019</v>
      </c>
      <c r="E239" t="s">
        <v>6</v>
      </c>
      <c r="F239">
        <v>52.3</v>
      </c>
    </row>
    <row r="240" spans="1:6" x14ac:dyDescent="0.25">
      <c r="A240" t="s">
        <v>8</v>
      </c>
      <c r="B240" s="2">
        <v>43515</v>
      </c>
      <c r="C240">
        <f t="shared" si="2"/>
        <v>2019</v>
      </c>
      <c r="E240" t="s">
        <v>6</v>
      </c>
      <c r="F240">
        <v>72.099999999999994</v>
      </c>
    </row>
    <row r="241" spans="1:6" x14ac:dyDescent="0.25">
      <c r="A241" t="s">
        <v>8</v>
      </c>
      <c r="B241" s="2">
        <v>43529</v>
      </c>
      <c r="C241">
        <f t="shared" si="2"/>
        <v>2019</v>
      </c>
      <c r="E241" t="s">
        <v>6</v>
      </c>
      <c r="F241">
        <v>78.900000000000006</v>
      </c>
    </row>
    <row r="242" spans="1:6" x14ac:dyDescent="0.25">
      <c r="A242" t="s">
        <v>8</v>
      </c>
      <c r="B242" s="2">
        <v>43543</v>
      </c>
      <c r="C242">
        <f t="shared" si="2"/>
        <v>2019</v>
      </c>
      <c r="E242" t="s">
        <v>6</v>
      </c>
      <c r="F242">
        <v>90.7</v>
      </c>
    </row>
    <row r="243" spans="1:6" x14ac:dyDescent="0.25">
      <c r="A243" t="s">
        <v>8</v>
      </c>
      <c r="B243" s="2">
        <v>43557</v>
      </c>
      <c r="C243">
        <f t="shared" si="2"/>
        <v>2019</v>
      </c>
      <c r="E243" t="s">
        <v>6</v>
      </c>
      <c r="F243">
        <v>98</v>
      </c>
    </row>
    <row r="244" spans="1:6" x14ac:dyDescent="0.25">
      <c r="A244" t="s">
        <v>8</v>
      </c>
      <c r="B244" s="2">
        <v>43564</v>
      </c>
      <c r="C244">
        <f t="shared" si="2"/>
        <v>2019</v>
      </c>
      <c r="E244" t="s">
        <v>6</v>
      </c>
      <c r="F244">
        <v>100.2</v>
      </c>
    </row>
    <row r="245" spans="1:6" x14ac:dyDescent="0.25">
      <c r="A245" t="s">
        <v>8</v>
      </c>
      <c r="B245" s="2">
        <v>43570</v>
      </c>
      <c r="C245">
        <f t="shared" si="2"/>
        <v>2019</v>
      </c>
      <c r="E245" t="s">
        <v>6</v>
      </c>
      <c r="F245">
        <v>104.2</v>
      </c>
    </row>
    <row r="246" spans="1:6" x14ac:dyDescent="0.25">
      <c r="A246" t="s">
        <v>8</v>
      </c>
      <c r="B246" s="2">
        <v>43577</v>
      </c>
      <c r="C246">
        <f t="shared" si="2"/>
        <v>2019</v>
      </c>
      <c r="E246" t="s">
        <v>6</v>
      </c>
      <c r="F246">
        <v>100.3</v>
      </c>
    </row>
    <row r="247" spans="1:6" x14ac:dyDescent="0.25">
      <c r="A247" t="s">
        <v>8</v>
      </c>
      <c r="B247" s="2">
        <v>43584</v>
      </c>
      <c r="C247">
        <f t="shared" si="2"/>
        <v>2019</v>
      </c>
      <c r="E247" t="s">
        <v>6</v>
      </c>
      <c r="F247">
        <v>93.8</v>
      </c>
    </row>
    <row r="248" spans="1:6" x14ac:dyDescent="0.25">
      <c r="A248" t="s">
        <v>8</v>
      </c>
      <c r="B248" s="2">
        <v>43613</v>
      </c>
      <c r="C248">
        <f t="shared" si="2"/>
        <v>2019</v>
      </c>
      <c r="E248" t="s">
        <v>6</v>
      </c>
      <c r="F248">
        <v>105.9</v>
      </c>
    </row>
    <row r="249" spans="1:6" x14ac:dyDescent="0.25">
      <c r="A249" t="s">
        <v>8</v>
      </c>
      <c r="B249" s="2">
        <v>43850</v>
      </c>
      <c r="C249">
        <f t="shared" si="2"/>
        <v>2020</v>
      </c>
      <c r="E249" t="s">
        <v>6</v>
      </c>
      <c r="F249">
        <v>58.7</v>
      </c>
    </row>
    <row r="250" spans="1:6" x14ac:dyDescent="0.25">
      <c r="A250" t="s">
        <v>8</v>
      </c>
      <c r="B250" s="2">
        <v>43880</v>
      </c>
      <c r="C250">
        <f t="shared" ref="C250:C312" si="3">YEAR(B250)</f>
        <v>2020</v>
      </c>
      <c r="E250" t="s">
        <v>6</v>
      </c>
      <c r="F250">
        <v>79.599999999999994</v>
      </c>
    </row>
    <row r="251" spans="1:6" x14ac:dyDescent="0.25">
      <c r="A251" t="s">
        <v>8</v>
      </c>
      <c r="B251" s="2">
        <v>43892</v>
      </c>
      <c r="C251">
        <f t="shared" si="3"/>
        <v>2020</v>
      </c>
      <c r="E251" t="s">
        <v>6</v>
      </c>
      <c r="F251">
        <v>77.900000000000006</v>
      </c>
    </row>
    <row r="252" spans="1:6" x14ac:dyDescent="0.25">
      <c r="A252" t="s">
        <v>8</v>
      </c>
      <c r="B252" s="2">
        <v>43906</v>
      </c>
      <c r="C252">
        <f t="shared" si="3"/>
        <v>2020</v>
      </c>
      <c r="E252" t="s">
        <v>6</v>
      </c>
      <c r="F252">
        <v>88</v>
      </c>
    </row>
    <row r="253" spans="1:6" x14ac:dyDescent="0.25">
      <c r="A253" t="s">
        <v>8</v>
      </c>
      <c r="B253" s="2">
        <v>43950</v>
      </c>
      <c r="C253">
        <f t="shared" si="3"/>
        <v>2020</v>
      </c>
      <c r="E253" t="s">
        <v>6</v>
      </c>
      <c r="F253">
        <v>104.6</v>
      </c>
    </row>
    <row r="254" spans="1:6" x14ac:dyDescent="0.25">
      <c r="A254" t="s">
        <v>8</v>
      </c>
      <c r="B254" s="2">
        <v>43963</v>
      </c>
      <c r="C254">
        <f t="shared" si="3"/>
        <v>2020</v>
      </c>
      <c r="E254" t="s">
        <v>6</v>
      </c>
      <c r="F254">
        <v>103.2</v>
      </c>
    </row>
    <row r="255" spans="1:6" x14ac:dyDescent="0.25">
      <c r="A255" t="s">
        <v>8</v>
      </c>
      <c r="B255" s="2">
        <v>43977</v>
      </c>
      <c r="C255">
        <f t="shared" si="3"/>
        <v>2020</v>
      </c>
      <c r="E255" t="s">
        <v>6</v>
      </c>
      <c r="F255">
        <v>101.2</v>
      </c>
    </row>
    <row r="256" spans="1:6" x14ac:dyDescent="0.25">
      <c r="A256" t="s">
        <v>8</v>
      </c>
      <c r="B256" s="2">
        <v>44223</v>
      </c>
      <c r="C256">
        <f t="shared" si="3"/>
        <v>2021</v>
      </c>
      <c r="E256" t="s">
        <v>6</v>
      </c>
      <c r="F256">
        <v>70.474939759999998</v>
      </c>
    </row>
    <row r="257" spans="1:6" x14ac:dyDescent="0.25">
      <c r="A257" t="s">
        <v>8</v>
      </c>
      <c r="B257" s="2">
        <v>44244</v>
      </c>
      <c r="C257">
        <f t="shared" si="3"/>
        <v>2021</v>
      </c>
      <c r="E257" t="s">
        <v>6</v>
      </c>
      <c r="F257">
        <v>78.175444440000007</v>
      </c>
    </row>
    <row r="258" spans="1:6" x14ac:dyDescent="0.25">
      <c r="A258" t="s">
        <v>8</v>
      </c>
      <c r="B258" s="2">
        <v>44258</v>
      </c>
      <c r="C258">
        <f t="shared" si="3"/>
        <v>2021</v>
      </c>
      <c r="E258" t="s">
        <v>6</v>
      </c>
      <c r="F258">
        <v>89.277777779999994</v>
      </c>
    </row>
    <row r="259" spans="1:6" x14ac:dyDescent="0.25">
      <c r="A259" t="s">
        <v>8</v>
      </c>
      <c r="B259" s="2">
        <v>44272</v>
      </c>
      <c r="C259">
        <f t="shared" si="3"/>
        <v>2021</v>
      </c>
      <c r="E259" t="s">
        <v>6</v>
      </c>
      <c r="F259">
        <v>96.960333329999997</v>
      </c>
    </row>
    <row r="260" spans="1:6" x14ac:dyDescent="0.25">
      <c r="A260" t="s">
        <v>8</v>
      </c>
      <c r="B260" s="2">
        <v>44286</v>
      </c>
      <c r="C260">
        <f t="shared" si="3"/>
        <v>2021</v>
      </c>
      <c r="E260" t="s">
        <v>6</v>
      </c>
      <c r="F260">
        <v>105.0482222</v>
      </c>
    </row>
    <row r="261" spans="1:6" x14ac:dyDescent="0.25">
      <c r="A261" t="s">
        <v>8</v>
      </c>
      <c r="B261" s="2">
        <v>44300</v>
      </c>
      <c r="C261">
        <f t="shared" si="3"/>
        <v>2021</v>
      </c>
      <c r="E261" t="s">
        <v>6</v>
      </c>
      <c r="F261">
        <v>110.81411110000001</v>
      </c>
    </row>
    <row r="262" spans="1:6" x14ac:dyDescent="0.25">
      <c r="A262" t="s">
        <v>8</v>
      </c>
      <c r="B262" s="2">
        <v>44307</v>
      </c>
      <c r="C262">
        <f t="shared" si="3"/>
        <v>2021</v>
      </c>
      <c r="E262" t="s">
        <v>6</v>
      </c>
      <c r="F262">
        <v>112.8977778</v>
      </c>
    </row>
    <row r="263" spans="1:6" x14ac:dyDescent="0.25">
      <c r="A263" t="s">
        <v>8</v>
      </c>
      <c r="B263" s="2">
        <v>44315</v>
      </c>
      <c r="C263">
        <f t="shared" si="3"/>
        <v>2021</v>
      </c>
      <c r="E263" t="s">
        <v>6</v>
      </c>
      <c r="F263">
        <v>114.4113333</v>
      </c>
    </row>
    <row r="264" spans="1:6" x14ac:dyDescent="0.25">
      <c r="A264" t="s">
        <v>8</v>
      </c>
      <c r="B264" s="2">
        <v>44321</v>
      </c>
      <c r="C264">
        <f t="shared" si="3"/>
        <v>2021</v>
      </c>
      <c r="E264" t="s">
        <v>6</v>
      </c>
      <c r="F264">
        <v>119.33077780000001</v>
      </c>
    </row>
    <row r="265" spans="1:6" x14ac:dyDescent="0.25">
      <c r="A265" t="s">
        <v>8</v>
      </c>
      <c r="B265" s="2">
        <v>44335</v>
      </c>
      <c r="C265">
        <f t="shared" si="3"/>
        <v>2021</v>
      </c>
      <c r="E265" t="s">
        <v>6</v>
      </c>
      <c r="F265">
        <v>119.8372222</v>
      </c>
    </row>
    <row r="266" spans="1:6" x14ac:dyDescent="0.25">
      <c r="A266" t="s">
        <v>8</v>
      </c>
      <c r="B266" s="2">
        <v>44348</v>
      </c>
      <c r="C266">
        <f t="shared" si="3"/>
        <v>2021</v>
      </c>
      <c r="E266" t="s">
        <v>6</v>
      </c>
      <c r="F266">
        <v>121.1773333</v>
      </c>
    </row>
    <row r="267" spans="1:6" x14ac:dyDescent="0.25">
      <c r="A267" t="s">
        <v>8</v>
      </c>
      <c r="B267" s="2">
        <v>42386</v>
      </c>
      <c r="C267">
        <f t="shared" si="3"/>
        <v>2016</v>
      </c>
      <c r="E267" t="s">
        <v>6</v>
      </c>
      <c r="F267">
        <v>56.9</v>
      </c>
    </row>
    <row r="268" spans="1:6" x14ac:dyDescent="0.25">
      <c r="A268" t="s">
        <v>8</v>
      </c>
      <c r="B268" s="2">
        <v>42424</v>
      </c>
      <c r="C268">
        <f t="shared" si="3"/>
        <v>2016</v>
      </c>
      <c r="E268" t="s">
        <v>6</v>
      </c>
      <c r="F268">
        <v>81.2</v>
      </c>
    </row>
    <row r="269" spans="1:6" x14ac:dyDescent="0.25">
      <c r="A269" t="s">
        <v>8</v>
      </c>
      <c r="B269" s="2">
        <v>42439</v>
      </c>
      <c r="C269">
        <f t="shared" si="3"/>
        <v>2016</v>
      </c>
      <c r="E269" t="s">
        <v>6</v>
      </c>
      <c r="F269">
        <v>94.7</v>
      </c>
    </row>
    <row r="270" spans="1:6" x14ac:dyDescent="0.25">
      <c r="A270" t="s">
        <v>8</v>
      </c>
      <c r="B270" s="2">
        <v>42452</v>
      </c>
      <c r="C270">
        <f t="shared" si="3"/>
        <v>2016</v>
      </c>
      <c r="E270" t="s">
        <v>6</v>
      </c>
      <c r="F270">
        <v>97.8</v>
      </c>
    </row>
    <row r="271" spans="1:6" x14ac:dyDescent="0.25">
      <c r="A271" t="s">
        <v>8</v>
      </c>
      <c r="B271" s="2">
        <v>42467</v>
      </c>
      <c r="C271">
        <f t="shared" si="3"/>
        <v>2016</v>
      </c>
      <c r="E271" t="s">
        <v>6</v>
      </c>
      <c r="F271">
        <v>109.2</v>
      </c>
    </row>
    <row r="272" spans="1:6" x14ac:dyDescent="0.25">
      <c r="A272" t="s">
        <v>8</v>
      </c>
      <c r="B272" s="2">
        <v>42474</v>
      </c>
      <c r="C272">
        <f t="shared" si="3"/>
        <v>2016</v>
      </c>
      <c r="E272" t="s">
        <v>6</v>
      </c>
      <c r="F272">
        <v>107.3</v>
      </c>
    </row>
    <row r="273" spans="1:6" x14ac:dyDescent="0.25">
      <c r="A273" t="s">
        <v>8</v>
      </c>
      <c r="B273" s="2">
        <v>42482</v>
      </c>
      <c r="C273">
        <f t="shared" si="3"/>
        <v>2016</v>
      </c>
      <c r="E273" t="s">
        <v>6</v>
      </c>
      <c r="F273">
        <v>112.8</v>
      </c>
    </row>
    <row r="274" spans="1:6" x14ac:dyDescent="0.25">
      <c r="A274" t="s">
        <v>8</v>
      </c>
      <c r="B274" s="2">
        <v>42489</v>
      </c>
      <c r="C274">
        <f t="shared" si="3"/>
        <v>2016</v>
      </c>
      <c r="E274" t="s">
        <v>6</v>
      </c>
      <c r="F274">
        <v>110.8</v>
      </c>
    </row>
    <row r="275" spans="1:6" x14ac:dyDescent="0.25">
      <c r="A275" t="s">
        <v>8</v>
      </c>
      <c r="B275" s="2">
        <v>42496</v>
      </c>
      <c r="C275">
        <f t="shared" si="3"/>
        <v>2016</v>
      </c>
      <c r="E275" t="s">
        <v>6</v>
      </c>
      <c r="F275">
        <v>115.6</v>
      </c>
    </row>
    <row r="276" spans="1:6" x14ac:dyDescent="0.25">
      <c r="A276" t="s">
        <v>8</v>
      </c>
      <c r="B276" s="2">
        <v>42510</v>
      </c>
      <c r="C276">
        <f t="shared" si="3"/>
        <v>2016</v>
      </c>
      <c r="E276" t="s">
        <v>6</v>
      </c>
      <c r="F276">
        <v>114.4</v>
      </c>
    </row>
    <row r="277" spans="1:6" x14ac:dyDescent="0.25">
      <c r="A277" t="s">
        <v>8</v>
      </c>
      <c r="B277" s="2">
        <v>42523</v>
      </c>
      <c r="C277">
        <f t="shared" si="3"/>
        <v>2016</v>
      </c>
      <c r="E277" t="s">
        <v>6</v>
      </c>
      <c r="F277">
        <v>113.8</v>
      </c>
    </row>
    <row r="278" spans="1:6" x14ac:dyDescent="0.25">
      <c r="A278" t="s">
        <v>8</v>
      </c>
      <c r="B278" s="2">
        <v>42535</v>
      </c>
      <c r="C278">
        <f t="shared" si="3"/>
        <v>2016</v>
      </c>
      <c r="E278" t="s">
        <v>6</v>
      </c>
      <c r="F278">
        <v>119.1</v>
      </c>
    </row>
    <row r="279" spans="1:6" x14ac:dyDescent="0.25">
      <c r="A279" t="s">
        <v>8</v>
      </c>
      <c r="B279" s="2">
        <v>42753</v>
      </c>
      <c r="C279">
        <f t="shared" si="3"/>
        <v>2017</v>
      </c>
      <c r="E279" t="s">
        <v>6</v>
      </c>
      <c r="F279">
        <v>63.8</v>
      </c>
    </row>
    <row r="280" spans="1:6" x14ac:dyDescent="0.25">
      <c r="A280" t="s">
        <v>8</v>
      </c>
      <c r="B280" s="2">
        <v>42789</v>
      </c>
      <c r="C280">
        <f t="shared" si="3"/>
        <v>2017</v>
      </c>
      <c r="E280" t="s">
        <v>6</v>
      </c>
      <c r="F280">
        <v>92.9</v>
      </c>
    </row>
    <row r="281" spans="1:6" x14ac:dyDescent="0.25">
      <c r="A281" t="s">
        <v>8</v>
      </c>
      <c r="B281" s="2">
        <v>42804</v>
      </c>
      <c r="C281">
        <f t="shared" si="3"/>
        <v>2017</v>
      </c>
      <c r="E281" t="s">
        <v>6</v>
      </c>
      <c r="F281">
        <v>102.8</v>
      </c>
    </row>
    <row r="282" spans="1:6" x14ac:dyDescent="0.25">
      <c r="A282" t="s">
        <v>8</v>
      </c>
      <c r="B282" s="2">
        <v>42817</v>
      </c>
      <c r="C282">
        <f t="shared" si="3"/>
        <v>2017</v>
      </c>
      <c r="E282" t="s">
        <v>6</v>
      </c>
      <c r="F282">
        <v>112.2</v>
      </c>
    </row>
    <row r="283" spans="1:6" x14ac:dyDescent="0.25">
      <c r="A283" t="s">
        <v>8</v>
      </c>
      <c r="B283" s="2">
        <v>42832</v>
      </c>
      <c r="C283">
        <f t="shared" si="3"/>
        <v>2017</v>
      </c>
      <c r="E283" t="s">
        <v>6</v>
      </c>
      <c r="F283">
        <v>123.8</v>
      </c>
    </row>
    <row r="284" spans="1:6" x14ac:dyDescent="0.25">
      <c r="A284" t="s">
        <v>8</v>
      </c>
      <c r="B284" s="2">
        <v>42838</v>
      </c>
      <c r="C284">
        <f t="shared" si="3"/>
        <v>2017</v>
      </c>
      <c r="E284" t="s">
        <v>6</v>
      </c>
      <c r="F284">
        <v>125.9</v>
      </c>
    </row>
    <row r="285" spans="1:6" x14ac:dyDescent="0.25">
      <c r="A285" t="s">
        <v>8</v>
      </c>
      <c r="B285" s="2">
        <v>42845</v>
      </c>
      <c r="C285">
        <f t="shared" si="3"/>
        <v>2017</v>
      </c>
      <c r="E285" t="s">
        <v>6</v>
      </c>
      <c r="F285">
        <v>129.1</v>
      </c>
    </row>
    <row r="286" spans="1:6" x14ac:dyDescent="0.25">
      <c r="A286" t="s">
        <v>8</v>
      </c>
      <c r="B286" s="2">
        <v>42853</v>
      </c>
      <c r="C286">
        <f t="shared" si="3"/>
        <v>2017</v>
      </c>
      <c r="E286" t="s">
        <v>6</v>
      </c>
      <c r="F286">
        <v>132.1</v>
      </c>
    </row>
    <row r="287" spans="1:6" x14ac:dyDescent="0.25">
      <c r="A287" t="s">
        <v>8</v>
      </c>
      <c r="B287" s="2">
        <v>42859</v>
      </c>
      <c r="C287">
        <f t="shared" si="3"/>
        <v>2017</v>
      </c>
      <c r="E287" t="s">
        <v>6</v>
      </c>
      <c r="F287">
        <v>131.9</v>
      </c>
    </row>
    <row r="288" spans="1:6" x14ac:dyDescent="0.25">
      <c r="A288" t="s">
        <v>8</v>
      </c>
      <c r="B288" s="2">
        <v>42873</v>
      </c>
      <c r="C288">
        <f t="shared" si="3"/>
        <v>2017</v>
      </c>
      <c r="E288" t="s">
        <v>6</v>
      </c>
      <c r="F288">
        <v>134.6</v>
      </c>
    </row>
    <row r="289" spans="1:6" x14ac:dyDescent="0.25">
      <c r="A289" t="s">
        <v>8</v>
      </c>
      <c r="B289" s="2">
        <v>42887</v>
      </c>
      <c r="C289">
        <f t="shared" si="3"/>
        <v>2017</v>
      </c>
      <c r="E289" t="s">
        <v>6</v>
      </c>
      <c r="F289">
        <v>134.80000000000001</v>
      </c>
    </row>
    <row r="290" spans="1:6" x14ac:dyDescent="0.25">
      <c r="A290" t="s">
        <v>8</v>
      </c>
      <c r="B290" s="2">
        <v>42894</v>
      </c>
      <c r="C290">
        <f t="shared" si="3"/>
        <v>2017</v>
      </c>
      <c r="E290" t="s">
        <v>6</v>
      </c>
      <c r="F290">
        <v>130.9</v>
      </c>
    </row>
    <row r="291" spans="1:6" x14ac:dyDescent="0.25">
      <c r="A291" t="s">
        <v>8</v>
      </c>
      <c r="B291" s="2">
        <v>42908</v>
      </c>
      <c r="C291">
        <f t="shared" si="3"/>
        <v>2017</v>
      </c>
      <c r="E291" t="s">
        <v>6</v>
      </c>
      <c r="F291">
        <v>127.7</v>
      </c>
    </row>
    <row r="292" spans="1:6" x14ac:dyDescent="0.25">
      <c r="A292" t="s">
        <v>8</v>
      </c>
      <c r="B292" s="2">
        <v>43116</v>
      </c>
      <c r="C292">
        <f t="shared" si="3"/>
        <v>2018</v>
      </c>
      <c r="E292" t="s">
        <v>6</v>
      </c>
      <c r="F292">
        <v>61.5</v>
      </c>
    </row>
    <row r="293" spans="1:6" x14ac:dyDescent="0.25">
      <c r="A293" t="s">
        <v>8</v>
      </c>
      <c r="B293" s="2">
        <v>43151</v>
      </c>
      <c r="C293">
        <f t="shared" si="3"/>
        <v>2018</v>
      </c>
      <c r="E293" t="s">
        <v>6</v>
      </c>
      <c r="F293">
        <v>82.5</v>
      </c>
    </row>
    <row r="294" spans="1:6" x14ac:dyDescent="0.25">
      <c r="A294" t="s">
        <v>8</v>
      </c>
      <c r="B294" s="2">
        <v>43165</v>
      </c>
      <c r="C294">
        <f t="shared" si="3"/>
        <v>2018</v>
      </c>
      <c r="E294" t="s">
        <v>6</v>
      </c>
      <c r="F294">
        <v>93.7</v>
      </c>
    </row>
    <row r="295" spans="1:6" x14ac:dyDescent="0.25">
      <c r="A295" t="s">
        <v>8</v>
      </c>
      <c r="B295" s="2">
        <v>43179</v>
      </c>
      <c r="C295">
        <f t="shared" si="3"/>
        <v>2018</v>
      </c>
      <c r="E295" t="s">
        <v>6</v>
      </c>
      <c r="F295">
        <v>95.8</v>
      </c>
    </row>
    <row r="296" spans="1:6" x14ac:dyDescent="0.25">
      <c r="A296" t="s">
        <v>8</v>
      </c>
      <c r="B296" s="2">
        <v>43194</v>
      </c>
      <c r="C296">
        <f t="shared" si="3"/>
        <v>2018</v>
      </c>
      <c r="E296" t="s">
        <v>6</v>
      </c>
      <c r="F296">
        <v>105.4</v>
      </c>
    </row>
    <row r="297" spans="1:6" x14ac:dyDescent="0.25">
      <c r="A297" t="s">
        <v>8</v>
      </c>
      <c r="B297" s="2">
        <v>43201</v>
      </c>
      <c r="C297">
        <f t="shared" si="3"/>
        <v>2018</v>
      </c>
      <c r="E297" t="s">
        <v>6</v>
      </c>
      <c r="F297">
        <v>106.4</v>
      </c>
    </row>
    <row r="298" spans="1:6" x14ac:dyDescent="0.25">
      <c r="A298" t="s">
        <v>8</v>
      </c>
      <c r="B298" s="2">
        <v>43209</v>
      </c>
      <c r="C298">
        <f t="shared" si="3"/>
        <v>2018</v>
      </c>
      <c r="E298" t="s">
        <v>6</v>
      </c>
      <c r="F298">
        <v>108.9</v>
      </c>
    </row>
    <row r="299" spans="1:6" x14ac:dyDescent="0.25">
      <c r="A299" t="s">
        <v>8</v>
      </c>
      <c r="B299" s="2">
        <v>43215</v>
      </c>
      <c r="C299">
        <f t="shared" si="3"/>
        <v>2018</v>
      </c>
      <c r="E299" t="s">
        <v>6</v>
      </c>
      <c r="F299">
        <v>112.6</v>
      </c>
    </row>
    <row r="300" spans="1:6" x14ac:dyDescent="0.25">
      <c r="A300" t="s">
        <v>8</v>
      </c>
      <c r="B300" s="2">
        <v>43221</v>
      </c>
      <c r="C300">
        <f t="shared" si="3"/>
        <v>2018</v>
      </c>
      <c r="E300" t="s">
        <v>6</v>
      </c>
      <c r="F300">
        <v>116.3</v>
      </c>
    </row>
    <row r="301" spans="1:6" x14ac:dyDescent="0.25">
      <c r="A301" t="s">
        <v>8</v>
      </c>
      <c r="B301" s="2">
        <v>43235</v>
      </c>
      <c r="C301">
        <f t="shared" si="3"/>
        <v>2018</v>
      </c>
      <c r="E301" t="s">
        <v>6</v>
      </c>
      <c r="F301">
        <v>115.2</v>
      </c>
    </row>
    <row r="302" spans="1:6" x14ac:dyDescent="0.25">
      <c r="A302" t="s">
        <v>8</v>
      </c>
      <c r="B302" s="2">
        <v>43249</v>
      </c>
      <c r="C302">
        <f t="shared" si="3"/>
        <v>2018</v>
      </c>
      <c r="E302" t="s">
        <v>6</v>
      </c>
      <c r="F302">
        <v>115.4</v>
      </c>
    </row>
    <row r="303" spans="1:6" x14ac:dyDescent="0.25">
      <c r="A303" t="s">
        <v>8</v>
      </c>
      <c r="B303" s="2">
        <v>43479</v>
      </c>
      <c r="C303">
        <f t="shared" si="3"/>
        <v>2019</v>
      </c>
      <c r="E303" t="s">
        <v>6</v>
      </c>
      <c r="F303">
        <v>56.6</v>
      </c>
    </row>
    <row r="304" spans="1:6" x14ac:dyDescent="0.25">
      <c r="A304" t="s">
        <v>8</v>
      </c>
      <c r="B304" s="2">
        <v>43515</v>
      </c>
      <c r="C304">
        <f t="shared" si="3"/>
        <v>2019</v>
      </c>
      <c r="E304" t="s">
        <v>6</v>
      </c>
      <c r="F304">
        <v>75.3</v>
      </c>
    </row>
    <row r="305" spans="1:6" x14ac:dyDescent="0.25">
      <c r="A305" t="s">
        <v>8</v>
      </c>
      <c r="B305" s="2">
        <v>43529</v>
      </c>
      <c r="C305">
        <f t="shared" si="3"/>
        <v>2019</v>
      </c>
      <c r="E305" t="s">
        <v>6</v>
      </c>
      <c r="F305">
        <v>82.6</v>
      </c>
    </row>
    <row r="306" spans="1:6" x14ac:dyDescent="0.25">
      <c r="A306" t="s">
        <v>8</v>
      </c>
      <c r="B306" s="2">
        <v>43543</v>
      </c>
      <c r="C306">
        <f t="shared" si="3"/>
        <v>2019</v>
      </c>
      <c r="E306" t="s">
        <v>6</v>
      </c>
      <c r="F306">
        <v>92.1</v>
      </c>
    </row>
    <row r="307" spans="1:6" x14ac:dyDescent="0.25">
      <c r="A307" t="s">
        <v>8</v>
      </c>
      <c r="B307" s="2">
        <v>43557</v>
      </c>
      <c r="C307">
        <f t="shared" si="3"/>
        <v>2019</v>
      </c>
      <c r="E307" t="s">
        <v>6</v>
      </c>
      <c r="F307">
        <v>104</v>
      </c>
    </row>
    <row r="308" spans="1:6" x14ac:dyDescent="0.25">
      <c r="A308" t="s">
        <v>8</v>
      </c>
      <c r="B308" s="2">
        <v>43564</v>
      </c>
      <c r="C308">
        <f t="shared" si="3"/>
        <v>2019</v>
      </c>
      <c r="E308" t="s">
        <v>6</v>
      </c>
      <c r="F308">
        <v>100.7</v>
      </c>
    </row>
    <row r="309" spans="1:6" x14ac:dyDescent="0.25">
      <c r="A309" t="s">
        <v>8</v>
      </c>
      <c r="B309" s="2">
        <v>43570</v>
      </c>
      <c r="C309">
        <f t="shared" si="3"/>
        <v>2019</v>
      </c>
      <c r="E309" t="s">
        <v>6</v>
      </c>
      <c r="F309">
        <v>100.9</v>
      </c>
    </row>
    <row r="310" spans="1:6" x14ac:dyDescent="0.25">
      <c r="A310" t="s">
        <v>8</v>
      </c>
      <c r="B310" s="2">
        <v>43577</v>
      </c>
      <c r="C310">
        <f t="shared" si="3"/>
        <v>2019</v>
      </c>
      <c r="E310" t="s">
        <v>6</v>
      </c>
      <c r="F310">
        <v>105.2</v>
      </c>
    </row>
    <row r="311" spans="1:6" x14ac:dyDescent="0.25">
      <c r="A311" t="s">
        <v>8</v>
      </c>
      <c r="B311" s="2">
        <v>43584</v>
      </c>
      <c r="C311">
        <f t="shared" si="3"/>
        <v>2019</v>
      </c>
      <c r="E311" t="s">
        <v>6</v>
      </c>
      <c r="F311">
        <v>93.4</v>
      </c>
    </row>
    <row r="312" spans="1:6" x14ac:dyDescent="0.25">
      <c r="A312" t="s">
        <v>8</v>
      </c>
      <c r="B312" s="2">
        <v>43613</v>
      </c>
      <c r="C312">
        <f t="shared" si="3"/>
        <v>2019</v>
      </c>
      <c r="E312" t="s">
        <v>6</v>
      </c>
      <c r="F312">
        <v>109.8</v>
      </c>
    </row>
    <row r="313" spans="1:6" x14ac:dyDescent="0.25">
      <c r="A313" t="s">
        <v>8</v>
      </c>
      <c r="B313" s="2">
        <v>43851</v>
      </c>
      <c r="C313">
        <f t="shared" ref="C313:C374" si="4">YEAR(B313)</f>
        <v>2020</v>
      </c>
      <c r="E313" t="s">
        <v>6</v>
      </c>
      <c r="F313">
        <v>61.3</v>
      </c>
    </row>
    <row r="314" spans="1:6" x14ac:dyDescent="0.25">
      <c r="A314" t="s">
        <v>8</v>
      </c>
      <c r="B314" s="2">
        <v>43880</v>
      </c>
      <c r="C314">
        <f t="shared" si="4"/>
        <v>2020</v>
      </c>
      <c r="E314" t="s">
        <v>6</v>
      </c>
      <c r="F314">
        <v>85.2</v>
      </c>
    </row>
    <row r="315" spans="1:6" x14ac:dyDescent="0.25">
      <c r="A315" t="s">
        <v>8</v>
      </c>
      <c r="B315" s="2">
        <v>43894</v>
      </c>
      <c r="C315">
        <f t="shared" si="4"/>
        <v>2020</v>
      </c>
      <c r="E315" t="s">
        <v>6</v>
      </c>
      <c r="F315">
        <v>82.7</v>
      </c>
    </row>
    <row r="316" spans="1:6" x14ac:dyDescent="0.25">
      <c r="A316" t="s">
        <v>8</v>
      </c>
      <c r="B316" s="2">
        <v>43907</v>
      </c>
      <c r="C316">
        <f t="shared" si="4"/>
        <v>2020</v>
      </c>
      <c r="E316" t="s">
        <v>6</v>
      </c>
      <c r="F316">
        <v>93</v>
      </c>
    </row>
    <row r="317" spans="1:6" x14ac:dyDescent="0.25">
      <c r="A317" t="s">
        <v>8</v>
      </c>
      <c r="B317" s="2">
        <v>43951</v>
      </c>
      <c r="C317">
        <f t="shared" si="4"/>
        <v>2020</v>
      </c>
      <c r="E317" t="s">
        <v>6</v>
      </c>
      <c r="F317">
        <v>108</v>
      </c>
    </row>
    <row r="318" spans="1:6" x14ac:dyDescent="0.25">
      <c r="A318" t="s">
        <v>8</v>
      </c>
      <c r="B318" s="2">
        <v>43963</v>
      </c>
      <c r="C318">
        <f t="shared" si="4"/>
        <v>2020</v>
      </c>
      <c r="E318" t="s">
        <v>6</v>
      </c>
      <c r="F318">
        <v>107.8</v>
      </c>
    </row>
    <row r="319" spans="1:6" x14ac:dyDescent="0.25">
      <c r="A319" t="s">
        <v>8</v>
      </c>
      <c r="B319" s="2">
        <v>43979</v>
      </c>
      <c r="C319">
        <f t="shared" si="4"/>
        <v>2020</v>
      </c>
      <c r="E319" t="s">
        <v>6</v>
      </c>
      <c r="F319">
        <v>107.9</v>
      </c>
    </row>
    <row r="320" spans="1:6" x14ac:dyDescent="0.25">
      <c r="A320" t="s">
        <v>8</v>
      </c>
      <c r="B320" s="2">
        <v>44223</v>
      </c>
      <c r="C320">
        <f t="shared" si="4"/>
        <v>2021</v>
      </c>
      <c r="E320" t="s">
        <v>6</v>
      </c>
      <c r="F320">
        <v>68.09566667</v>
      </c>
    </row>
    <row r="321" spans="1:6" x14ac:dyDescent="0.25">
      <c r="A321" t="s">
        <v>8</v>
      </c>
      <c r="B321" s="2">
        <v>44258</v>
      </c>
      <c r="C321">
        <f t="shared" si="4"/>
        <v>2021</v>
      </c>
      <c r="E321" t="s">
        <v>6</v>
      </c>
      <c r="F321">
        <v>88.180795450000005</v>
      </c>
    </row>
    <row r="322" spans="1:6" x14ac:dyDescent="0.25">
      <c r="A322" t="s">
        <v>8</v>
      </c>
      <c r="B322" s="2">
        <v>44272</v>
      </c>
      <c r="C322">
        <f t="shared" si="4"/>
        <v>2021</v>
      </c>
      <c r="E322" t="s">
        <v>6</v>
      </c>
      <c r="F322">
        <v>97.313999999999993</v>
      </c>
    </row>
    <row r="323" spans="1:6" x14ac:dyDescent="0.25">
      <c r="A323" t="s">
        <v>8</v>
      </c>
      <c r="B323" s="2">
        <v>44286</v>
      </c>
      <c r="C323">
        <f t="shared" si="4"/>
        <v>2021</v>
      </c>
      <c r="E323" t="s">
        <v>6</v>
      </c>
      <c r="F323">
        <v>100.2647778</v>
      </c>
    </row>
    <row r="324" spans="1:6" x14ac:dyDescent="0.25">
      <c r="A324" t="s">
        <v>8</v>
      </c>
      <c r="B324" s="2">
        <v>44300</v>
      </c>
      <c r="C324">
        <f t="shared" si="4"/>
        <v>2021</v>
      </c>
      <c r="E324" t="s">
        <v>6</v>
      </c>
      <c r="F324">
        <v>104.94333330000001</v>
      </c>
    </row>
    <row r="325" spans="1:6" x14ac:dyDescent="0.25">
      <c r="A325" t="s">
        <v>8</v>
      </c>
      <c r="B325" s="2">
        <v>44307</v>
      </c>
      <c r="C325">
        <f t="shared" si="4"/>
        <v>2021</v>
      </c>
      <c r="E325" t="s">
        <v>6</v>
      </c>
      <c r="F325">
        <v>104.7833333</v>
      </c>
    </row>
    <row r="326" spans="1:6" x14ac:dyDescent="0.25">
      <c r="A326" t="s">
        <v>8</v>
      </c>
      <c r="B326" s="2">
        <v>44315</v>
      </c>
      <c r="C326">
        <f t="shared" si="4"/>
        <v>2021</v>
      </c>
      <c r="E326" t="s">
        <v>6</v>
      </c>
      <c r="F326">
        <v>107.1852222</v>
      </c>
    </row>
    <row r="327" spans="1:6" x14ac:dyDescent="0.25">
      <c r="A327" t="s">
        <v>8</v>
      </c>
      <c r="B327" s="2">
        <v>44321</v>
      </c>
      <c r="C327">
        <f t="shared" si="4"/>
        <v>2021</v>
      </c>
      <c r="E327" t="s">
        <v>6</v>
      </c>
      <c r="F327">
        <v>97.25755556</v>
      </c>
    </row>
    <row r="328" spans="1:6" x14ac:dyDescent="0.25">
      <c r="A328" t="s">
        <v>8</v>
      </c>
      <c r="B328" s="2">
        <v>44335</v>
      </c>
      <c r="C328">
        <f t="shared" si="4"/>
        <v>2021</v>
      </c>
      <c r="E328" t="s">
        <v>6</v>
      </c>
      <c r="F328">
        <v>110.47156630000001</v>
      </c>
    </row>
    <row r="329" spans="1:6" x14ac:dyDescent="0.25">
      <c r="A329" t="s">
        <v>8</v>
      </c>
      <c r="B329" s="2">
        <v>44348</v>
      </c>
      <c r="C329">
        <f t="shared" si="4"/>
        <v>2021</v>
      </c>
      <c r="E329" t="s">
        <v>6</v>
      </c>
      <c r="F329">
        <v>104.2146667</v>
      </c>
    </row>
    <row r="330" spans="1:6" x14ac:dyDescent="0.25">
      <c r="A330" t="s">
        <v>8</v>
      </c>
      <c r="B330" s="2">
        <v>42386</v>
      </c>
      <c r="C330">
        <f t="shared" si="4"/>
        <v>2016</v>
      </c>
      <c r="E330" t="s">
        <v>6</v>
      </c>
      <c r="F330">
        <v>65.2</v>
      </c>
    </row>
    <row r="331" spans="1:6" x14ac:dyDescent="0.25">
      <c r="A331" t="s">
        <v>8</v>
      </c>
      <c r="B331" s="2">
        <v>42386</v>
      </c>
      <c r="C331">
        <f t="shared" si="4"/>
        <v>2016</v>
      </c>
      <c r="E331" t="s">
        <v>6</v>
      </c>
      <c r="F331">
        <v>62.3</v>
      </c>
    </row>
    <row r="332" spans="1:6" x14ac:dyDescent="0.25">
      <c r="A332" t="s">
        <v>8</v>
      </c>
      <c r="B332" s="2">
        <v>42386</v>
      </c>
      <c r="C332">
        <f t="shared" si="4"/>
        <v>2016</v>
      </c>
      <c r="E332" t="s">
        <v>6</v>
      </c>
      <c r="F332">
        <v>61.2</v>
      </c>
    </row>
    <row r="333" spans="1:6" x14ac:dyDescent="0.25">
      <c r="A333" t="s">
        <v>8</v>
      </c>
      <c r="B333" s="2">
        <v>42389</v>
      </c>
      <c r="C333">
        <f t="shared" si="4"/>
        <v>2016</v>
      </c>
      <c r="E333" t="s">
        <v>6</v>
      </c>
      <c r="F333">
        <v>61</v>
      </c>
    </row>
    <row r="334" spans="1:6" x14ac:dyDescent="0.25">
      <c r="A334" t="s">
        <v>8</v>
      </c>
      <c r="B334" s="2">
        <v>42424</v>
      </c>
      <c r="C334">
        <f t="shared" si="4"/>
        <v>2016</v>
      </c>
      <c r="E334" t="s">
        <v>6</v>
      </c>
      <c r="F334">
        <v>91.7</v>
      </c>
    </row>
    <row r="335" spans="1:6" x14ac:dyDescent="0.25">
      <c r="A335" t="s">
        <v>8</v>
      </c>
      <c r="B335" s="2">
        <v>42424</v>
      </c>
      <c r="C335">
        <f t="shared" si="4"/>
        <v>2016</v>
      </c>
      <c r="E335" t="s">
        <v>6</v>
      </c>
      <c r="F335">
        <v>88.5</v>
      </c>
    </row>
    <row r="336" spans="1:6" x14ac:dyDescent="0.25">
      <c r="A336" t="s">
        <v>8</v>
      </c>
      <c r="B336" s="2">
        <v>42424</v>
      </c>
      <c r="C336">
        <f t="shared" si="4"/>
        <v>2016</v>
      </c>
      <c r="E336" t="s">
        <v>6</v>
      </c>
      <c r="F336">
        <v>81.3</v>
      </c>
    </row>
    <row r="337" spans="1:6" x14ac:dyDescent="0.25">
      <c r="A337" t="s">
        <v>8</v>
      </c>
      <c r="B337" s="2">
        <v>42424</v>
      </c>
      <c r="C337">
        <f t="shared" si="4"/>
        <v>2016</v>
      </c>
      <c r="E337" t="s">
        <v>6</v>
      </c>
      <c r="F337">
        <v>78.599999999999994</v>
      </c>
    </row>
    <row r="338" spans="1:6" x14ac:dyDescent="0.25">
      <c r="A338" t="s">
        <v>8</v>
      </c>
      <c r="B338" s="2">
        <v>42438</v>
      </c>
      <c r="C338">
        <f t="shared" si="4"/>
        <v>2016</v>
      </c>
      <c r="E338" t="s">
        <v>6</v>
      </c>
      <c r="F338">
        <v>85.2</v>
      </c>
    </row>
    <row r="339" spans="1:6" x14ac:dyDescent="0.25">
      <c r="A339" t="s">
        <v>8</v>
      </c>
      <c r="B339" s="2">
        <v>42439</v>
      </c>
      <c r="C339">
        <f t="shared" si="4"/>
        <v>2016</v>
      </c>
      <c r="E339" t="s">
        <v>6</v>
      </c>
      <c r="F339">
        <v>100.6</v>
      </c>
    </row>
    <row r="340" spans="1:6" x14ac:dyDescent="0.25">
      <c r="A340" t="s">
        <v>8</v>
      </c>
      <c r="B340" s="2">
        <v>42439</v>
      </c>
      <c r="C340">
        <f t="shared" si="4"/>
        <v>2016</v>
      </c>
      <c r="E340" t="s">
        <v>6</v>
      </c>
      <c r="F340">
        <v>99.5</v>
      </c>
    </row>
    <row r="341" spans="1:6" x14ac:dyDescent="0.25">
      <c r="A341" t="s">
        <v>8</v>
      </c>
      <c r="B341" s="2">
        <v>42439</v>
      </c>
      <c r="C341">
        <f t="shared" si="4"/>
        <v>2016</v>
      </c>
      <c r="E341" t="s">
        <v>6</v>
      </c>
      <c r="F341">
        <v>85.7</v>
      </c>
    </row>
    <row r="342" spans="1:6" x14ac:dyDescent="0.25">
      <c r="A342" t="s">
        <v>8</v>
      </c>
      <c r="B342" s="2">
        <v>42452</v>
      </c>
      <c r="C342">
        <f t="shared" si="4"/>
        <v>2016</v>
      </c>
      <c r="E342" t="s">
        <v>6</v>
      </c>
      <c r="F342">
        <v>109.5</v>
      </c>
    </row>
    <row r="343" spans="1:6" x14ac:dyDescent="0.25">
      <c r="A343" t="s">
        <v>8</v>
      </c>
      <c r="B343" s="2">
        <v>42452</v>
      </c>
      <c r="C343">
        <f t="shared" si="4"/>
        <v>2016</v>
      </c>
      <c r="E343" t="s">
        <v>6</v>
      </c>
      <c r="F343">
        <v>103.6</v>
      </c>
    </row>
    <row r="344" spans="1:6" x14ac:dyDescent="0.25">
      <c r="A344" t="s">
        <v>8</v>
      </c>
      <c r="B344" s="2">
        <v>42452</v>
      </c>
      <c r="C344">
        <f t="shared" si="4"/>
        <v>2016</v>
      </c>
      <c r="E344" t="s">
        <v>6</v>
      </c>
      <c r="F344">
        <v>93.8</v>
      </c>
    </row>
    <row r="345" spans="1:6" x14ac:dyDescent="0.25">
      <c r="A345" t="s">
        <v>8</v>
      </c>
      <c r="B345" s="2">
        <v>42452</v>
      </c>
      <c r="C345">
        <f t="shared" si="4"/>
        <v>2016</v>
      </c>
      <c r="E345" t="s">
        <v>6</v>
      </c>
      <c r="F345">
        <v>91.6</v>
      </c>
    </row>
    <row r="346" spans="1:6" x14ac:dyDescent="0.25">
      <c r="A346" t="s">
        <v>8</v>
      </c>
      <c r="B346" s="2">
        <v>42467</v>
      </c>
      <c r="C346">
        <f t="shared" si="4"/>
        <v>2016</v>
      </c>
      <c r="E346" t="s">
        <v>6</v>
      </c>
      <c r="F346">
        <v>118.7</v>
      </c>
    </row>
    <row r="347" spans="1:6" x14ac:dyDescent="0.25">
      <c r="A347" t="s">
        <v>8</v>
      </c>
      <c r="B347" s="2">
        <v>42467</v>
      </c>
      <c r="C347">
        <f t="shared" si="4"/>
        <v>2016</v>
      </c>
      <c r="E347" t="s">
        <v>6</v>
      </c>
      <c r="F347">
        <v>113.1</v>
      </c>
    </row>
    <row r="348" spans="1:6" x14ac:dyDescent="0.25">
      <c r="A348" t="s">
        <v>8</v>
      </c>
      <c r="B348" s="2">
        <v>42467</v>
      </c>
      <c r="C348">
        <f t="shared" si="4"/>
        <v>2016</v>
      </c>
      <c r="E348" t="s">
        <v>6</v>
      </c>
      <c r="F348">
        <v>102</v>
      </c>
    </row>
    <row r="349" spans="1:6" x14ac:dyDescent="0.25">
      <c r="A349" t="s">
        <v>8</v>
      </c>
      <c r="B349" s="2">
        <v>42467</v>
      </c>
      <c r="C349">
        <f t="shared" si="4"/>
        <v>2016</v>
      </c>
      <c r="E349" t="s">
        <v>6</v>
      </c>
      <c r="F349">
        <v>99.5</v>
      </c>
    </row>
    <row r="350" spans="1:6" x14ac:dyDescent="0.25">
      <c r="A350" t="s">
        <v>8</v>
      </c>
      <c r="B350" s="2">
        <v>42474</v>
      </c>
      <c r="C350">
        <f t="shared" si="4"/>
        <v>2016</v>
      </c>
      <c r="E350" t="s">
        <v>6</v>
      </c>
      <c r="F350">
        <v>101.5</v>
      </c>
    </row>
    <row r="351" spans="1:6" x14ac:dyDescent="0.25">
      <c r="A351" t="s">
        <v>8</v>
      </c>
      <c r="B351" s="2">
        <v>42475</v>
      </c>
      <c r="C351">
        <f t="shared" si="4"/>
        <v>2016</v>
      </c>
      <c r="E351" t="s">
        <v>6</v>
      </c>
      <c r="F351">
        <v>118.9</v>
      </c>
    </row>
    <row r="352" spans="1:6" x14ac:dyDescent="0.25">
      <c r="A352" t="s">
        <v>8</v>
      </c>
      <c r="B352" s="2">
        <v>42475</v>
      </c>
      <c r="C352">
        <f t="shared" si="4"/>
        <v>2016</v>
      </c>
      <c r="E352" t="s">
        <v>6</v>
      </c>
      <c r="F352">
        <v>112.3</v>
      </c>
    </row>
    <row r="353" spans="1:6" x14ac:dyDescent="0.25">
      <c r="A353" t="s">
        <v>8</v>
      </c>
      <c r="B353" s="2">
        <v>42475</v>
      </c>
      <c r="C353">
        <f t="shared" si="4"/>
        <v>2016</v>
      </c>
      <c r="E353" t="s">
        <v>6</v>
      </c>
      <c r="F353">
        <v>104.3</v>
      </c>
    </row>
    <row r="354" spans="1:6" x14ac:dyDescent="0.25">
      <c r="A354" t="s">
        <v>8</v>
      </c>
      <c r="B354" s="2">
        <v>42482</v>
      </c>
      <c r="C354">
        <f t="shared" si="4"/>
        <v>2016</v>
      </c>
      <c r="E354" t="s">
        <v>6</v>
      </c>
      <c r="F354">
        <v>120.9</v>
      </c>
    </row>
    <row r="355" spans="1:6" x14ac:dyDescent="0.25">
      <c r="A355" t="s">
        <v>8</v>
      </c>
      <c r="B355" s="2">
        <v>42482</v>
      </c>
      <c r="C355">
        <f t="shared" si="4"/>
        <v>2016</v>
      </c>
      <c r="E355" t="s">
        <v>6</v>
      </c>
      <c r="F355">
        <v>114.2</v>
      </c>
    </row>
    <row r="356" spans="1:6" x14ac:dyDescent="0.25">
      <c r="A356" t="s">
        <v>8</v>
      </c>
      <c r="B356" s="2">
        <v>42482</v>
      </c>
      <c r="C356">
        <f t="shared" si="4"/>
        <v>2016</v>
      </c>
      <c r="E356" t="s">
        <v>6</v>
      </c>
      <c r="F356">
        <v>102.6</v>
      </c>
    </row>
    <row r="357" spans="1:6" x14ac:dyDescent="0.25">
      <c r="A357" t="s">
        <v>8</v>
      </c>
      <c r="B357" s="2">
        <v>42482</v>
      </c>
      <c r="C357">
        <f t="shared" si="4"/>
        <v>2016</v>
      </c>
      <c r="E357" t="s">
        <v>6</v>
      </c>
      <c r="F357">
        <v>101</v>
      </c>
    </row>
    <row r="358" spans="1:6" x14ac:dyDescent="0.25">
      <c r="A358" t="s">
        <v>8</v>
      </c>
      <c r="B358" s="2">
        <v>42489</v>
      </c>
      <c r="C358">
        <f t="shared" si="4"/>
        <v>2016</v>
      </c>
      <c r="E358" t="s">
        <v>6</v>
      </c>
      <c r="F358">
        <v>122.8</v>
      </c>
    </row>
    <row r="359" spans="1:6" x14ac:dyDescent="0.25">
      <c r="A359" t="s">
        <v>8</v>
      </c>
      <c r="B359" s="2">
        <v>42489</v>
      </c>
      <c r="C359">
        <f t="shared" si="4"/>
        <v>2016</v>
      </c>
      <c r="E359" t="s">
        <v>6</v>
      </c>
      <c r="F359">
        <v>117.3</v>
      </c>
    </row>
    <row r="360" spans="1:6" x14ac:dyDescent="0.25">
      <c r="A360" t="s">
        <v>8</v>
      </c>
      <c r="B360" s="2">
        <v>42489</v>
      </c>
      <c r="C360">
        <f t="shared" si="4"/>
        <v>2016</v>
      </c>
      <c r="E360" t="s">
        <v>6</v>
      </c>
      <c r="F360">
        <v>103.3</v>
      </c>
    </row>
    <row r="361" spans="1:6" x14ac:dyDescent="0.25">
      <c r="A361" t="s">
        <v>8</v>
      </c>
      <c r="B361" s="2">
        <v>42489</v>
      </c>
      <c r="C361">
        <f t="shared" si="4"/>
        <v>2016</v>
      </c>
      <c r="E361" t="s">
        <v>6</v>
      </c>
      <c r="F361">
        <v>104.8</v>
      </c>
    </row>
    <row r="362" spans="1:6" x14ac:dyDescent="0.25">
      <c r="A362" t="s">
        <v>8</v>
      </c>
      <c r="B362" s="2">
        <v>42494</v>
      </c>
      <c r="C362">
        <f t="shared" si="4"/>
        <v>2016</v>
      </c>
      <c r="E362" t="s">
        <v>6</v>
      </c>
      <c r="F362">
        <v>108.8</v>
      </c>
    </row>
    <row r="363" spans="1:6" x14ac:dyDescent="0.25">
      <c r="A363" t="s">
        <v>8</v>
      </c>
      <c r="B363" s="2">
        <v>42496</v>
      </c>
      <c r="C363">
        <f t="shared" si="4"/>
        <v>2016</v>
      </c>
      <c r="E363" t="s">
        <v>6</v>
      </c>
      <c r="F363">
        <v>122</v>
      </c>
    </row>
    <row r="364" spans="1:6" x14ac:dyDescent="0.25">
      <c r="A364" t="s">
        <v>8</v>
      </c>
      <c r="B364" s="2">
        <v>42496</v>
      </c>
      <c r="C364">
        <f t="shared" si="4"/>
        <v>2016</v>
      </c>
      <c r="E364" t="s">
        <v>6</v>
      </c>
      <c r="F364">
        <v>123.2</v>
      </c>
    </row>
    <row r="365" spans="1:6" x14ac:dyDescent="0.25">
      <c r="A365" t="s">
        <v>8</v>
      </c>
      <c r="B365" s="2">
        <v>42496</v>
      </c>
      <c r="C365">
        <f t="shared" si="4"/>
        <v>2016</v>
      </c>
      <c r="E365" t="s">
        <v>6</v>
      </c>
      <c r="F365">
        <v>104.9</v>
      </c>
    </row>
    <row r="366" spans="1:6" x14ac:dyDescent="0.25">
      <c r="A366" t="s">
        <v>8</v>
      </c>
      <c r="B366" s="2">
        <v>42509</v>
      </c>
      <c r="C366">
        <f t="shared" si="4"/>
        <v>2016</v>
      </c>
      <c r="E366" t="s">
        <v>6</v>
      </c>
      <c r="F366">
        <v>122.6</v>
      </c>
    </row>
    <row r="367" spans="1:6" x14ac:dyDescent="0.25">
      <c r="A367" t="s">
        <v>8</v>
      </c>
      <c r="B367" s="2">
        <v>42509</v>
      </c>
      <c r="C367">
        <f t="shared" si="4"/>
        <v>2016</v>
      </c>
      <c r="E367" t="s">
        <v>6</v>
      </c>
      <c r="F367">
        <v>110.8</v>
      </c>
    </row>
    <row r="368" spans="1:6" x14ac:dyDescent="0.25">
      <c r="A368" t="s">
        <v>8</v>
      </c>
      <c r="B368" s="2">
        <v>42509</v>
      </c>
      <c r="C368">
        <f t="shared" si="4"/>
        <v>2016</v>
      </c>
      <c r="E368" t="s">
        <v>6</v>
      </c>
      <c r="F368">
        <v>110</v>
      </c>
    </row>
    <row r="369" spans="1:6" x14ac:dyDescent="0.25">
      <c r="A369" t="s">
        <v>8</v>
      </c>
      <c r="B369" s="2">
        <v>42510</v>
      </c>
      <c r="C369">
        <f t="shared" si="4"/>
        <v>2016</v>
      </c>
      <c r="E369" t="s">
        <v>6</v>
      </c>
      <c r="F369">
        <v>121.7</v>
      </c>
    </row>
    <row r="370" spans="1:6" x14ac:dyDescent="0.25">
      <c r="A370" t="s">
        <v>8</v>
      </c>
      <c r="B370" s="2">
        <v>42522</v>
      </c>
      <c r="C370">
        <f t="shared" si="4"/>
        <v>2016</v>
      </c>
      <c r="E370" t="s">
        <v>6</v>
      </c>
      <c r="F370">
        <v>109</v>
      </c>
    </row>
    <row r="371" spans="1:6" x14ac:dyDescent="0.25">
      <c r="A371" t="s">
        <v>8</v>
      </c>
      <c r="B371" s="2">
        <v>42523</v>
      </c>
      <c r="C371">
        <f t="shared" si="4"/>
        <v>2016</v>
      </c>
      <c r="E371" t="s">
        <v>6</v>
      </c>
      <c r="F371">
        <v>121.5</v>
      </c>
    </row>
    <row r="372" spans="1:6" x14ac:dyDescent="0.25">
      <c r="A372" t="s">
        <v>8</v>
      </c>
      <c r="B372" s="2">
        <v>42523</v>
      </c>
      <c r="C372">
        <f t="shared" si="4"/>
        <v>2016</v>
      </c>
      <c r="E372" t="s">
        <v>6</v>
      </c>
      <c r="F372">
        <v>121.1</v>
      </c>
    </row>
    <row r="373" spans="1:6" x14ac:dyDescent="0.25">
      <c r="A373" t="s">
        <v>8</v>
      </c>
      <c r="B373" s="2">
        <v>42523</v>
      </c>
      <c r="C373">
        <f t="shared" si="4"/>
        <v>2016</v>
      </c>
      <c r="E373" t="s">
        <v>6</v>
      </c>
      <c r="F373">
        <v>108.4</v>
      </c>
    </row>
    <row r="374" spans="1:6" x14ac:dyDescent="0.25">
      <c r="A374" t="s">
        <v>8</v>
      </c>
      <c r="B374" s="2">
        <v>42531</v>
      </c>
      <c r="C374">
        <f t="shared" si="4"/>
        <v>2016</v>
      </c>
      <c r="E374" t="s">
        <v>6</v>
      </c>
      <c r="F374">
        <v>124</v>
      </c>
    </row>
    <row r="375" spans="1:6" x14ac:dyDescent="0.25">
      <c r="A375" t="s">
        <v>8</v>
      </c>
      <c r="B375" s="2">
        <v>42535</v>
      </c>
      <c r="C375">
        <f t="shared" ref="C375:C438" si="5">YEAR(B375)</f>
        <v>2016</v>
      </c>
      <c r="E375" t="s">
        <v>6</v>
      </c>
      <c r="F375">
        <v>123.9</v>
      </c>
    </row>
    <row r="376" spans="1:6" x14ac:dyDescent="0.25">
      <c r="A376" t="s">
        <v>8</v>
      </c>
      <c r="B376" s="2">
        <v>42535</v>
      </c>
      <c r="C376">
        <f t="shared" si="5"/>
        <v>2016</v>
      </c>
      <c r="E376" t="s">
        <v>6</v>
      </c>
      <c r="F376">
        <v>114.6</v>
      </c>
    </row>
    <row r="377" spans="1:6" x14ac:dyDescent="0.25">
      <c r="A377" t="s">
        <v>8</v>
      </c>
      <c r="B377" s="2">
        <v>42753</v>
      </c>
      <c r="C377">
        <f t="shared" si="5"/>
        <v>2017</v>
      </c>
      <c r="E377" t="s">
        <v>6</v>
      </c>
      <c r="F377">
        <v>63.7</v>
      </c>
    </row>
    <row r="378" spans="1:6" x14ac:dyDescent="0.25">
      <c r="A378" t="s">
        <v>8</v>
      </c>
      <c r="B378" s="2">
        <v>42753</v>
      </c>
      <c r="C378">
        <f t="shared" si="5"/>
        <v>2017</v>
      </c>
      <c r="E378" t="s">
        <v>6</v>
      </c>
      <c r="F378">
        <v>64.7</v>
      </c>
    </row>
    <row r="379" spans="1:6" x14ac:dyDescent="0.25">
      <c r="A379" t="s">
        <v>8</v>
      </c>
      <c r="B379" s="2">
        <v>42753</v>
      </c>
      <c r="C379">
        <f t="shared" si="5"/>
        <v>2017</v>
      </c>
      <c r="E379" t="s">
        <v>6</v>
      </c>
      <c r="F379">
        <v>67.099999999999994</v>
      </c>
    </row>
    <row r="380" spans="1:6" x14ac:dyDescent="0.25">
      <c r="A380" t="s">
        <v>8</v>
      </c>
      <c r="B380" s="2">
        <v>42753</v>
      </c>
      <c r="C380">
        <f t="shared" si="5"/>
        <v>2017</v>
      </c>
      <c r="E380" t="s">
        <v>6</v>
      </c>
      <c r="F380">
        <v>70.2</v>
      </c>
    </row>
    <row r="381" spans="1:6" x14ac:dyDescent="0.25">
      <c r="A381" t="s">
        <v>8</v>
      </c>
      <c r="B381" s="2">
        <v>42788</v>
      </c>
      <c r="C381">
        <f t="shared" si="5"/>
        <v>2017</v>
      </c>
      <c r="E381" t="s">
        <v>6</v>
      </c>
      <c r="F381">
        <v>93.9</v>
      </c>
    </row>
    <row r="382" spans="1:6" x14ac:dyDescent="0.25">
      <c r="A382" t="s">
        <v>8</v>
      </c>
      <c r="B382" s="2">
        <v>42789</v>
      </c>
      <c r="C382">
        <f t="shared" si="5"/>
        <v>2017</v>
      </c>
      <c r="E382" t="s">
        <v>6</v>
      </c>
      <c r="F382">
        <v>84.1</v>
      </c>
    </row>
    <row r="383" spans="1:6" x14ac:dyDescent="0.25">
      <c r="A383" t="s">
        <v>8</v>
      </c>
      <c r="B383" s="2">
        <v>42789</v>
      </c>
      <c r="C383">
        <f t="shared" si="5"/>
        <v>2017</v>
      </c>
      <c r="E383" t="s">
        <v>6</v>
      </c>
      <c r="F383">
        <v>96</v>
      </c>
    </row>
    <row r="384" spans="1:6" x14ac:dyDescent="0.25">
      <c r="A384" t="s">
        <v>8</v>
      </c>
      <c r="B384" s="2">
        <v>42789</v>
      </c>
      <c r="C384">
        <f t="shared" si="5"/>
        <v>2017</v>
      </c>
      <c r="E384" t="s">
        <v>6</v>
      </c>
      <c r="F384">
        <v>85.8</v>
      </c>
    </row>
    <row r="385" spans="1:6" x14ac:dyDescent="0.25">
      <c r="A385" t="s">
        <v>8</v>
      </c>
      <c r="B385" s="2">
        <v>42803</v>
      </c>
      <c r="C385">
        <f t="shared" si="5"/>
        <v>2017</v>
      </c>
      <c r="E385" t="s">
        <v>6</v>
      </c>
      <c r="F385">
        <v>107.9</v>
      </c>
    </row>
    <row r="386" spans="1:6" x14ac:dyDescent="0.25">
      <c r="A386" t="s">
        <v>8</v>
      </c>
      <c r="B386" s="2">
        <v>42803</v>
      </c>
      <c r="C386">
        <f t="shared" si="5"/>
        <v>2017</v>
      </c>
      <c r="E386" t="s">
        <v>6</v>
      </c>
      <c r="F386">
        <v>102.9</v>
      </c>
    </row>
    <row r="387" spans="1:6" x14ac:dyDescent="0.25">
      <c r="A387" t="s">
        <v>8</v>
      </c>
      <c r="B387" s="2">
        <v>42804</v>
      </c>
      <c r="C387">
        <f t="shared" si="5"/>
        <v>2017</v>
      </c>
      <c r="E387" t="s">
        <v>6</v>
      </c>
      <c r="F387">
        <v>94.6</v>
      </c>
    </row>
    <row r="388" spans="1:6" x14ac:dyDescent="0.25">
      <c r="A388" t="s">
        <v>8</v>
      </c>
      <c r="B388" s="2">
        <v>42804</v>
      </c>
      <c r="C388">
        <f t="shared" si="5"/>
        <v>2017</v>
      </c>
      <c r="E388" t="s">
        <v>6</v>
      </c>
      <c r="F388">
        <v>98.9</v>
      </c>
    </row>
    <row r="389" spans="1:6" x14ac:dyDescent="0.25">
      <c r="A389" t="s">
        <v>8</v>
      </c>
      <c r="B389" s="2">
        <v>42816</v>
      </c>
      <c r="C389">
        <f t="shared" si="5"/>
        <v>2017</v>
      </c>
      <c r="E389" t="s">
        <v>6</v>
      </c>
      <c r="F389">
        <v>110.9</v>
      </c>
    </row>
    <row r="390" spans="1:6" x14ac:dyDescent="0.25">
      <c r="A390" t="s">
        <v>8</v>
      </c>
      <c r="B390" s="2">
        <v>42817</v>
      </c>
      <c r="C390">
        <f t="shared" si="5"/>
        <v>2017</v>
      </c>
      <c r="E390" t="s">
        <v>6</v>
      </c>
      <c r="F390">
        <v>101.5</v>
      </c>
    </row>
    <row r="391" spans="1:6" x14ac:dyDescent="0.25">
      <c r="A391" t="s">
        <v>8</v>
      </c>
      <c r="B391" s="2">
        <v>42817</v>
      </c>
      <c r="C391">
        <f t="shared" si="5"/>
        <v>2017</v>
      </c>
      <c r="E391" t="s">
        <v>6</v>
      </c>
      <c r="F391">
        <v>112.1</v>
      </c>
    </row>
    <row r="392" spans="1:6" x14ac:dyDescent="0.25">
      <c r="A392" t="s">
        <v>8</v>
      </c>
      <c r="B392" s="2">
        <v>42817</v>
      </c>
      <c r="C392">
        <f t="shared" si="5"/>
        <v>2017</v>
      </c>
      <c r="E392" t="s">
        <v>6</v>
      </c>
      <c r="F392">
        <v>105.8</v>
      </c>
    </row>
    <row r="393" spans="1:6" x14ac:dyDescent="0.25">
      <c r="A393" t="s">
        <v>8</v>
      </c>
      <c r="B393" s="2">
        <v>42831</v>
      </c>
      <c r="C393">
        <f t="shared" si="5"/>
        <v>2017</v>
      </c>
      <c r="E393" t="s">
        <v>6</v>
      </c>
      <c r="F393">
        <v>126.1</v>
      </c>
    </row>
    <row r="394" spans="1:6" x14ac:dyDescent="0.25">
      <c r="A394" t="s">
        <v>8</v>
      </c>
      <c r="B394" s="2">
        <v>42832</v>
      </c>
      <c r="C394">
        <f t="shared" si="5"/>
        <v>2017</v>
      </c>
      <c r="E394" t="s">
        <v>6</v>
      </c>
      <c r="F394">
        <v>109.7</v>
      </c>
    </row>
    <row r="395" spans="1:6" x14ac:dyDescent="0.25">
      <c r="A395" t="s">
        <v>8</v>
      </c>
      <c r="B395" s="2">
        <v>42832</v>
      </c>
      <c r="C395">
        <f t="shared" si="5"/>
        <v>2017</v>
      </c>
      <c r="E395" t="s">
        <v>6</v>
      </c>
      <c r="F395">
        <v>123.2</v>
      </c>
    </row>
    <row r="396" spans="1:6" x14ac:dyDescent="0.25">
      <c r="A396" t="s">
        <v>8</v>
      </c>
      <c r="B396" s="2">
        <v>42832</v>
      </c>
      <c r="C396">
        <f t="shared" si="5"/>
        <v>2017</v>
      </c>
      <c r="E396" t="s">
        <v>6</v>
      </c>
      <c r="F396">
        <v>116.9</v>
      </c>
    </row>
    <row r="397" spans="1:6" x14ac:dyDescent="0.25">
      <c r="A397" t="s">
        <v>8</v>
      </c>
      <c r="B397" s="2">
        <v>42837</v>
      </c>
      <c r="C397">
        <f t="shared" si="5"/>
        <v>2017</v>
      </c>
      <c r="E397" t="s">
        <v>6</v>
      </c>
      <c r="F397">
        <v>128.69999999999999</v>
      </c>
    </row>
    <row r="398" spans="1:6" x14ac:dyDescent="0.25">
      <c r="A398" t="s">
        <v>8</v>
      </c>
      <c r="B398" s="2">
        <v>42838</v>
      </c>
      <c r="C398">
        <f t="shared" si="5"/>
        <v>2017</v>
      </c>
      <c r="E398" t="s">
        <v>6</v>
      </c>
      <c r="F398">
        <v>115.1</v>
      </c>
    </row>
    <row r="399" spans="1:6" x14ac:dyDescent="0.25">
      <c r="A399" t="s">
        <v>8</v>
      </c>
      <c r="B399" s="2">
        <v>42838</v>
      </c>
      <c r="C399">
        <f t="shared" si="5"/>
        <v>2017</v>
      </c>
      <c r="E399" t="s">
        <v>6</v>
      </c>
      <c r="F399">
        <v>127.2</v>
      </c>
    </row>
    <row r="400" spans="1:6" x14ac:dyDescent="0.25">
      <c r="A400" t="s">
        <v>8</v>
      </c>
      <c r="B400" s="2">
        <v>42838</v>
      </c>
      <c r="C400">
        <f t="shared" si="5"/>
        <v>2017</v>
      </c>
      <c r="E400" t="s">
        <v>6</v>
      </c>
      <c r="F400">
        <v>119.1</v>
      </c>
    </row>
    <row r="401" spans="1:6" x14ac:dyDescent="0.25">
      <c r="A401" t="s">
        <v>8</v>
      </c>
      <c r="B401" s="2">
        <v>42844</v>
      </c>
      <c r="C401">
        <f t="shared" si="5"/>
        <v>2017</v>
      </c>
      <c r="E401" t="s">
        <v>6</v>
      </c>
      <c r="F401">
        <v>131.69999999999999</v>
      </c>
    </row>
    <row r="402" spans="1:6" x14ac:dyDescent="0.25">
      <c r="A402" t="s">
        <v>8</v>
      </c>
      <c r="B402" s="2">
        <v>42845</v>
      </c>
      <c r="C402">
        <f t="shared" si="5"/>
        <v>2017</v>
      </c>
      <c r="E402" t="s">
        <v>6</v>
      </c>
      <c r="F402">
        <v>116</v>
      </c>
    </row>
    <row r="403" spans="1:6" x14ac:dyDescent="0.25">
      <c r="A403" t="s">
        <v>8</v>
      </c>
      <c r="B403" s="2">
        <v>42845</v>
      </c>
      <c r="C403">
        <f t="shared" si="5"/>
        <v>2017</v>
      </c>
      <c r="E403" t="s">
        <v>6</v>
      </c>
      <c r="F403">
        <v>125.3</v>
      </c>
    </row>
    <row r="404" spans="1:6" x14ac:dyDescent="0.25">
      <c r="A404" t="s">
        <v>8</v>
      </c>
      <c r="B404" s="2">
        <v>42845</v>
      </c>
      <c r="C404">
        <f t="shared" si="5"/>
        <v>2017</v>
      </c>
      <c r="E404" t="s">
        <v>6</v>
      </c>
      <c r="F404">
        <v>120.2</v>
      </c>
    </row>
    <row r="405" spans="1:6" x14ac:dyDescent="0.25">
      <c r="A405" t="s">
        <v>8</v>
      </c>
      <c r="B405" s="2">
        <v>42853</v>
      </c>
      <c r="C405">
        <f t="shared" si="5"/>
        <v>2017</v>
      </c>
      <c r="E405" t="s">
        <v>6</v>
      </c>
      <c r="F405">
        <v>114.2</v>
      </c>
    </row>
    <row r="406" spans="1:6" x14ac:dyDescent="0.25">
      <c r="A406" t="s">
        <v>8</v>
      </c>
      <c r="B406" s="2">
        <v>42853</v>
      </c>
      <c r="C406">
        <f t="shared" si="5"/>
        <v>2017</v>
      </c>
      <c r="E406" t="s">
        <v>6</v>
      </c>
      <c r="F406">
        <v>125.6</v>
      </c>
    </row>
    <row r="407" spans="1:6" x14ac:dyDescent="0.25">
      <c r="A407" t="s">
        <v>8</v>
      </c>
      <c r="B407" s="2">
        <v>42853</v>
      </c>
      <c r="C407">
        <f t="shared" si="5"/>
        <v>2017</v>
      </c>
      <c r="E407" t="s">
        <v>6</v>
      </c>
      <c r="F407">
        <v>120.9</v>
      </c>
    </row>
    <row r="408" spans="1:6" x14ac:dyDescent="0.25">
      <c r="A408" t="s">
        <v>8</v>
      </c>
      <c r="B408" s="2">
        <v>42853</v>
      </c>
      <c r="C408">
        <f t="shared" si="5"/>
        <v>2017</v>
      </c>
      <c r="E408" t="s">
        <v>6</v>
      </c>
      <c r="F408">
        <v>130.30000000000001</v>
      </c>
    </row>
    <row r="409" spans="1:6" x14ac:dyDescent="0.25">
      <c r="A409" t="s">
        <v>8</v>
      </c>
      <c r="B409" s="2">
        <v>42858</v>
      </c>
      <c r="C409">
        <f t="shared" si="5"/>
        <v>2017</v>
      </c>
      <c r="E409" t="s">
        <v>6</v>
      </c>
      <c r="F409">
        <v>135.9</v>
      </c>
    </row>
    <row r="410" spans="1:6" x14ac:dyDescent="0.25">
      <c r="A410" t="s">
        <v>8</v>
      </c>
      <c r="B410" s="2">
        <v>42859</v>
      </c>
      <c r="C410">
        <f t="shared" si="5"/>
        <v>2017</v>
      </c>
      <c r="E410" t="s">
        <v>6</v>
      </c>
      <c r="F410">
        <v>128.4</v>
      </c>
    </row>
    <row r="411" spans="1:6" x14ac:dyDescent="0.25">
      <c r="A411" t="s">
        <v>8</v>
      </c>
      <c r="B411" s="2">
        <v>42860</v>
      </c>
      <c r="C411">
        <f t="shared" si="5"/>
        <v>2017</v>
      </c>
      <c r="E411" t="s">
        <v>6</v>
      </c>
      <c r="F411">
        <v>116</v>
      </c>
    </row>
    <row r="412" spans="1:6" x14ac:dyDescent="0.25">
      <c r="A412" t="s">
        <v>8</v>
      </c>
      <c r="B412" s="2">
        <v>42860</v>
      </c>
      <c r="C412">
        <f t="shared" si="5"/>
        <v>2017</v>
      </c>
      <c r="E412" t="s">
        <v>6</v>
      </c>
      <c r="F412">
        <v>121.5</v>
      </c>
    </row>
    <row r="413" spans="1:6" x14ac:dyDescent="0.25">
      <c r="A413" t="s">
        <v>8</v>
      </c>
      <c r="B413" s="2">
        <v>42872</v>
      </c>
      <c r="C413">
        <f t="shared" si="5"/>
        <v>2017</v>
      </c>
      <c r="E413" t="s">
        <v>6</v>
      </c>
      <c r="F413">
        <v>130.30000000000001</v>
      </c>
    </row>
    <row r="414" spans="1:6" x14ac:dyDescent="0.25">
      <c r="A414" t="s">
        <v>8</v>
      </c>
      <c r="B414" s="2">
        <v>42873</v>
      </c>
      <c r="C414">
        <f t="shared" si="5"/>
        <v>2017</v>
      </c>
      <c r="E414" t="s">
        <v>6</v>
      </c>
      <c r="F414">
        <v>121.6</v>
      </c>
    </row>
    <row r="415" spans="1:6" x14ac:dyDescent="0.25">
      <c r="A415" t="s">
        <v>8</v>
      </c>
      <c r="B415" s="2">
        <v>42873</v>
      </c>
      <c r="C415">
        <f t="shared" si="5"/>
        <v>2017</v>
      </c>
      <c r="E415" t="s">
        <v>6</v>
      </c>
      <c r="F415">
        <v>131.6</v>
      </c>
    </row>
    <row r="416" spans="1:6" x14ac:dyDescent="0.25">
      <c r="A416" t="s">
        <v>8</v>
      </c>
      <c r="B416" s="2">
        <v>42873</v>
      </c>
      <c r="C416">
        <f t="shared" si="5"/>
        <v>2017</v>
      </c>
      <c r="E416" t="s">
        <v>6</v>
      </c>
      <c r="F416">
        <v>123</v>
      </c>
    </row>
    <row r="417" spans="1:6" x14ac:dyDescent="0.25">
      <c r="A417" t="s">
        <v>8</v>
      </c>
      <c r="B417" s="2">
        <v>42886</v>
      </c>
      <c r="C417">
        <f t="shared" si="5"/>
        <v>2017</v>
      </c>
      <c r="E417" t="s">
        <v>6</v>
      </c>
      <c r="F417">
        <v>133.1</v>
      </c>
    </row>
    <row r="418" spans="1:6" x14ac:dyDescent="0.25">
      <c r="A418" t="s">
        <v>8</v>
      </c>
      <c r="B418" s="2">
        <v>42887</v>
      </c>
      <c r="C418">
        <f t="shared" si="5"/>
        <v>2017</v>
      </c>
      <c r="E418" t="s">
        <v>6</v>
      </c>
      <c r="F418">
        <v>116.4</v>
      </c>
    </row>
    <row r="419" spans="1:6" x14ac:dyDescent="0.25">
      <c r="A419" t="s">
        <v>8</v>
      </c>
      <c r="B419" s="2">
        <v>42887</v>
      </c>
      <c r="C419">
        <f t="shared" si="5"/>
        <v>2017</v>
      </c>
      <c r="E419" t="s">
        <v>6</v>
      </c>
      <c r="F419">
        <v>131.9</v>
      </c>
    </row>
    <row r="420" spans="1:6" x14ac:dyDescent="0.25">
      <c r="A420" t="s">
        <v>8</v>
      </c>
      <c r="B420" s="2">
        <v>42887</v>
      </c>
      <c r="C420">
        <f t="shared" si="5"/>
        <v>2017</v>
      </c>
      <c r="E420" t="s">
        <v>6</v>
      </c>
      <c r="F420">
        <v>124.7</v>
      </c>
    </row>
    <row r="421" spans="1:6" x14ac:dyDescent="0.25">
      <c r="A421" t="s">
        <v>8</v>
      </c>
      <c r="B421" s="2">
        <v>42893</v>
      </c>
      <c r="C421">
        <f t="shared" si="5"/>
        <v>2017</v>
      </c>
      <c r="E421" t="s">
        <v>6</v>
      </c>
      <c r="F421">
        <v>119</v>
      </c>
    </row>
    <row r="422" spans="1:6" x14ac:dyDescent="0.25">
      <c r="A422" t="s">
        <v>8</v>
      </c>
      <c r="B422" s="2">
        <v>42893</v>
      </c>
      <c r="C422">
        <f t="shared" si="5"/>
        <v>2017</v>
      </c>
      <c r="E422" t="s">
        <v>6</v>
      </c>
      <c r="F422">
        <v>121.2</v>
      </c>
    </row>
    <row r="423" spans="1:6" x14ac:dyDescent="0.25">
      <c r="A423" t="s">
        <v>8</v>
      </c>
      <c r="B423" s="2">
        <v>42894</v>
      </c>
      <c r="C423">
        <f t="shared" si="5"/>
        <v>2017</v>
      </c>
      <c r="E423" t="s">
        <v>6</v>
      </c>
      <c r="F423">
        <v>132.6</v>
      </c>
    </row>
    <row r="424" spans="1:6" x14ac:dyDescent="0.25">
      <c r="A424" t="s">
        <v>8</v>
      </c>
      <c r="B424" s="2">
        <v>42907</v>
      </c>
      <c r="C424">
        <f t="shared" si="5"/>
        <v>2017</v>
      </c>
      <c r="E424" t="s">
        <v>6</v>
      </c>
      <c r="F424">
        <v>117.5</v>
      </c>
    </row>
    <row r="425" spans="1:6" x14ac:dyDescent="0.25">
      <c r="A425" t="s">
        <v>8</v>
      </c>
      <c r="B425" s="2">
        <v>42907</v>
      </c>
      <c r="C425">
        <f t="shared" si="5"/>
        <v>2017</v>
      </c>
      <c r="E425" t="s">
        <v>6</v>
      </c>
      <c r="F425">
        <v>121.7</v>
      </c>
    </row>
    <row r="426" spans="1:6" x14ac:dyDescent="0.25">
      <c r="A426" t="s">
        <v>8</v>
      </c>
      <c r="B426" s="2">
        <v>42908</v>
      </c>
      <c r="C426">
        <f t="shared" si="5"/>
        <v>2017</v>
      </c>
      <c r="E426" t="s">
        <v>6</v>
      </c>
      <c r="F426">
        <v>130.1</v>
      </c>
    </row>
    <row r="427" spans="1:6" x14ac:dyDescent="0.25">
      <c r="A427" t="s">
        <v>8</v>
      </c>
      <c r="B427" s="2">
        <v>43115</v>
      </c>
      <c r="C427">
        <f t="shared" si="5"/>
        <v>2018</v>
      </c>
      <c r="E427" t="s">
        <v>6</v>
      </c>
      <c r="F427">
        <v>59.6</v>
      </c>
    </row>
    <row r="428" spans="1:6" x14ac:dyDescent="0.25">
      <c r="A428" t="s">
        <v>8</v>
      </c>
      <c r="B428" s="2">
        <v>43115</v>
      </c>
      <c r="C428">
        <f t="shared" si="5"/>
        <v>2018</v>
      </c>
      <c r="E428" t="s">
        <v>6</v>
      </c>
      <c r="F428">
        <v>67.7</v>
      </c>
    </row>
    <row r="429" spans="1:6" x14ac:dyDescent="0.25">
      <c r="A429" t="s">
        <v>8</v>
      </c>
      <c r="B429" s="2">
        <v>43116</v>
      </c>
      <c r="C429">
        <f t="shared" si="5"/>
        <v>2018</v>
      </c>
      <c r="E429" t="s">
        <v>6</v>
      </c>
      <c r="F429">
        <v>63.1</v>
      </c>
    </row>
    <row r="430" spans="1:6" x14ac:dyDescent="0.25">
      <c r="A430" t="s">
        <v>8</v>
      </c>
      <c r="B430" s="2">
        <v>43116</v>
      </c>
      <c r="C430">
        <f t="shared" si="5"/>
        <v>2018</v>
      </c>
      <c r="E430" t="s">
        <v>6</v>
      </c>
      <c r="F430">
        <v>68.400000000000006</v>
      </c>
    </row>
    <row r="431" spans="1:6" x14ac:dyDescent="0.25">
      <c r="A431" t="s">
        <v>8</v>
      </c>
      <c r="B431" s="2">
        <v>43150</v>
      </c>
      <c r="C431">
        <f t="shared" si="5"/>
        <v>2018</v>
      </c>
      <c r="E431" t="s">
        <v>6</v>
      </c>
      <c r="F431">
        <v>81.5</v>
      </c>
    </row>
    <row r="432" spans="1:6" x14ac:dyDescent="0.25">
      <c r="A432" t="s">
        <v>8</v>
      </c>
      <c r="B432" s="2">
        <v>43150</v>
      </c>
      <c r="C432">
        <f t="shared" si="5"/>
        <v>2018</v>
      </c>
      <c r="E432" t="s">
        <v>6</v>
      </c>
      <c r="F432">
        <v>88</v>
      </c>
    </row>
    <row r="433" spans="1:6" x14ac:dyDescent="0.25">
      <c r="A433" t="s">
        <v>8</v>
      </c>
      <c r="B433" s="2">
        <v>43151</v>
      </c>
      <c r="C433">
        <f t="shared" si="5"/>
        <v>2018</v>
      </c>
      <c r="E433" t="s">
        <v>6</v>
      </c>
      <c r="F433">
        <v>77.2</v>
      </c>
    </row>
    <row r="434" spans="1:6" x14ac:dyDescent="0.25">
      <c r="A434" t="s">
        <v>8</v>
      </c>
      <c r="B434" s="2">
        <v>43151</v>
      </c>
      <c r="C434">
        <f t="shared" si="5"/>
        <v>2018</v>
      </c>
      <c r="E434" t="s">
        <v>6</v>
      </c>
      <c r="F434">
        <v>84.2</v>
      </c>
    </row>
    <row r="435" spans="1:6" x14ac:dyDescent="0.25">
      <c r="A435" t="s">
        <v>8</v>
      </c>
      <c r="B435" s="2">
        <v>43164</v>
      </c>
      <c r="C435">
        <f t="shared" si="5"/>
        <v>2018</v>
      </c>
      <c r="E435" t="s">
        <v>6</v>
      </c>
      <c r="F435">
        <v>88.9</v>
      </c>
    </row>
    <row r="436" spans="1:6" x14ac:dyDescent="0.25">
      <c r="A436" t="s">
        <v>8</v>
      </c>
      <c r="B436" s="2">
        <v>43164</v>
      </c>
      <c r="C436">
        <f t="shared" si="5"/>
        <v>2018</v>
      </c>
      <c r="E436" t="s">
        <v>6</v>
      </c>
      <c r="F436">
        <v>93.5</v>
      </c>
    </row>
    <row r="437" spans="1:6" x14ac:dyDescent="0.25">
      <c r="A437" t="s">
        <v>8</v>
      </c>
      <c r="B437" s="2">
        <v>43165</v>
      </c>
      <c r="C437">
        <f t="shared" si="5"/>
        <v>2018</v>
      </c>
      <c r="E437" t="s">
        <v>6</v>
      </c>
      <c r="F437">
        <v>88.1</v>
      </c>
    </row>
    <row r="438" spans="1:6" x14ac:dyDescent="0.25">
      <c r="A438" t="s">
        <v>8</v>
      </c>
      <c r="B438" s="2">
        <v>43165</v>
      </c>
      <c r="C438">
        <f t="shared" si="5"/>
        <v>2018</v>
      </c>
      <c r="E438" t="s">
        <v>6</v>
      </c>
      <c r="F438">
        <v>94.7</v>
      </c>
    </row>
    <row r="439" spans="1:6" x14ac:dyDescent="0.25">
      <c r="A439" t="s">
        <v>8</v>
      </c>
      <c r="B439" s="2">
        <v>43178</v>
      </c>
      <c r="C439">
        <f t="shared" ref="C439:C501" si="6">YEAR(B439)</f>
        <v>2018</v>
      </c>
      <c r="E439" t="s">
        <v>6</v>
      </c>
      <c r="F439">
        <v>92.8</v>
      </c>
    </row>
    <row r="440" spans="1:6" x14ac:dyDescent="0.25">
      <c r="A440" t="s">
        <v>8</v>
      </c>
      <c r="B440" s="2">
        <v>43178</v>
      </c>
      <c r="C440">
        <f t="shared" si="6"/>
        <v>2018</v>
      </c>
      <c r="E440" t="s">
        <v>6</v>
      </c>
      <c r="F440">
        <v>100.4</v>
      </c>
    </row>
    <row r="441" spans="1:6" x14ac:dyDescent="0.25">
      <c r="A441" t="s">
        <v>8</v>
      </c>
      <c r="B441" s="2">
        <v>43179</v>
      </c>
      <c r="C441">
        <f t="shared" si="6"/>
        <v>2018</v>
      </c>
      <c r="E441" t="s">
        <v>6</v>
      </c>
      <c r="F441">
        <v>93.1</v>
      </c>
    </row>
    <row r="442" spans="1:6" x14ac:dyDescent="0.25">
      <c r="A442" t="s">
        <v>8</v>
      </c>
      <c r="B442" s="2">
        <v>43179</v>
      </c>
      <c r="C442">
        <f t="shared" si="6"/>
        <v>2018</v>
      </c>
      <c r="E442" t="s">
        <v>6</v>
      </c>
      <c r="F442">
        <v>96.3</v>
      </c>
    </row>
    <row r="443" spans="1:6" x14ac:dyDescent="0.25">
      <c r="A443" t="s">
        <v>8</v>
      </c>
      <c r="B443" s="2">
        <v>43194</v>
      </c>
      <c r="C443">
        <f t="shared" si="6"/>
        <v>2018</v>
      </c>
      <c r="E443" t="s">
        <v>6</v>
      </c>
      <c r="F443">
        <v>102.6</v>
      </c>
    </row>
    <row r="444" spans="1:6" x14ac:dyDescent="0.25">
      <c r="A444" t="s">
        <v>8</v>
      </c>
      <c r="B444" s="2">
        <v>43194</v>
      </c>
      <c r="C444">
        <f t="shared" si="6"/>
        <v>2018</v>
      </c>
      <c r="E444" t="s">
        <v>6</v>
      </c>
      <c r="F444">
        <v>110.1</v>
      </c>
    </row>
    <row r="445" spans="1:6" x14ac:dyDescent="0.25">
      <c r="A445" t="s">
        <v>8</v>
      </c>
      <c r="B445" s="2">
        <v>43195</v>
      </c>
      <c r="C445">
        <f t="shared" si="6"/>
        <v>2018</v>
      </c>
      <c r="E445" t="s">
        <v>6</v>
      </c>
      <c r="F445">
        <v>98.9</v>
      </c>
    </row>
    <row r="446" spans="1:6" x14ac:dyDescent="0.25">
      <c r="A446" t="s">
        <v>8</v>
      </c>
      <c r="B446" s="2">
        <v>43195</v>
      </c>
      <c r="C446">
        <f t="shared" si="6"/>
        <v>2018</v>
      </c>
      <c r="E446" t="s">
        <v>6</v>
      </c>
      <c r="F446">
        <v>105.7</v>
      </c>
    </row>
    <row r="447" spans="1:6" x14ac:dyDescent="0.25">
      <c r="A447" t="s">
        <v>8</v>
      </c>
      <c r="B447" s="2">
        <v>43200</v>
      </c>
      <c r="C447">
        <f t="shared" si="6"/>
        <v>2018</v>
      </c>
      <c r="E447" t="s">
        <v>6</v>
      </c>
      <c r="F447">
        <v>100.4</v>
      </c>
    </row>
    <row r="448" spans="1:6" x14ac:dyDescent="0.25">
      <c r="A448" t="s">
        <v>8</v>
      </c>
      <c r="B448" s="2">
        <v>43200</v>
      </c>
      <c r="C448">
        <f t="shared" si="6"/>
        <v>2018</v>
      </c>
      <c r="E448" t="s">
        <v>6</v>
      </c>
      <c r="F448">
        <v>111.8</v>
      </c>
    </row>
    <row r="449" spans="1:6" x14ac:dyDescent="0.25">
      <c r="A449" t="s">
        <v>8</v>
      </c>
      <c r="B449" s="2">
        <v>43201</v>
      </c>
      <c r="C449">
        <f t="shared" si="6"/>
        <v>2018</v>
      </c>
      <c r="E449" t="s">
        <v>6</v>
      </c>
      <c r="F449">
        <v>100.7</v>
      </c>
    </row>
    <row r="450" spans="1:6" x14ac:dyDescent="0.25">
      <c r="A450" t="s">
        <v>8</v>
      </c>
      <c r="B450" s="2">
        <v>43201</v>
      </c>
      <c r="C450">
        <f t="shared" si="6"/>
        <v>2018</v>
      </c>
      <c r="E450" t="s">
        <v>6</v>
      </c>
      <c r="F450">
        <v>109.4</v>
      </c>
    </row>
    <row r="451" spans="1:6" x14ac:dyDescent="0.25">
      <c r="A451" t="s">
        <v>8</v>
      </c>
      <c r="B451" s="2">
        <v>43206</v>
      </c>
      <c r="C451">
        <f t="shared" si="6"/>
        <v>2018</v>
      </c>
      <c r="E451" t="s">
        <v>6</v>
      </c>
      <c r="F451">
        <v>102.3</v>
      </c>
    </row>
    <row r="452" spans="1:6" x14ac:dyDescent="0.25">
      <c r="A452" t="s">
        <v>8</v>
      </c>
      <c r="B452" s="2">
        <v>43206</v>
      </c>
      <c r="C452">
        <f t="shared" si="6"/>
        <v>2018</v>
      </c>
      <c r="E452" t="s">
        <v>6</v>
      </c>
      <c r="F452">
        <v>111.2</v>
      </c>
    </row>
    <row r="453" spans="1:6" x14ac:dyDescent="0.25">
      <c r="A453" t="s">
        <v>8</v>
      </c>
      <c r="B453" s="2">
        <v>43209</v>
      </c>
      <c r="C453">
        <f t="shared" si="6"/>
        <v>2018</v>
      </c>
      <c r="E453" t="s">
        <v>6</v>
      </c>
      <c r="F453">
        <v>103.4</v>
      </c>
    </row>
    <row r="454" spans="1:6" x14ac:dyDescent="0.25">
      <c r="A454" t="s">
        <v>8</v>
      </c>
      <c r="B454" s="2">
        <v>43209</v>
      </c>
      <c r="C454">
        <f t="shared" si="6"/>
        <v>2018</v>
      </c>
      <c r="E454" t="s">
        <v>6</v>
      </c>
      <c r="F454">
        <v>114.4</v>
      </c>
    </row>
    <row r="455" spans="1:6" x14ac:dyDescent="0.25">
      <c r="A455" t="s">
        <v>8</v>
      </c>
      <c r="B455" s="2">
        <v>43215</v>
      </c>
      <c r="C455">
        <f t="shared" si="6"/>
        <v>2018</v>
      </c>
      <c r="E455" t="s">
        <v>6</v>
      </c>
      <c r="F455">
        <v>100.7</v>
      </c>
    </row>
    <row r="456" spans="1:6" x14ac:dyDescent="0.25">
      <c r="A456" t="s">
        <v>8</v>
      </c>
      <c r="B456" s="2">
        <v>43215</v>
      </c>
      <c r="C456">
        <f t="shared" si="6"/>
        <v>2018</v>
      </c>
      <c r="E456" t="s">
        <v>6</v>
      </c>
      <c r="F456">
        <v>106.2</v>
      </c>
    </row>
    <row r="457" spans="1:6" x14ac:dyDescent="0.25">
      <c r="A457" t="s">
        <v>8</v>
      </c>
      <c r="B457" s="2">
        <v>43215</v>
      </c>
      <c r="C457">
        <f t="shared" si="6"/>
        <v>2018</v>
      </c>
      <c r="E457" t="s">
        <v>6</v>
      </c>
      <c r="F457">
        <v>118.2</v>
      </c>
    </row>
    <row r="458" spans="1:6" x14ac:dyDescent="0.25">
      <c r="A458" t="s">
        <v>8</v>
      </c>
      <c r="B458" s="2">
        <v>43215</v>
      </c>
      <c r="C458">
        <f t="shared" si="6"/>
        <v>2018</v>
      </c>
      <c r="E458" t="s">
        <v>6</v>
      </c>
      <c r="F458">
        <v>114.1</v>
      </c>
    </row>
    <row r="459" spans="1:6" x14ac:dyDescent="0.25">
      <c r="A459" t="s">
        <v>8</v>
      </c>
      <c r="B459" s="2">
        <v>43221</v>
      </c>
      <c r="C459">
        <f t="shared" si="6"/>
        <v>2018</v>
      </c>
      <c r="E459" t="s">
        <v>6</v>
      </c>
      <c r="F459">
        <v>109.9</v>
      </c>
    </row>
    <row r="460" spans="1:6" x14ac:dyDescent="0.25">
      <c r="A460" t="s">
        <v>8</v>
      </c>
      <c r="B460" s="2">
        <v>43221</v>
      </c>
      <c r="C460">
        <f t="shared" si="6"/>
        <v>2018</v>
      </c>
      <c r="E460" t="s">
        <v>6</v>
      </c>
      <c r="F460">
        <v>114.4</v>
      </c>
    </row>
    <row r="461" spans="1:6" x14ac:dyDescent="0.25">
      <c r="A461" t="s">
        <v>8</v>
      </c>
      <c r="B461" s="2">
        <v>43221</v>
      </c>
      <c r="C461">
        <f t="shared" si="6"/>
        <v>2018</v>
      </c>
      <c r="E461" t="s">
        <v>6</v>
      </c>
      <c r="F461">
        <v>118.9</v>
      </c>
    </row>
    <row r="462" spans="1:6" x14ac:dyDescent="0.25">
      <c r="A462" t="s">
        <v>8</v>
      </c>
      <c r="B462" s="2">
        <v>43221</v>
      </c>
      <c r="C462">
        <f t="shared" si="6"/>
        <v>2018</v>
      </c>
      <c r="E462" t="s">
        <v>6</v>
      </c>
      <c r="F462">
        <v>120.6</v>
      </c>
    </row>
    <row r="463" spans="1:6" x14ac:dyDescent="0.25">
      <c r="A463" t="s">
        <v>8</v>
      </c>
      <c r="B463" s="2">
        <v>43234</v>
      </c>
      <c r="C463">
        <f t="shared" si="6"/>
        <v>2018</v>
      </c>
      <c r="E463" t="s">
        <v>6</v>
      </c>
      <c r="F463">
        <v>109.5</v>
      </c>
    </row>
    <row r="464" spans="1:6" x14ac:dyDescent="0.25">
      <c r="A464" t="s">
        <v>8</v>
      </c>
      <c r="B464" s="2">
        <v>43234</v>
      </c>
      <c r="C464">
        <f t="shared" si="6"/>
        <v>2018</v>
      </c>
      <c r="E464" t="s">
        <v>6</v>
      </c>
      <c r="F464">
        <v>118.4</v>
      </c>
    </row>
    <row r="465" spans="1:6" x14ac:dyDescent="0.25">
      <c r="A465" t="s">
        <v>8</v>
      </c>
      <c r="B465" s="2">
        <v>43235</v>
      </c>
      <c r="C465">
        <f t="shared" si="6"/>
        <v>2018</v>
      </c>
      <c r="E465" t="s">
        <v>6</v>
      </c>
      <c r="F465">
        <v>107</v>
      </c>
    </row>
    <row r="466" spans="1:6" x14ac:dyDescent="0.25">
      <c r="A466" t="s">
        <v>8</v>
      </c>
      <c r="B466" s="2">
        <v>43235</v>
      </c>
      <c r="C466">
        <f t="shared" si="6"/>
        <v>2018</v>
      </c>
      <c r="E466" t="s">
        <v>6</v>
      </c>
      <c r="F466">
        <v>116.6</v>
      </c>
    </row>
    <row r="467" spans="1:6" x14ac:dyDescent="0.25">
      <c r="A467" t="s">
        <v>8</v>
      </c>
      <c r="B467" s="2">
        <v>43248</v>
      </c>
      <c r="C467">
        <f t="shared" si="6"/>
        <v>2018</v>
      </c>
      <c r="E467" t="s">
        <v>6</v>
      </c>
      <c r="F467">
        <v>112.9</v>
      </c>
    </row>
    <row r="468" spans="1:6" x14ac:dyDescent="0.25">
      <c r="A468" t="s">
        <v>8</v>
      </c>
      <c r="B468" s="2">
        <v>43248</v>
      </c>
      <c r="C468">
        <f t="shared" si="6"/>
        <v>2018</v>
      </c>
      <c r="E468" t="s">
        <v>6</v>
      </c>
      <c r="F468">
        <v>118.1</v>
      </c>
    </row>
    <row r="469" spans="1:6" x14ac:dyDescent="0.25">
      <c r="A469" t="s">
        <v>8</v>
      </c>
      <c r="B469" s="2">
        <v>43249</v>
      </c>
      <c r="C469">
        <f t="shared" si="6"/>
        <v>2018</v>
      </c>
      <c r="E469" t="s">
        <v>6</v>
      </c>
      <c r="F469">
        <v>104.3</v>
      </c>
    </row>
    <row r="470" spans="1:6" x14ac:dyDescent="0.25">
      <c r="A470" t="s">
        <v>8</v>
      </c>
      <c r="B470" s="2">
        <v>43249</v>
      </c>
      <c r="C470">
        <f t="shared" si="6"/>
        <v>2018</v>
      </c>
      <c r="E470" t="s">
        <v>6</v>
      </c>
      <c r="F470">
        <v>118.2</v>
      </c>
    </row>
    <row r="471" spans="1:6" x14ac:dyDescent="0.25">
      <c r="A471" t="s">
        <v>8</v>
      </c>
      <c r="B471" s="2">
        <v>43479</v>
      </c>
      <c r="C471">
        <f t="shared" si="6"/>
        <v>2019</v>
      </c>
      <c r="E471" t="s">
        <v>6</v>
      </c>
      <c r="F471">
        <v>58.2</v>
      </c>
    </row>
    <row r="472" spans="1:6" x14ac:dyDescent="0.25">
      <c r="A472" t="s">
        <v>8</v>
      </c>
      <c r="B472" s="2">
        <v>43479</v>
      </c>
      <c r="C472">
        <f t="shared" si="6"/>
        <v>2019</v>
      </c>
      <c r="E472" t="s">
        <v>6</v>
      </c>
      <c r="F472">
        <v>57.8</v>
      </c>
    </row>
    <row r="473" spans="1:6" x14ac:dyDescent="0.25">
      <c r="A473" t="s">
        <v>8</v>
      </c>
      <c r="B473" s="2">
        <v>43479</v>
      </c>
      <c r="C473">
        <f t="shared" si="6"/>
        <v>2019</v>
      </c>
      <c r="E473" t="s">
        <v>6</v>
      </c>
      <c r="F473">
        <v>64.400000000000006</v>
      </c>
    </row>
    <row r="474" spans="1:6" x14ac:dyDescent="0.25">
      <c r="A474" t="s">
        <v>8</v>
      </c>
      <c r="B474" s="2">
        <v>43479</v>
      </c>
      <c r="C474">
        <f t="shared" si="6"/>
        <v>2019</v>
      </c>
      <c r="E474" t="s">
        <v>6</v>
      </c>
      <c r="F474">
        <v>50.5</v>
      </c>
    </row>
    <row r="475" spans="1:6" x14ac:dyDescent="0.25">
      <c r="A475" t="s">
        <v>8</v>
      </c>
      <c r="B475" s="2">
        <v>43514</v>
      </c>
      <c r="C475">
        <f t="shared" si="6"/>
        <v>2019</v>
      </c>
      <c r="E475" t="s">
        <v>6</v>
      </c>
      <c r="F475">
        <v>81.599999999999994</v>
      </c>
    </row>
    <row r="476" spans="1:6" x14ac:dyDescent="0.25">
      <c r="A476" t="s">
        <v>8</v>
      </c>
      <c r="B476" s="2">
        <v>43514</v>
      </c>
      <c r="C476">
        <f t="shared" si="6"/>
        <v>2019</v>
      </c>
      <c r="E476" t="s">
        <v>6</v>
      </c>
      <c r="F476">
        <v>85.6</v>
      </c>
    </row>
    <row r="477" spans="1:6" x14ac:dyDescent="0.25">
      <c r="A477" t="s">
        <v>8</v>
      </c>
      <c r="B477" s="2">
        <v>43514</v>
      </c>
      <c r="C477">
        <f t="shared" si="6"/>
        <v>2019</v>
      </c>
      <c r="E477" t="s">
        <v>6</v>
      </c>
      <c r="F477">
        <v>87.8</v>
      </c>
    </row>
    <row r="478" spans="1:6" x14ac:dyDescent="0.25">
      <c r="A478" t="s">
        <v>8</v>
      </c>
      <c r="B478" s="2">
        <v>43514</v>
      </c>
      <c r="C478">
        <f t="shared" si="6"/>
        <v>2019</v>
      </c>
      <c r="E478" t="s">
        <v>6</v>
      </c>
      <c r="F478">
        <v>74.099999999999994</v>
      </c>
    </row>
    <row r="479" spans="1:6" x14ac:dyDescent="0.25">
      <c r="A479" t="s">
        <v>8</v>
      </c>
      <c r="B479" s="2">
        <v>43528</v>
      </c>
      <c r="C479">
        <f t="shared" si="6"/>
        <v>2019</v>
      </c>
      <c r="E479" t="s">
        <v>6</v>
      </c>
      <c r="F479">
        <v>90.8</v>
      </c>
    </row>
    <row r="480" spans="1:6" x14ac:dyDescent="0.25">
      <c r="A480" t="s">
        <v>8</v>
      </c>
      <c r="B480" s="2">
        <v>43528</v>
      </c>
      <c r="C480">
        <f t="shared" si="6"/>
        <v>2019</v>
      </c>
      <c r="E480" t="s">
        <v>6</v>
      </c>
      <c r="F480">
        <v>73.5</v>
      </c>
    </row>
    <row r="481" spans="1:6" x14ac:dyDescent="0.25">
      <c r="A481" t="s">
        <v>8</v>
      </c>
      <c r="B481" s="2">
        <v>43529</v>
      </c>
      <c r="C481">
        <f t="shared" si="6"/>
        <v>2019</v>
      </c>
      <c r="E481" t="s">
        <v>6</v>
      </c>
      <c r="F481">
        <v>83.8</v>
      </c>
    </row>
    <row r="482" spans="1:6" x14ac:dyDescent="0.25">
      <c r="A482" t="s">
        <v>8</v>
      </c>
      <c r="B482" s="2">
        <v>43542</v>
      </c>
      <c r="C482">
        <f t="shared" si="6"/>
        <v>2019</v>
      </c>
      <c r="E482" t="s">
        <v>6</v>
      </c>
      <c r="F482">
        <v>98.2</v>
      </c>
    </row>
    <row r="483" spans="1:6" x14ac:dyDescent="0.25">
      <c r="A483" t="s">
        <v>8</v>
      </c>
      <c r="B483" s="2">
        <v>43542</v>
      </c>
      <c r="C483">
        <f t="shared" si="6"/>
        <v>2019</v>
      </c>
      <c r="E483" t="s">
        <v>6</v>
      </c>
      <c r="F483">
        <v>81.7</v>
      </c>
    </row>
    <row r="484" spans="1:6" x14ac:dyDescent="0.25">
      <c r="A484" t="s">
        <v>8</v>
      </c>
      <c r="B484" s="2">
        <v>43543</v>
      </c>
      <c r="C484">
        <f t="shared" si="6"/>
        <v>2019</v>
      </c>
      <c r="E484" t="s">
        <v>6</v>
      </c>
      <c r="F484">
        <v>95.2</v>
      </c>
    </row>
    <row r="485" spans="1:6" x14ac:dyDescent="0.25">
      <c r="A485" t="s">
        <v>8</v>
      </c>
      <c r="B485" s="2">
        <v>43557</v>
      </c>
      <c r="C485">
        <f t="shared" si="6"/>
        <v>2019</v>
      </c>
      <c r="E485" t="s">
        <v>6</v>
      </c>
      <c r="F485">
        <v>100.7</v>
      </c>
    </row>
    <row r="486" spans="1:6" x14ac:dyDescent="0.25">
      <c r="A486" t="s">
        <v>8</v>
      </c>
      <c r="B486" s="2">
        <v>43557</v>
      </c>
      <c r="C486">
        <f t="shared" si="6"/>
        <v>2019</v>
      </c>
      <c r="E486" t="s">
        <v>6</v>
      </c>
      <c r="F486">
        <v>106</v>
      </c>
    </row>
    <row r="487" spans="1:6" x14ac:dyDescent="0.25">
      <c r="A487" t="s">
        <v>8</v>
      </c>
      <c r="B487" s="2">
        <v>43557</v>
      </c>
      <c r="C487">
        <f t="shared" si="6"/>
        <v>2019</v>
      </c>
      <c r="E487" t="s">
        <v>6</v>
      </c>
      <c r="F487">
        <v>107.4</v>
      </c>
    </row>
    <row r="488" spans="1:6" x14ac:dyDescent="0.25">
      <c r="A488" t="s">
        <v>8</v>
      </c>
      <c r="B488" s="2">
        <v>43557</v>
      </c>
      <c r="C488">
        <f t="shared" si="6"/>
        <v>2019</v>
      </c>
      <c r="E488" t="s">
        <v>6</v>
      </c>
      <c r="F488">
        <v>89.5</v>
      </c>
    </row>
    <row r="489" spans="1:6" x14ac:dyDescent="0.25">
      <c r="A489" t="s">
        <v>8</v>
      </c>
      <c r="B489" s="2">
        <v>43564</v>
      </c>
      <c r="C489">
        <f t="shared" si="6"/>
        <v>2019</v>
      </c>
      <c r="E489" t="s">
        <v>6</v>
      </c>
      <c r="F489">
        <v>102.5</v>
      </c>
    </row>
    <row r="490" spans="1:6" x14ac:dyDescent="0.25">
      <c r="A490" t="s">
        <v>8</v>
      </c>
      <c r="B490" s="2">
        <v>43564</v>
      </c>
      <c r="C490">
        <f t="shared" si="6"/>
        <v>2019</v>
      </c>
      <c r="E490" t="s">
        <v>6</v>
      </c>
      <c r="F490">
        <v>110.4</v>
      </c>
    </row>
    <row r="491" spans="1:6" x14ac:dyDescent="0.25">
      <c r="A491" t="s">
        <v>8</v>
      </c>
      <c r="B491" s="2">
        <v>43564</v>
      </c>
      <c r="C491">
        <f t="shared" si="6"/>
        <v>2019</v>
      </c>
      <c r="E491" t="s">
        <v>6</v>
      </c>
      <c r="F491">
        <v>109</v>
      </c>
    </row>
    <row r="492" spans="1:6" x14ac:dyDescent="0.25">
      <c r="A492" t="s">
        <v>8</v>
      </c>
      <c r="B492" s="2">
        <v>43564</v>
      </c>
      <c r="C492">
        <f t="shared" si="6"/>
        <v>2019</v>
      </c>
      <c r="E492" t="s">
        <v>6</v>
      </c>
      <c r="F492">
        <v>94.3</v>
      </c>
    </row>
    <row r="493" spans="1:6" x14ac:dyDescent="0.25">
      <c r="A493" t="s">
        <v>8</v>
      </c>
      <c r="B493" s="2">
        <v>43570</v>
      </c>
      <c r="C493">
        <f t="shared" si="6"/>
        <v>2019</v>
      </c>
      <c r="E493" t="s">
        <v>6</v>
      </c>
      <c r="F493">
        <v>104.4</v>
      </c>
    </row>
    <row r="494" spans="1:6" x14ac:dyDescent="0.25">
      <c r="A494" t="s">
        <v>8</v>
      </c>
      <c r="B494" s="2">
        <v>43570</v>
      </c>
      <c r="C494">
        <f t="shared" si="6"/>
        <v>2019</v>
      </c>
      <c r="E494" t="s">
        <v>6</v>
      </c>
      <c r="F494">
        <v>108</v>
      </c>
    </row>
    <row r="495" spans="1:6" x14ac:dyDescent="0.25">
      <c r="A495" t="s">
        <v>8</v>
      </c>
      <c r="B495" s="2">
        <v>43570</v>
      </c>
      <c r="C495">
        <f t="shared" si="6"/>
        <v>2019</v>
      </c>
      <c r="E495" t="s">
        <v>6</v>
      </c>
      <c r="F495">
        <v>113.2</v>
      </c>
    </row>
    <row r="496" spans="1:6" x14ac:dyDescent="0.25">
      <c r="A496" t="s">
        <v>8</v>
      </c>
      <c r="B496" s="2">
        <v>43570</v>
      </c>
      <c r="C496">
        <f t="shared" si="6"/>
        <v>2019</v>
      </c>
      <c r="E496" t="s">
        <v>6</v>
      </c>
      <c r="F496">
        <v>94.4</v>
      </c>
    </row>
    <row r="497" spans="1:6" x14ac:dyDescent="0.25">
      <c r="A497" t="s">
        <v>8</v>
      </c>
      <c r="B497" s="2">
        <v>43577</v>
      </c>
      <c r="C497">
        <f t="shared" si="6"/>
        <v>2019</v>
      </c>
      <c r="E497" t="s">
        <v>6</v>
      </c>
      <c r="F497">
        <v>102.6</v>
      </c>
    </row>
    <row r="498" spans="1:6" x14ac:dyDescent="0.25">
      <c r="A498" t="s">
        <v>8</v>
      </c>
      <c r="B498" s="2">
        <v>43577</v>
      </c>
      <c r="C498">
        <f t="shared" si="6"/>
        <v>2019</v>
      </c>
      <c r="E498" t="s">
        <v>6</v>
      </c>
      <c r="F498">
        <v>110.5</v>
      </c>
    </row>
    <row r="499" spans="1:6" x14ac:dyDescent="0.25">
      <c r="A499" t="s">
        <v>8</v>
      </c>
      <c r="B499" s="2">
        <v>43577</v>
      </c>
      <c r="C499">
        <f t="shared" si="6"/>
        <v>2019</v>
      </c>
      <c r="E499" t="s">
        <v>6</v>
      </c>
      <c r="F499">
        <v>108.9</v>
      </c>
    </row>
    <row r="500" spans="1:6" x14ac:dyDescent="0.25">
      <c r="A500" t="s">
        <v>8</v>
      </c>
      <c r="B500" s="2">
        <v>43577</v>
      </c>
      <c r="C500">
        <f t="shared" si="6"/>
        <v>2019</v>
      </c>
      <c r="E500" t="s">
        <v>6</v>
      </c>
      <c r="F500">
        <v>95</v>
      </c>
    </row>
    <row r="501" spans="1:6" x14ac:dyDescent="0.25">
      <c r="A501" t="s">
        <v>8</v>
      </c>
      <c r="B501" s="2">
        <v>43584</v>
      </c>
      <c r="C501">
        <f t="shared" si="6"/>
        <v>2019</v>
      </c>
      <c r="E501" t="s">
        <v>6</v>
      </c>
      <c r="F501">
        <v>93.8</v>
      </c>
    </row>
    <row r="502" spans="1:6" x14ac:dyDescent="0.25">
      <c r="A502" t="s">
        <v>8</v>
      </c>
      <c r="B502" s="2">
        <v>43584</v>
      </c>
      <c r="C502">
        <f t="shared" ref="C502:C564" si="7">YEAR(B502)</f>
        <v>2019</v>
      </c>
      <c r="E502" t="s">
        <v>6</v>
      </c>
      <c r="F502">
        <v>98.5</v>
      </c>
    </row>
    <row r="503" spans="1:6" x14ac:dyDescent="0.25">
      <c r="A503" t="s">
        <v>8</v>
      </c>
      <c r="B503" s="2">
        <v>43584</v>
      </c>
      <c r="C503">
        <f t="shared" si="7"/>
        <v>2019</v>
      </c>
      <c r="E503" t="s">
        <v>6</v>
      </c>
      <c r="F503">
        <v>102.3</v>
      </c>
    </row>
    <row r="504" spans="1:6" x14ac:dyDescent="0.25">
      <c r="A504" t="s">
        <v>8</v>
      </c>
      <c r="B504" s="2">
        <v>43584</v>
      </c>
      <c r="C504">
        <f t="shared" si="7"/>
        <v>2019</v>
      </c>
      <c r="E504" t="s">
        <v>6</v>
      </c>
      <c r="F504">
        <v>85.4</v>
      </c>
    </row>
    <row r="505" spans="1:6" x14ac:dyDescent="0.25">
      <c r="A505" t="s">
        <v>8</v>
      </c>
      <c r="B505" s="2">
        <v>43612</v>
      </c>
      <c r="C505">
        <f t="shared" si="7"/>
        <v>2019</v>
      </c>
      <c r="E505" t="s">
        <v>6</v>
      </c>
      <c r="F505">
        <v>116.6</v>
      </c>
    </row>
    <row r="506" spans="1:6" x14ac:dyDescent="0.25">
      <c r="A506" t="s">
        <v>8</v>
      </c>
      <c r="B506" s="2">
        <v>43612</v>
      </c>
      <c r="C506">
        <f t="shared" si="7"/>
        <v>2019</v>
      </c>
      <c r="E506" t="s">
        <v>6</v>
      </c>
      <c r="F506">
        <v>97.5</v>
      </c>
    </row>
    <row r="507" spans="1:6" x14ac:dyDescent="0.25">
      <c r="A507" t="s">
        <v>8</v>
      </c>
      <c r="B507" s="2">
        <v>43613</v>
      </c>
      <c r="C507">
        <f t="shared" si="7"/>
        <v>2019</v>
      </c>
      <c r="E507" t="s">
        <v>6</v>
      </c>
      <c r="F507">
        <v>104.5</v>
      </c>
    </row>
    <row r="508" spans="1:6" x14ac:dyDescent="0.25">
      <c r="A508" t="s">
        <v>8</v>
      </c>
      <c r="B508" s="2">
        <v>43613</v>
      </c>
      <c r="C508">
        <f t="shared" si="7"/>
        <v>2019</v>
      </c>
      <c r="E508" t="s">
        <v>6</v>
      </c>
      <c r="F508">
        <v>114</v>
      </c>
    </row>
    <row r="509" spans="1:6" x14ac:dyDescent="0.25">
      <c r="A509" t="s">
        <v>8</v>
      </c>
      <c r="B509" s="2">
        <v>43850</v>
      </c>
      <c r="C509">
        <f t="shared" si="7"/>
        <v>2020</v>
      </c>
      <c r="E509" t="s">
        <v>6</v>
      </c>
      <c r="F509">
        <v>56.7</v>
      </c>
    </row>
    <row r="510" spans="1:6" x14ac:dyDescent="0.25">
      <c r="A510" t="s">
        <v>8</v>
      </c>
      <c r="B510" s="2">
        <v>43850</v>
      </c>
      <c r="C510">
        <f t="shared" si="7"/>
        <v>2020</v>
      </c>
      <c r="E510" t="s">
        <v>6</v>
      </c>
      <c r="F510">
        <v>70.8</v>
      </c>
    </row>
    <row r="511" spans="1:6" x14ac:dyDescent="0.25">
      <c r="A511" t="s">
        <v>8</v>
      </c>
      <c r="B511" s="2">
        <v>43851</v>
      </c>
      <c r="C511">
        <f t="shared" si="7"/>
        <v>2020</v>
      </c>
      <c r="E511" t="s">
        <v>6</v>
      </c>
      <c r="F511">
        <v>74.599999999999994</v>
      </c>
    </row>
    <row r="512" spans="1:6" x14ac:dyDescent="0.25">
      <c r="A512" t="s">
        <v>8</v>
      </c>
      <c r="B512" s="2">
        <v>43878</v>
      </c>
      <c r="C512">
        <f t="shared" si="7"/>
        <v>2020</v>
      </c>
      <c r="E512" t="s">
        <v>6</v>
      </c>
      <c r="F512">
        <v>75.900000000000006</v>
      </c>
    </row>
    <row r="513" spans="1:6" x14ac:dyDescent="0.25">
      <c r="A513" t="s">
        <v>8</v>
      </c>
      <c r="B513" s="2">
        <v>43878</v>
      </c>
      <c r="C513">
        <f t="shared" si="7"/>
        <v>2020</v>
      </c>
      <c r="E513" t="s">
        <v>6</v>
      </c>
      <c r="F513">
        <v>87.8</v>
      </c>
    </row>
    <row r="514" spans="1:6" x14ac:dyDescent="0.25">
      <c r="A514" t="s">
        <v>8</v>
      </c>
      <c r="B514" s="2">
        <v>43880</v>
      </c>
      <c r="C514">
        <f t="shared" si="7"/>
        <v>2020</v>
      </c>
      <c r="E514" t="s">
        <v>6</v>
      </c>
      <c r="F514">
        <v>85.9</v>
      </c>
    </row>
    <row r="515" spans="1:6" x14ac:dyDescent="0.25">
      <c r="A515" t="s">
        <v>8</v>
      </c>
      <c r="B515" s="2">
        <v>43892</v>
      </c>
      <c r="C515">
        <f t="shared" si="7"/>
        <v>2020</v>
      </c>
      <c r="E515" t="s">
        <v>6</v>
      </c>
      <c r="F515">
        <v>78.099999999999994</v>
      </c>
    </row>
    <row r="516" spans="1:6" x14ac:dyDescent="0.25">
      <c r="A516" t="s">
        <v>8</v>
      </c>
      <c r="B516" s="2">
        <v>43892</v>
      </c>
      <c r="C516">
        <f t="shared" si="7"/>
        <v>2020</v>
      </c>
      <c r="E516" t="s">
        <v>6</v>
      </c>
      <c r="F516">
        <v>99.8</v>
      </c>
    </row>
    <row r="517" spans="1:6" x14ac:dyDescent="0.25">
      <c r="A517" t="s">
        <v>8</v>
      </c>
      <c r="B517" s="2">
        <v>43894</v>
      </c>
      <c r="C517">
        <f t="shared" si="7"/>
        <v>2020</v>
      </c>
      <c r="E517" t="s">
        <v>6</v>
      </c>
      <c r="F517">
        <v>92.5</v>
      </c>
    </row>
    <row r="518" spans="1:6" x14ac:dyDescent="0.25">
      <c r="A518" t="s">
        <v>8</v>
      </c>
      <c r="B518" s="2">
        <v>43906</v>
      </c>
      <c r="C518">
        <f t="shared" si="7"/>
        <v>2020</v>
      </c>
      <c r="E518" t="s">
        <v>6</v>
      </c>
      <c r="F518">
        <v>84.3</v>
      </c>
    </row>
    <row r="519" spans="1:6" x14ac:dyDescent="0.25">
      <c r="A519" t="s">
        <v>8</v>
      </c>
      <c r="B519" s="2">
        <v>43906</v>
      </c>
      <c r="C519">
        <f t="shared" si="7"/>
        <v>2020</v>
      </c>
      <c r="E519" t="s">
        <v>6</v>
      </c>
      <c r="F519">
        <v>108.8</v>
      </c>
    </row>
    <row r="520" spans="1:6" x14ac:dyDescent="0.25">
      <c r="A520" t="s">
        <v>8</v>
      </c>
      <c r="B520" s="2">
        <v>43907</v>
      </c>
      <c r="C520">
        <f t="shared" si="7"/>
        <v>2020</v>
      </c>
      <c r="E520" t="s">
        <v>6</v>
      </c>
      <c r="F520">
        <v>99.9</v>
      </c>
    </row>
    <row r="521" spans="1:6" x14ac:dyDescent="0.25">
      <c r="A521" t="s">
        <v>8</v>
      </c>
      <c r="B521" s="2">
        <v>43950</v>
      </c>
      <c r="C521">
        <f t="shared" si="7"/>
        <v>2020</v>
      </c>
      <c r="E521" t="s">
        <v>6</v>
      </c>
      <c r="F521">
        <v>94.6</v>
      </c>
    </row>
    <row r="522" spans="1:6" x14ac:dyDescent="0.25">
      <c r="A522" t="s">
        <v>8</v>
      </c>
      <c r="B522" s="2">
        <v>43950</v>
      </c>
      <c r="C522">
        <f t="shared" si="7"/>
        <v>2020</v>
      </c>
      <c r="E522" t="s">
        <v>6</v>
      </c>
      <c r="F522">
        <v>121.5</v>
      </c>
    </row>
    <row r="523" spans="1:6" x14ac:dyDescent="0.25">
      <c r="A523" t="s">
        <v>8</v>
      </c>
      <c r="B523" s="2">
        <v>43950</v>
      </c>
      <c r="C523">
        <f t="shared" si="7"/>
        <v>2020</v>
      </c>
      <c r="E523" t="s">
        <v>6</v>
      </c>
      <c r="F523">
        <v>113.2</v>
      </c>
    </row>
    <row r="524" spans="1:6" x14ac:dyDescent="0.25">
      <c r="A524" t="s">
        <v>8</v>
      </c>
      <c r="B524" s="2">
        <v>43963</v>
      </c>
      <c r="C524">
        <f t="shared" si="7"/>
        <v>2020</v>
      </c>
      <c r="E524" t="s">
        <v>6</v>
      </c>
      <c r="F524">
        <v>122.7</v>
      </c>
    </row>
    <row r="525" spans="1:6" x14ac:dyDescent="0.25">
      <c r="A525" t="s">
        <v>8</v>
      </c>
      <c r="B525" s="2">
        <v>43964</v>
      </c>
      <c r="C525">
        <f t="shared" si="7"/>
        <v>2020</v>
      </c>
      <c r="E525" t="s">
        <v>6</v>
      </c>
      <c r="F525">
        <v>99.3</v>
      </c>
    </row>
    <row r="526" spans="1:6" x14ac:dyDescent="0.25">
      <c r="A526" t="s">
        <v>8</v>
      </c>
      <c r="B526" s="2">
        <v>43964</v>
      </c>
      <c r="C526">
        <f t="shared" si="7"/>
        <v>2020</v>
      </c>
      <c r="E526" t="s">
        <v>6</v>
      </c>
      <c r="F526">
        <v>120.8</v>
      </c>
    </row>
    <row r="527" spans="1:6" x14ac:dyDescent="0.25">
      <c r="A527" t="s">
        <v>8</v>
      </c>
      <c r="B527" s="2">
        <v>43978</v>
      </c>
      <c r="C527">
        <f t="shared" si="7"/>
        <v>2020</v>
      </c>
      <c r="E527" t="s">
        <v>6</v>
      </c>
      <c r="F527">
        <v>91.7</v>
      </c>
    </row>
    <row r="528" spans="1:6" x14ac:dyDescent="0.25">
      <c r="A528" t="s">
        <v>8</v>
      </c>
      <c r="B528" s="2">
        <v>43978</v>
      </c>
      <c r="C528">
        <f t="shared" si="7"/>
        <v>2020</v>
      </c>
      <c r="E528" t="s">
        <v>6</v>
      </c>
      <c r="F528">
        <v>115.7</v>
      </c>
    </row>
    <row r="529" spans="1:6" x14ac:dyDescent="0.25">
      <c r="A529" t="s">
        <v>8</v>
      </c>
      <c r="B529" s="2">
        <v>44223</v>
      </c>
      <c r="C529">
        <f t="shared" si="7"/>
        <v>2021</v>
      </c>
      <c r="E529" t="s">
        <v>6</v>
      </c>
      <c r="F529">
        <v>68.366222219999997</v>
      </c>
    </row>
    <row r="530" spans="1:6" x14ac:dyDescent="0.25">
      <c r="A530" t="s">
        <v>8</v>
      </c>
      <c r="B530" s="2">
        <v>44223</v>
      </c>
      <c r="C530">
        <f t="shared" si="7"/>
        <v>2021</v>
      </c>
      <c r="E530" t="s">
        <v>6</v>
      </c>
      <c r="F530">
        <v>60.43444444</v>
      </c>
    </row>
    <row r="531" spans="1:6" x14ac:dyDescent="0.25">
      <c r="A531" t="s">
        <v>8</v>
      </c>
      <c r="B531" s="2">
        <v>44224</v>
      </c>
      <c r="C531">
        <f t="shared" si="7"/>
        <v>2021</v>
      </c>
      <c r="E531" t="s">
        <v>6</v>
      </c>
      <c r="F531">
        <v>59.576333329999997</v>
      </c>
    </row>
    <row r="532" spans="1:6" x14ac:dyDescent="0.25">
      <c r="A532" t="s">
        <v>8</v>
      </c>
      <c r="B532" s="2">
        <v>44244</v>
      </c>
      <c r="C532">
        <f t="shared" si="7"/>
        <v>2021</v>
      </c>
      <c r="E532" t="s">
        <v>6</v>
      </c>
      <c r="F532">
        <v>70.137222219999998</v>
      </c>
    </row>
    <row r="533" spans="1:6" x14ac:dyDescent="0.25">
      <c r="A533" t="s">
        <v>8</v>
      </c>
      <c r="B533" s="2">
        <v>44245</v>
      </c>
      <c r="C533">
        <f t="shared" si="7"/>
        <v>2021</v>
      </c>
      <c r="E533" t="s">
        <v>6</v>
      </c>
      <c r="F533">
        <v>67.538888889999996</v>
      </c>
    </row>
    <row r="534" spans="1:6" x14ac:dyDescent="0.25">
      <c r="A534" t="s">
        <v>8</v>
      </c>
      <c r="B534" s="2">
        <v>44245</v>
      </c>
      <c r="C534">
        <f t="shared" si="7"/>
        <v>2021</v>
      </c>
      <c r="E534" t="s">
        <v>6</v>
      </c>
      <c r="F534">
        <v>68.143777779999994</v>
      </c>
    </row>
    <row r="535" spans="1:6" x14ac:dyDescent="0.25">
      <c r="A535" t="s">
        <v>8</v>
      </c>
      <c r="B535" s="2">
        <v>44258</v>
      </c>
      <c r="C535">
        <f t="shared" si="7"/>
        <v>2021</v>
      </c>
      <c r="E535" t="s">
        <v>6</v>
      </c>
      <c r="F535">
        <v>77.873333329999994</v>
      </c>
    </row>
    <row r="536" spans="1:6" x14ac:dyDescent="0.25">
      <c r="A536" t="s">
        <v>8</v>
      </c>
      <c r="B536" s="2">
        <v>44258</v>
      </c>
      <c r="C536">
        <f t="shared" si="7"/>
        <v>2021</v>
      </c>
      <c r="E536" t="s">
        <v>6</v>
      </c>
      <c r="F536">
        <v>86.499777780000002</v>
      </c>
    </row>
    <row r="537" spans="1:6" x14ac:dyDescent="0.25">
      <c r="A537" t="s">
        <v>8</v>
      </c>
      <c r="B537" s="2">
        <v>44258</v>
      </c>
      <c r="C537">
        <f t="shared" si="7"/>
        <v>2021</v>
      </c>
      <c r="E537" t="s">
        <v>6</v>
      </c>
      <c r="F537">
        <v>75.648222219999994</v>
      </c>
    </row>
    <row r="538" spans="1:6" x14ac:dyDescent="0.25">
      <c r="A538" t="s">
        <v>8</v>
      </c>
      <c r="B538" s="2">
        <v>44272</v>
      </c>
      <c r="C538">
        <f t="shared" si="7"/>
        <v>2021</v>
      </c>
      <c r="E538" t="s">
        <v>6</v>
      </c>
      <c r="F538">
        <v>84.237333329999998</v>
      </c>
    </row>
    <row r="539" spans="1:6" x14ac:dyDescent="0.25">
      <c r="A539" t="s">
        <v>8</v>
      </c>
      <c r="B539" s="2">
        <v>44272</v>
      </c>
      <c r="C539">
        <f t="shared" si="7"/>
        <v>2021</v>
      </c>
      <c r="E539" t="s">
        <v>6</v>
      </c>
      <c r="F539">
        <v>95.272444440000001</v>
      </c>
    </row>
    <row r="540" spans="1:6" x14ac:dyDescent="0.25">
      <c r="A540" t="s">
        <v>8</v>
      </c>
      <c r="B540" s="2">
        <v>44272</v>
      </c>
      <c r="C540">
        <f t="shared" si="7"/>
        <v>2021</v>
      </c>
      <c r="E540" t="s">
        <v>6</v>
      </c>
      <c r="F540">
        <v>86.118555560000004</v>
      </c>
    </row>
    <row r="541" spans="1:6" x14ac:dyDescent="0.25">
      <c r="A541" t="s">
        <v>8</v>
      </c>
      <c r="B541" s="2">
        <v>44286</v>
      </c>
      <c r="C541">
        <f t="shared" si="7"/>
        <v>2021</v>
      </c>
      <c r="E541" t="s">
        <v>6</v>
      </c>
      <c r="F541">
        <v>101.1565556</v>
      </c>
    </row>
    <row r="542" spans="1:6" x14ac:dyDescent="0.25">
      <c r="A542" t="s">
        <v>8</v>
      </c>
      <c r="B542" s="2">
        <v>44287</v>
      </c>
      <c r="C542">
        <f t="shared" si="7"/>
        <v>2021</v>
      </c>
      <c r="E542" t="s">
        <v>6</v>
      </c>
      <c r="F542">
        <v>92.894333329999995</v>
      </c>
    </row>
    <row r="543" spans="1:6" x14ac:dyDescent="0.25">
      <c r="A543" t="s">
        <v>8</v>
      </c>
      <c r="B543" s="2">
        <v>44287</v>
      </c>
      <c r="C543">
        <f t="shared" si="7"/>
        <v>2021</v>
      </c>
      <c r="E543" t="s">
        <v>6</v>
      </c>
      <c r="F543">
        <v>92.753333330000004</v>
      </c>
    </row>
    <row r="544" spans="1:6" x14ac:dyDescent="0.25">
      <c r="A544" t="s">
        <v>8</v>
      </c>
      <c r="B544" s="2">
        <v>44300</v>
      </c>
      <c r="C544">
        <f t="shared" si="7"/>
        <v>2021</v>
      </c>
      <c r="E544" t="s">
        <v>6</v>
      </c>
      <c r="F544">
        <v>104.657</v>
      </c>
    </row>
    <row r="545" spans="1:6" x14ac:dyDescent="0.25">
      <c r="A545" t="s">
        <v>8</v>
      </c>
      <c r="B545" s="2">
        <v>44301</v>
      </c>
      <c r="C545">
        <f t="shared" si="7"/>
        <v>2021</v>
      </c>
      <c r="E545" t="s">
        <v>6</v>
      </c>
      <c r="F545">
        <v>101.2516667</v>
      </c>
    </row>
    <row r="546" spans="1:6" x14ac:dyDescent="0.25">
      <c r="A546" t="s">
        <v>8</v>
      </c>
      <c r="B546" s="2">
        <v>44301</v>
      </c>
      <c r="C546">
        <f t="shared" si="7"/>
        <v>2021</v>
      </c>
      <c r="E546" t="s">
        <v>6</v>
      </c>
      <c r="F546">
        <v>97.531000000000006</v>
      </c>
    </row>
    <row r="547" spans="1:6" x14ac:dyDescent="0.25">
      <c r="A547" t="s">
        <v>8</v>
      </c>
      <c r="B547" s="2">
        <v>44307</v>
      </c>
      <c r="C547">
        <f t="shared" si="7"/>
        <v>2021</v>
      </c>
      <c r="E547" t="s">
        <v>6</v>
      </c>
      <c r="F547">
        <v>97.304888890000001</v>
      </c>
    </row>
    <row r="548" spans="1:6" x14ac:dyDescent="0.25">
      <c r="A548" t="s">
        <v>8</v>
      </c>
      <c r="B548" s="2">
        <v>44307</v>
      </c>
      <c r="C548">
        <f t="shared" si="7"/>
        <v>2021</v>
      </c>
      <c r="E548" t="s">
        <v>6</v>
      </c>
      <c r="F548">
        <v>110.3821111</v>
      </c>
    </row>
    <row r="549" spans="1:6" x14ac:dyDescent="0.25">
      <c r="A549" t="s">
        <v>8</v>
      </c>
      <c r="B549" s="2">
        <v>44307</v>
      </c>
      <c r="C549">
        <f t="shared" si="7"/>
        <v>2021</v>
      </c>
      <c r="E549" t="s">
        <v>6</v>
      </c>
      <c r="F549">
        <v>101.0704444</v>
      </c>
    </row>
    <row r="550" spans="1:6" x14ac:dyDescent="0.25">
      <c r="A550" t="s">
        <v>8</v>
      </c>
      <c r="B550" s="2">
        <v>44315</v>
      </c>
      <c r="C550">
        <f t="shared" si="7"/>
        <v>2021</v>
      </c>
      <c r="E550" t="s">
        <v>6</v>
      </c>
      <c r="F550">
        <v>110.3692222</v>
      </c>
    </row>
    <row r="551" spans="1:6" x14ac:dyDescent="0.25">
      <c r="A551" t="s">
        <v>8</v>
      </c>
      <c r="B551" s="2">
        <v>44316</v>
      </c>
      <c r="C551">
        <f t="shared" si="7"/>
        <v>2021</v>
      </c>
      <c r="E551" t="s">
        <v>6</v>
      </c>
      <c r="F551">
        <v>97.827444439999994</v>
      </c>
    </row>
    <row r="552" spans="1:6" x14ac:dyDescent="0.25">
      <c r="A552" t="s">
        <v>8</v>
      </c>
      <c r="B552" s="2">
        <v>44316</v>
      </c>
      <c r="C552">
        <f t="shared" si="7"/>
        <v>2021</v>
      </c>
      <c r="E552" t="s">
        <v>6</v>
      </c>
      <c r="F552">
        <v>98.942444440000003</v>
      </c>
    </row>
    <row r="553" spans="1:6" x14ac:dyDescent="0.25">
      <c r="A553" t="s">
        <v>8</v>
      </c>
      <c r="B553" s="2">
        <v>44321</v>
      </c>
      <c r="C553">
        <f t="shared" si="7"/>
        <v>2021</v>
      </c>
      <c r="E553" t="s">
        <v>6</v>
      </c>
      <c r="F553">
        <v>109.3193333</v>
      </c>
    </row>
    <row r="554" spans="1:6" x14ac:dyDescent="0.25">
      <c r="A554" t="s">
        <v>8</v>
      </c>
      <c r="B554" s="2">
        <v>44322</v>
      </c>
      <c r="C554">
        <f t="shared" si="7"/>
        <v>2021</v>
      </c>
      <c r="E554" t="s">
        <v>6</v>
      </c>
      <c r="F554">
        <v>97.286555559999996</v>
      </c>
    </row>
    <row r="555" spans="1:6" x14ac:dyDescent="0.25">
      <c r="A555" t="s">
        <v>8</v>
      </c>
      <c r="B555" s="2">
        <v>44322</v>
      </c>
      <c r="C555">
        <f t="shared" si="7"/>
        <v>2021</v>
      </c>
      <c r="E555" t="s">
        <v>6</v>
      </c>
      <c r="F555">
        <v>104.60788890000001</v>
      </c>
    </row>
    <row r="556" spans="1:6" x14ac:dyDescent="0.25">
      <c r="A556" t="s">
        <v>8</v>
      </c>
      <c r="B556" s="2">
        <v>44335</v>
      </c>
      <c r="C556">
        <f t="shared" si="7"/>
        <v>2021</v>
      </c>
      <c r="E556" t="s">
        <v>6</v>
      </c>
      <c r="F556">
        <v>113.8327778</v>
      </c>
    </row>
    <row r="557" spans="1:6" x14ac:dyDescent="0.25">
      <c r="A557" t="s">
        <v>8</v>
      </c>
      <c r="B557" s="2">
        <v>44336</v>
      </c>
      <c r="C557">
        <f t="shared" si="7"/>
        <v>2021</v>
      </c>
      <c r="E557" t="s">
        <v>6</v>
      </c>
      <c r="F557">
        <v>97.199777780000005</v>
      </c>
    </row>
    <row r="558" spans="1:6" x14ac:dyDescent="0.25">
      <c r="A558" t="s">
        <v>8</v>
      </c>
      <c r="B558" s="2">
        <v>44336</v>
      </c>
      <c r="C558">
        <f t="shared" si="7"/>
        <v>2021</v>
      </c>
      <c r="E558" t="s">
        <v>6</v>
      </c>
      <c r="F558">
        <v>109.16333330000001</v>
      </c>
    </row>
    <row r="559" spans="1:6" x14ac:dyDescent="0.25">
      <c r="A559" t="s">
        <v>8</v>
      </c>
      <c r="B559" s="2">
        <v>44348</v>
      </c>
      <c r="C559">
        <f t="shared" si="7"/>
        <v>2021</v>
      </c>
      <c r="E559" t="s">
        <v>6</v>
      </c>
      <c r="F559">
        <v>115.5402222</v>
      </c>
    </row>
    <row r="560" spans="1:6" x14ac:dyDescent="0.25">
      <c r="A560" t="s">
        <v>8</v>
      </c>
      <c r="B560" s="2">
        <v>44349</v>
      </c>
      <c r="C560">
        <f t="shared" si="7"/>
        <v>2021</v>
      </c>
      <c r="E560" t="s">
        <v>6</v>
      </c>
      <c r="F560">
        <v>97.870111109999996</v>
      </c>
    </row>
    <row r="561" spans="1:6" x14ac:dyDescent="0.25">
      <c r="A561" t="s">
        <v>8</v>
      </c>
      <c r="B561" s="2">
        <v>44349</v>
      </c>
      <c r="C561">
        <f t="shared" si="7"/>
        <v>2021</v>
      </c>
      <c r="E561" t="s">
        <v>6</v>
      </c>
      <c r="F561">
        <v>102.58633330000001</v>
      </c>
    </row>
    <row r="562" spans="1:6" x14ac:dyDescent="0.25">
      <c r="A562" t="s">
        <v>9</v>
      </c>
      <c r="B562" s="2">
        <v>43850</v>
      </c>
      <c r="C562">
        <f t="shared" si="7"/>
        <v>2020</v>
      </c>
      <c r="E562" t="s">
        <v>10</v>
      </c>
      <c r="F562">
        <v>60.2</v>
      </c>
    </row>
    <row r="563" spans="1:6" x14ac:dyDescent="0.25">
      <c r="A563" t="s">
        <v>9</v>
      </c>
      <c r="B563" s="2">
        <v>43880</v>
      </c>
      <c r="C563">
        <f t="shared" si="7"/>
        <v>2020</v>
      </c>
      <c r="E563" t="s">
        <v>10</v>
      </c>
      <c r="F563">
        <v>83.8</v>
      </c>
    </row>
    <row r="564" spans="1:6" x14ac:dyDescent="0.25">
      <c r="A564" t="s">
        <v>9</v>
      </c>
      <c r="B564" s="2">
        <v>43892</v>
      </c>
      <c r="C564">
        <f t="shared" si="7"/>
        <v>2020</v>
      </c>
      <c r="E564" t="s">
        <v>10</v>
      </c>
      <c r="F564">
        <v>87.9</v>
      </c>
    </row>
    <row r="565" spans="1:6" x14ac:dyDescent="0.25">
      <c r="A565" t="s">
        <v>9</v>
      </c>
      <c r="B565" s="2">
        <v>43906</v>
      </c>
      <c r="C565">
        <f t="shared" ref="C565:C612" si="8">YEAR(B565)</f>
        <v>2020</v>
      </c>
      <c r="E565" t="s">
        <v>10</v>
      </c>
      <c r="F565">
        <v>97.1</v>
      </c>
    </row>
    <row r="566" spans="1:6" x14ac:dyDescent="0.25">
      <c r="A566" t="s">
        <v>9</v>
      </c>
      <c r="B566" s="2">
        <v>43949</v>
      </c>
      <c r="C566">
        <f t="shared" si="8"/>
        <v>2020</v>
      </c>
      <c r="E566" t="s">
        <v>10</v>
      </c>
      <c r="F566">
        <v>109.3</v>
      </c>
    </row>
    <row r="567" spans="1:6" x14ac:dyDescent="0.25">
      <c r="A567" t="s">
        <v>9</v>
      </c>
      <c r="B567" s="2">
        <v>43963</v>
      </c>
      <c r="C567">
        <f t="shared" si="8"/>
        <v>2020</v>
      </c>
      <c r="E567" t="s">
        <v>10</v>
      </c>
      <c r="F567">
        <v>116.6</v>
      </c>
    </row>
    <row r="568" spans="1:6" x14ac:dyDescent="0.25">
      <c r="A568" t="s">
        <v>9</v>
      </c>
      <c r="B568" s="2">
        <v>43976</v>
      </c>
      <c r="C568">
        <f t="shared" si="8"/>
        <v>2020</v>
      </c>
      <c r="E568" t="s">
        <v>10</v>
      </c>
      <c r="F568">
        <v>116.8</v>
      </c>
    </row>
    <row r="569" spans="1:6" x14ac:dyDescent="0.25">
      <c r="A569" t="s">
        <v>9</v>
      </c>
      <c r="B569" s="2">
        <v>44221</v>
      </c>
      <c r="C569">
        <f t="shared" si="8"/>
        <v>2021</v>
      </c>
      <c r="E569" t="s">
        <v>10</v>
      </c>
      <c r="F569">
        <v>66.148111110000002</v>
      </c>
    </row>
    <row r="570" spans="1:6" x14ac:dyDescent="0.25">
      <c r="A570" t="s">
        <v>9</v>
      </c>
      <c r="B570" s="2">
        <v>44245</v>
      </c>
      <c r="C570">
        <f t="shared" si="8"/>
        <v>2021</v>
      </c>
      <c r="E570" t="s">
        <v>10</v>
      </c>
      <c r="F570">
        <v>78.188777779999995</v>
      </c>
    </row>
    <row r="571" spans="1:6" x14ac:dyDescent="0.25">
      <c r="A571" t="s">
        <v>9</v>
      </c>
      <c r="B571" s="2">
        <v>44256</v>
      </c>
      <c r="C571">
        <f t="shared" si="8"/>
        <v>2021</v>
      </c>
      <c r="E571" t="s">
        <v>10</v>
      </c>
      <c r="F571">
        <v>85.639222219999994</v>
      </c>
    </row>
    <row r="572" spans="1:6" x14ac:dyDescent="0.25">
      <c r="A572" t="s">
        <v>9</v>
      </c>
      <c r="B572" s="2">
        <v>44271</v>
      </c>
      <c r="C572">
        <f t="shared" si="8"/>
        <v>2021</v>
      </c>
      <c r="E572" t="s">
        <v>10</v>
      </c>
      <c r="F572">
        <v>91.981555560000004</v>
      </c>
    </row>
    <row r="573" spans="1:6" x14ac:dyDescent="0.25">
      <c r="A573" t="s">
        <v>9</v>
      </c>
      <c r="B573" s="2">
        <v>44284</v>
      </c>
      <c r="C573">
        <f t="shared" si="8"/>
        <v>2021</v>
      </c>
      <c r="E573" t="s">
        <v>10</v>
      </c>
      <c r="F573">
        <v>96.656555560000001</v>
      </c>
    </row>
    <row r="574" spans="1:6" x14ac:dyDescent="0.25">
      <c r="A574" t="s">
        <v>9</v>
      </c>
      <c r="B574" s="2">
        <v>44298</v>
      </c>
      <c r="C574">
        <f t="shared" si="8"/>
        <v>2021</v>
      </c>
      <c r="E574" t="s">
        <v>10</v>
      </c>
      <c r="F574">
        <v>102.13188890000001</v>
      </c>
    </row>
    <row r="575" spans="1:6" x14ac:dyDescent="0.25">
      <c r="A575" t="s">
        <v>9</v>
      </c>
      <c r="B575" s="2">
        <v>44307</v>
      </c>
      <c r="C575">
        <f t="shared" si="8"/>
        <v>2021</v>
      </c>
      <c r="E575" t="s">
        <v>10</v>
      </c>
      <c r="F575">
        <v>106.438</v>
      </c>
    </row>
    <row r="576" spans="1:6" x14ac:dyDescent="0.25">
      <c r="A576" t="s">
        <v>9</v>
      </c>
      <c r="B576" s="2">
        <v>44315</v>
      </c>
      <c r="C576">
        <f t="shared" si="8"/>
        <v>2021</v>
      </c>
      <c r="E576" t="s">
        <v>10</v>
      </c>
      <c r="F576">
        <v>114.3467778</v>
      </c>
    </row>
    <row r="577" spans="1:6" x14ac:dyDescent="0.25">
      <c r="A577" t="s">
        <v>9</v>
      </c>
      <c r="B577" s="2">
        <v>44321</v>
      </c>
      <c r="C577">
        <f t="shared" si="8"/>
        <v>2021</v>
      </c>
      <c r="E577" t="s">
        <v>10</v>
      </c>
      <c r="F577">
        <v>108.5084444</v>
      </c>
    </row>
    <row r="578" spans="1:6" x14ac:dyDescent="0.25">
      <c r="A578" t="s">
        <v>9</v>
      </c>
      <c r="B578" s="2">
        <v>44333</v>
      </c>
      <c r="C578">
        <f t="shared" si="8"/>
        <v>2021</v>
      </c>
      <c r="E578" t="s">
        <v>10</v>
      </c>
      <c r="F578">
        <v>110.1386667</v>
      </c>
    </row>
    <row r="579" spans="1:6" x14ac:dyDescent="0.25">
      <c r="A579" t="s">
        <v>9</v>
      </c>
      <c r="B579" s="2">
        <v>44347</v>
      </c>
      <c r="C579">
        <f t="shared" si="8"/>
        <v>2021</v>
      </c>
      <c r="E579" t="s">
        <v>10</v>
      </c>
      <c r="F579">
        <v>114.625</v>
      </c>
    </row>
    <row r="580" spans="1:6" x14ac:dyDescent="0.25">
      <c r="A580" t="s">
        <v>9</v>
      </c>
      <c r="B580" s="2">
        <v>44607</v>
      </c>
      <c r="C580">
        <f t="shared" si="8"/>
        <v>2022</v>
      </c>
      <c r="E580" t="s">
        <v>10</v>
      </c>
      <c r="F580">
        <v>66.400000000000006</v>
      </c>
    </row>
    <row r="581" spans="1:6" x14ac:dyDescent="0.25">
      <c r="A581" t="s">
        <v>9</v>
      </c>
      <c r="B581" s="2">
        <v>44608</v>
      </c>
      <c r="C581">
        <f t="shared" si="8"/>
        <v>2022</v>
      </c>
      <c r="E581" t="s">
        <v>10</v>
      </c>
      <c r="F581">
        <v>76.599999999999994</v>
      </c>
    </row>
    <row r="582" spans="1:6" x14ac:dyDescent="0.25">
      <c r="A582" t="s">
        <v>9</v>
      </c>
      <c r="B582" s="2">
        <v>44622</v>
      </c>
      <c r="C582">
        <f t="shared" si="8"/>
        <v>2022</v>
      </c>
      <c r="E582" t="s">
        <v>10</v>
      </c>
      <c r="F582">
        <v>82.4</v>
      </c>
    </row>
    <row r="583" spans="1:6" x14ac:dyDescent="0.25">
      <c r="A583" t="s">
        <v>9</v>
      </c>
      <c r="B583" s="2">
        <v>44622</v>
      </c>
      <c r="C583">
        <f t="shared" si="8"/>
        <v>2022</v>
      </c>
      <c r="E583" t="s">
        <v>10</v>
      </c>
      <c r="F583">
        <v>99.9</v>
      </c>
    </row>
    <row r="584" spans="1:6" x14ac:dyDescent="0.25">
      <c r="A584" t="s">
        <v>9</v>
      </c>
      <c r="B584" s="2">
        <v>44635</v>
      </c>
      <c r="C584">
        <f t="shared" si="8"/>
        <v>2022</v>
      </c>
      <c r="E584" t="s">
        <v>10</v>
      </c>
      <c r="F584">
        <v>91.4</v>
      </c>
    </row>
    <row r="585" spans="1:6" x14ac:dyDescent="0.25">
      <c r="A585" t="s">
        <v>9</v>
      </c>
      <c r="B585" s="2">
        <v>44662</v>
      </c>
      <c r="C585">
        <f t="shared" si="8"/>
        <v>2022</v>
      </c>
      <c r="E585" t="s">
        <v>10</v>
      </c>
      <c r="F585">
        <v>103.4</v>
      </c>
    </row>
    <row r="586" spans="1:6" x14ac:dyDescent="0.25">
      <c r="A586" t="s">
        <v>9</v>
      </c>
      <c r="B586" s="2">
        <v>44669</v>
      </c>
      <c r="C586">
        <f t="shared" si="8"/>
        <v>2022</v>
      </c>
      <c r="E586" t="s">
        <v>10</v>
      </c>
      <c r="F586">
        <v>107.5</v>
      </c>
    </row>
    <row r="587" spans="1:6" x14ac:dyDescent="0.25">
      <c r="A587" t="s">
        <v>9</v>
      </c>
      <c r="B587" s="2">
        <v>44677</v>
      </c>
      <c r="C587">
        <f t="shared" si="8"/>
        <v>2022</v>
      </c>
      <c r="E587" t="s">
        <v>10</v>
      </c>
      <c r="F587">
        <v>110</v>
      </c>
    </row>
    <row r="588" spans="1:6" x14ac:dyDescent="0.25">
      <c r="A588" t="s">
        <v>9</v>
      </c>
      <c r="B588" s="2">
        <v>44683</v>
      </c>
      <c r="C588">
        <f t="shared" si="8"/>
        <v>2022</v>
      </c>
      <c r="E588" t="s">
        <v>10</v>
      </c>
      <c r="F588">
        <v>111.3</v>
      </c>
    </row>
    <row r="589" spans="1:6" x14ac:dyDescent="0.25">
      <c r="A589" t="s">
        <v>9</v>
      </c>
      <c r="B589" s="2">
        <v>44697</v>
      </c>
      <c r="C589">
        <f t="shared" si="8"/>
        <v>2022</v>
      </c>
      <c r="E589" t="s">
        <v>10</v>
      </c>
      <c r="F589">
        <v>115.8</v>
      </c>
    </row>
    <row r="590" spans="1:6" x14ac:dyDescent="0.25">
      <c r="A590" t="s">
        <v>9</v>
      </c>
      <c r="B590" s="2">
        <v>44711</v>
      </c>
      <c r="C590">
        <f t="shared" si="8"/>
        <v>2022</v>
      </c>
      <c r="E590" t="s">
        <v>10</v>
      </c>
      <c r="F590">
        <v>115.8</v>
      </c>
    </row>
    <row r="591" spans="1:6" x14ac:dyDescent="0.25">
      <c r="A591" t="s">
        <v>9</v>
      </c>
      <c r="B591" s="2">
        <v>44949</v>
      </c>
      <c r="C591">
        <f t="shared" si="8"/>
        <v>2023</v>
      </c>
      <c r="E591" t="s">
        <v>10</v>
      </c>
      <c r="F591">
        <v>73.099999999999994</v>
      </c>
    </row>
    <row r="592" spans="1:6" x14ac:dyDescent="0.25">
      <c r="A592" t="s">
        <v>9</v>
      </c>
      <c r="B592" s="2">
        <v>44971</v>
      </c>
      <c r="C592">
        <f t="shared" si="8"/>
        <v>2023</v>
      </c>
      <c r="E592" t="s">
        <v>10</v>
      </c>
      <c r="F592">
        <v>87.7</v>
      </c>
    </row>
    <row r="593" spans="1:6" x14ac:dyDescent="0.25">
      <c r="A593" t="s">
        <v>9</v>
      </c>
      <c r="B593" s="2">
        <v>44987</v>
      </c>
      <c r="C593">
        <f t="shared" si="8"/>
        <v>2023</v>
      </c>
      <c r="E593" t="s">
        <v>10</v>
      </c>
      <c r="F593">
        <v>103</v>
      </c>
    </row>
    <row r="594" spans="1:6" x14ac:dyDescent="0.25">
      <c r="A594" t="s">
        <v>9</v>
      </c>
      <c r="B594" s="2">
        <v>44998</v>
      </c>
      <c r="C594">
        <f t="shared" si="8"/>
        <v>2023</v>
      </c>
      <c r="E594" t="s">
        <v>10</v>
      </c>
      <c r="F594">
        <v>104.4</v>
      </c>
    </row>
    <row r="595" spans="1:6" x14ac:dyDescent="0.25">
      <c r="A595" t="s">
        <v>9</v>
      </c>
      <c r="B595" s="2">
        <v>45014</v>
      </c>
      <c r="C595">
        <f t="shared" si="8"/>
        <v>2023</v>
      </c>
      <c r="E595" t="s">
        <v>10</v>
      </c>
      <c r="F595">
        <v>120.2</v>
      </c>
    </row>
    <row r="596" spans="1:6" x14ac:dyDescent="0.25">
      <c r="A596" t="s">
        <v>9</v>
      </c>
      <c r="B596" s="2">
        <v>45027</v>
      </c>
      <c r="C596">
        <f t="shared" si="8"/>
        <v>2023</v>
      </c>
      <c r="E596" t="s">
        <v>10</v>
      </c>
      <c r="F596">
        <v>122.5</v>
      </c>
    </row>
    <row r="597" spans="1:6" x14ac:dyDescent="0.25">
      <c r="A597" t="s">
        <v>9</v>
      </c>
      <c r="B597" s="2">
        <v>45040</v>
      </c>
      <c r="C597">
        <f t="shared" si="8"/>
        <v>2023</v>
      </c>
      <c r="E597" t="s">
        <v>10</v>
      </c>
      <c r="F597">
        <v>126.6</v>
      </c>
    </row>
    <row r="598" spans="1:6" x14ac:dyDescent="0.25">
      <c r="A598" t="s">
        <v>9</v>
      </c>
      <c r="B598" s="2">
        <v>45047</v>
      </c>
      <c r="C598">
        <f t="shared" si="8"/>
        <v>2023</v>
      </c>
      <c r="E598" t="s">
        <v>10</v>
      </c>
      <c r="F598">
        <v>126.7</v>
      </c>
    </row>
    <row r="599" spans="1:6" x14ac:dyDescent="0.25">
      <c r="A599" t="s">
        <v>9</v>
      </c>
      <c r="B599" s="2">
        <v>45062</v>
      </c>
      <c r="C599">
        <f t="shared" si="8"/>
        <v>2023</v>
      </c>
      <c r="E599" t="s">
        <v>10</v>
      </c>
      <c r="F599">
        <v>129</v>
      </c>
    </row>
    <row r="600" spans="1:6" x14ac:dyDescent="0.25">
      <c r="A600" t="s">
        <v>9</v>
      </c>
      <c r="B600" s="2">
        <v>45076</v>
      </c>
      <c r="C600">
        <f t="shared" si="8"/>
        <v>2023</v>
      </c>
      <c r="E600" t="s">
        <v>10</v>
      </c>
      <c r="F600">
        <v>129.19999999999999</v>
      </c>
    </row>
    <row r="601" spans="1:6" x14ac:dyDescent="0.25">
      <c r="A601" t="s">
        <v>9</v>
      </c>
      <c r="B601" s="2">
        <v>45083</v>
      </c>
      <c r="C601">
        <f t="shared" si="8"/>
        <v>2023</v>
      </c>
      <c r="E601" t="s">
        <v>10</v>
      </c>
      <c r="F601">
        <v>126.5</v>
      </c>
    </row>
    <row r="602" spans="1:6" x14ac:dyDescent="0.25">
      <c r="A602" t="s">
        <v>9</v>
      </c>
      <c r="B602" s="2">
        <v>45315</v>
      </c>
      <c r="C602">
        <f t="shared" si="8"/>
        <v>2024</v>
      </c>
      <c r="E602" t="s">
        <v>10</v>
      </c>
      <c r="F602">
        <v>67.5</v>
      </c>
    </row>
    <row r="603" spans="1:6" x14ac:dyDescent="0.25">
      <c r="A603" t="s">
        <v>9</v>
      </c>
      <c r="B603" s="2">
        <v>45335</v>
      </c>
      <c r="C603">
        <f t="shared" si="8"/>
        <v>2024</v>
      </c>
      <c r="E603" t="s">
        <v>10</v>
      </c>
      <c r="F603">
        <v>78.2</v>
      </c>
    </row>
    <row r="604" spans="1:6" x14ac:dyDescent="0.25">
      <c r="A604" t="s">
        <v>9</v>
      </c>
      <c r="B604" s="2">
        <v>45349</v>
      </c>
      <c r="C604">
        <f t="shared" si="8"/>
        <v>2024</v>
      </c>
      <c r="E604" t="s">
        <v>10</v>
      </c>
      <c r="F604">
        <v>86.7</v>
      </c>
    </row>
    <row r="605" spans="1:6" x14ac:dyDescent="0.25">
      <c r="A605" t="s">
        <v>9</v>
      </c>
      <c r="B605" s="2">
        <v>45363</v>
      </c>
      <c r="C605">
        <f t="shared" si="8"/>
        <v>2024</v>
      </c>
      <c r="E605" t="s">
        <v>10</v>
      </c>
      <c r="F605">
        <v>92.6</v>
      </c>
    </row>
    <row r="606" spans="1:6" x14ac:dyDescent="0.25">
      <c r="A606" t="s">
        <v>9</v>
      </c>
      <c r="B606" s="2">
        <v>45378</v>
      </c>
      <c r="C606">
        <f t="shared" si="8"/>
        <v>2024</v>
      </c>
      <c r="E606" t="s">
        <v>10</v>
      </c>
      <c r="F606">
        <v>99.8</v>
      </c>
    </row>
    <row r="607" spans="1:6" x14ac:dyDescent="0.25">
      <c r="A607" t="s">
        <v>9</v>
      </c>
      <c r="B607" s="2">
        <v>45390</v>
      </c>
      <c r="C607">
        <f t="shared" si="8"/>
        <v>2024</v>
      </c>
      <c r="E607" t="s">
        <v>10</v>
      </c>
      <c r="F607">
        <v>103.5</v>
      </c>
    </row>
    <row r="608" spans="1:6" x14ac:dyDescent="0.25">
      <c r="A608" t="s">
        <v>9</v>
      </c>
      <c r="B608" s="2">
        <v>45406</v>
      </c>
      <c r="C608">
        <f t="shared" si="8"/>
        <v>2024</v>
      </c>
      <c r="E608" t="s">
        <v>10</v>
      </c>
      <c r="F608">
        <v>113.8</v>
      </c>
    </row>
    <row r="609" spans="1:6" x14ac:dyDescent="0.25">
      <c r="A609" t="s">
        <v>9</v>
      </c>
      <c r="B609" s="2">
        <v>45412</v>
      </c>
      <c r="C609">
        <f t="shared" si="8"/>
        <v>2024</v>
      </c>
      <c r="E609" t="s">
        <v>10</v>
      </c>
      <c r="F609">
        <v>87.9</v>
      </c>
    </row>
    <row r="610" spans="1:6" x14ac:dyDescent="0.25">
      <c r="A610" t="s">
        <v>9</v>
      </c>
      <c r="B610" s="2">
        <v>45427</v>
      </c>
      <c r="C610">
        <f t="shared" si="8"/>
        <v>2024</v>
      </c>
      <c r="E610" t="s">
        <v>10</v>
      </c>
      <c r="F610">
        <v>105.6</v>
      </c>
    </row>
    <row r="611" spans="1:6" x14ac:dyDescent="0.25">
      <c r="A611" t="s">
        <v>9</v>
      </c>
      <c r="B611" s="2">
        <v>45441</v>
      </c>
      <c r="C611">
        <f t="shared" si="8"/>
        <v>2024</v>
      </c>
      <c r="E611" t="s">
        <v>10</v>
      </c>
      <c r="F611">
        <v>99.6</v>
      </c>
    </row>
    <row r="612" spans="1:6" x14ac:dyDescent="0.25">
      <c r="A612" t="s">
        <v>9</v>
      </c>
      <c r="B612" s="2">
        <v>45454</v>
      </c>
      <c r="C612">
        <f t="shared" si="8"/>
        <v>2024</v>
      </c>
      <c r="E612" t="s">
        <v>10</v>
      </c>
      <c r="F612">
        <v>104.6</v>
      </c>
    </row>
    <row r="614" spans="1:6" x14ac:dyDescent="0.25">
      <c r="A614" t="s">
        <v>13</v>
      </c>
      <c r="B614" s="2">
        <v>42387</v>
      </c>
      <c r="C614">
        <v>2016</v>
      </c>
      <c r="E614" t="s">
        <v>6</v>
      </c>
      <c r="F614">
        <v>59.6</v>
      </c>
    </row>
    <row r="615" spans="1:6" x14ac:dyDescent="0.25">
      <c r="A615" t="s">
        <v>13</v>
      </c>
      <c r="B615" s="2">
        <v>42387</v>
      </c>
      <c r="C615">
        <v>2016</v>
      </c>
      <c r="E615" t="s">
        <v>6</v>
      </c>
      <c r="F615">
        <v>58.3</v>
      </c>
    </row>
    <row r="616" spans="1:6" x14ac:dyDescent="0.25">
      <c r="A616" t="s">
        <v>13</v>
      </c>
      <c r="B616" s="2">
        <v>42423</v>
      </c>
      <c r="C616">
        <v>2016</v>
      </c>
      <c r="E616" t="s">
        <v>6</v>
      </c>
      <c r="F616">
        <v>74.400000000000006</v>
      </c>
    </row>
    <row r="617" spans="1:6" x14ac:dyDescent="0.25">
      <c r="A617" t="s">
        <v>13</v>
      </c>
      <c r="B617" s="2">
        <v>42423</v>
      </c>
      <c r="C617">
        <v>2016</v>
      </c>
      <c r="E617" t="s">
        <v>6</v>
      </c>
      <c r="F617">
        <v>85.7</v>
      </c>
    </row>
    <row r="618" spans="1:6" x14ac:dyDescent="0.25">
      <c r="A618" t="s">
        <v>13</v>
      </c>
      <c r="B618" s="2">
        <v>42437</v>
      </c>
      <c r="C618">
        <v>2016</v>
      </c>
      <c r="E618" t="s">
        <v>6</v>
      </c>
      <c r="F618">
        <v>79.400000000000006</v>
      </c>
    </row>
    <row r="619" spans="1:6" x14ac:dyDescent="0.25">
      <c r="A619" t="s">
        <v>13</v>
      </c>
      <c r="B619" s="2">
        <v>42437</v>
      </c>
      <c r="C619">
        <v>2016</v>
      </c>
      <c r="E619" t="s">
        <v>6</v>
      </c>
      <c r="F619">
        <v>92.4</v>
      </c>
    </row>
    <row r="620" spans="1:6" x14ac:dyDescent="0.25">
      <c r="A620" t="s">
        <v>13</v>
      </c>
      <c r="B620" s="2">
        <v>42451</v>
      </c>
      <c r="C620">
        <v>2016</v>
      </c>
      <c r="E620" t="s">
        <v>6</v>
      </c>
      <c r="F620">
        <v>91.9</v>
      </c>
    </row>
    <row r="621" spans="1:6" x14ac:dyDescent="0.25">
      <c r="A621" t="s">
        <v>13</v>
      </c>
      <c r="B621" s="2">
        <v>42451</v>
      </c>
      <c r="C621">
        <v>2016</v>
      </c>
      <c r="E621" t="s">
        <v>6</v>
      </c>
      <c r="F621">
        <v>101.1</v>
      </c>
    </row>
    <row r="622" spans="1:6" x14ac:dyDescent="0.25">
      <c r="A622" t="s">
        <v>13</v>
      </c>
      <c r="B622" s="2">
        <v>42466</v>
      </c>
      <c r="C622">
        <v>2016</v>
      </c>
      <c r="E622" t="s">
        <v>6</v>
      </c>
      <c r="F622">
        <v>94.9</v>
      </c>
    </row>
    <row r="623" spans="1:6" x14ac:dyDescent="0.25">
      <c r="A623" t="s">
        <v>13</v>
      </c>
      <c r="B623" s="2">
        <v>42467</v>
      </c>
      <c r="C623">
        <v>2016</v>
      </c>
      <c r="E623" t="s">
        <v>6</v>
      </c>
      <c r="F623">
        <v>113.4</v>
      </c>
    </row>
    <row r="624" spans="1:6" x14ac:dyDescent="0.25">
      <c r="A624" t="s">
        <v>13</v>
      </c>
      <c r="B624" s="2">
        <v>42474</v>
      </c>
      <c r="C624">
        <v>2016</v>
      </c>
      <c r="E624" t="s">
        <v>6</v>
      </c>
      <c r="F624">
        <v>115.3</v>
      </c>
    </row>
    <row r="625" spans="1:6" x14ac:dyDescent="0.25">
      <c r="A625" t="s">
        <v>13</v>
      </c>
      <c r="B625" s="2">
        <v>42475</v>
      </c>
      <c r="C625">
        <v>2016</v>
      </c>
      <c r="E625" t="s">
        <v>6</v>
      </c>
      <c r="F625">
        <v>101.2</v>
      </c>
    </row>
    <row r="626" spans="1:6" x14ac:dyDescent="0.25">
      <c r="A626" t="s">
        <v>13</v>
      </c>
      <c r="B626" s="2">
        <v>42482</v>
      </c>
      <c r="C626">
        <v>2016</v>
      </c>
      <c r="E626" t="s">
        <v>6</v>
      </c>
      <c r="F626">
        <v>103.3</v>
      </c>
    </row>
    <row r="627" spans="1:6" x14ac:dyDescent="0.25">
      <c r="A627" t="s">
        <v>13</v>
      </c>
      <c r="B627" s="2">
        <v>42482</v>
      </c>
      <c r="C627">
        <v>2016</v>
      </c>
      <c r="E627" t="s">
        <v>6</v>
      </c>
      <c r="F627">
        <v>119.2</v>
      </c>
    </row>
    <row r="628" spans="1:6" x14ac:dyDescent="0.25">
      <c r="A628" t="s">
        <v>13</v>
      </c>
      <c r="B628" s="2">
        <v>42486</v>
      </c>
      <c r="C628">
        <v>2016</v>
      </c>
      <c r="E628" t="s">
        <v>6</v>
      </c>
      <c r="F628">
        <v>103.4</v>
      </c>
    </row>
    <row r="629" spans="1:6" x14ac:dyDescent="0.25">
      <c r="A629" t="s">
        <v>13</v>
      </c>
      <c r="B629" s="2">
        <v>42486</v>
      </c>
      <c r="C629">
        <v>2016</v>
      </c>
      <c r="E629" t="s">
        <v>6</v>
      </c>
      <c r="F629">
        <v>115.3</v>
      </c>
    </row>
    <row r="630" spans="1:6" x14ac:dyDescent="0.25">
      <c r="A630" t="s">
        <v>13</v>
      </c>
      <c r="B630" s="2">
        <v>42493</v>
      </c>
      <c r="C630">
        <v>2016</v>
      </c>
      <c r="E630" t="s">
        <v>6</v>
      </c>
      <c r="F630">
        <v>105.7</v>
      </c>
    </row>
    <row r="631" spans="1:6" x14ac:dyDescent="0.25">
      <c r="A631" t="s">
        <v>13</v>
      </c>
      <c r="B631" s="2">
        <v>42493</v>
      </c>
      <c r="C631">
        <v>2016</v>
      </c>
      <c r="E631" t="s">
        <v>6</v>
      </c>
      <c r="F631">
        <v>122.2</v>
      </c>
    </row>
    <row r="632" spans="1:6" x14ac:dyDescent="0.25">
      <c r="A632" t="s">
        <v>13</v>
      </c>
      <c r="B632" s="2">
        <v>42510</v>
      </c>
      <c r="C632">
        <v>2016</v>
      </c>
      <c r="E632" t="s">
        <v>6</v>
      </c>
      <c r="F632">
        <v>106.7</v>
      </c>
    </row>
    <row r="633" spans="1:6" x14ac:dyDescent="0.25">
      <c r="A633" t="s">
        <v>13</v>
      </c>
      <c r="B633" s="2">
        <v>42510</v>
      </c>
      <c r="C633">
        <v>2016</v>
      </c>
      <c r="E633" t="s">
        <v>6</v>
      </c>
      <c r="F633">
        <v>123.3</v>
      </c>
    </row>
    <row r="634" spans="1:6" x14ac:dyDescent="0.25">
      <c r="A634" t="s">
        <v>13</v>
      </c>
      <c r="B634" s="2">
        <v>42521</v>
      </c>
      <c r="C634">
        <v>2016</v>
      </c>
      <c r="E634" t="s">
        <v>6</v>
      </c>
      <c r="F634">
        <v>103.3</v>
      </c>
    </row>
    <row r="635" spans="1:6" x14ac:dyDescent="0.25">
      <c r="A635" t="s">
        <v>13</v>
      </c>
      <c r="B635" s="2">
        <v>42521</v>
      </c>
      <c r="C635">
        <v>2016</v>
      </c>
      <c r="E635" t="s">
        <v>6</v>
      </c>
      <c r="F635">
        <v>122.6</v>
      </c>
    </row>
    <row r="636" spans="1:6" x14ac:dyDescent="0.25">
      <c r="A636" t="s">
        <v>13</v>
      </c>
      <c r="B636" s="2">
        <v>42535</v>
      </c>
      <c r="C636">
        <v>2016</v>
      </c>
      <c r="E636" t="s">
        <v>6</v>
      </c>
      <c r="F636">
        <v>106.7</v>
      </c>
    </row>
    <row r="637" spans="1:6" x14ac:dyDescent="0.25">
      <c r="A637" t="s">
        <v>13</v>
      </c>
      <c r="B637" s="2">
        <v>42535</v>
      </c>
      <c r="C637">
        <v>2016</v>
      </c>
      <c r="E637" t="s">
        <v>6</v>
      </c>
      <c r="F637">
        <v>118.4</v>
      </c>
    </row>
    <row r="638" spans="1:6" x14ac:dyDescent="0.25">
      <c r="A638" t="s">
        <v>13</v>
      </c>
      <c r="B638" s="2">
        <v>42386</v>
      </c>
      <c r="C638">
        <v>2016</v>
      </c>
      <c r="E638" t="s">
        <v>6</v>
      </c>
      <c r="F638">
        <v>56.9</v>
      </c>
    </row>
    <row r="639" spans="1:6" x14ac:dyDescent="0.25">
      <c r="A639" t="s">
        <v>13</v>
      </c>
      <c r="B639" s="2">
        <v>42424</v>
      </c>
      <c r="C639">
        <v>2016</v>
      </c>
      <c r="E639" t="s">
        <v>6</v>
      </c>
      <c r="F639">
        <v>81.2</v>
      </c>
    </row>
    <row r="640" spans="1:6" x14ac:dyDescent="0.25">
      <c r="A640" t="s">
        <v>13</v>
      </c>
      <c r="B640" s="2">
        <v>42439</v>
      </c>
      <c r="C640">
        <v>2016</v>
      </c>
      <c r="E640" t="s">
        <v>6</v>
      </c>
      <c r="F640">
        <v>94.7</v>
      </c>
    </row>
    <row r="641" spans="1:6" x14ac:dyDescent="0.25">
      <c r="A641" t="s">
        <v>13</v>
      </c>
      <c r="B641" s="2">
        <v>42452</v>
      </c>
      <c r="C641">
        <v>2016</v>
      </c>
      <c r="E641" t="s">
        <v>6</v>
      </c>
      <c r="F641">
        <v>97.8</v>
      </c>
    </row>
    <row r="642" spans="1:6" x14ac:dyDescent="0.25">
      <c r="A642" t="s">
        <v>13</v>
      </c>
      <c r="B642" s="2">
        <v>42467</v>
      </c>
      <c r="C642">
        <v>2016</v>
      </c>
      <c r="E642" t="s">
        <v>6</v>
      </c>
      <c r="F642">
        <v>109.2</v>
      </c>
    </row>
    <row r="643" spans="1:6" x14ac:dyDescent="0.25">
      <c r="A643" t="s">
        <v>13</v>
      </c>
      <c r="B643" s="2">
        <v>42474</v>
      </c>
      <c r="C643">
        <v>2016</v>
      </c>
      <c r="E643" t="s">
        <v>6</v>
      </c>
      <c r="F643">
        <v>107.3</v>
      </c>
    </row>
    <row r="644" spans="1:6" x14ac:dyDescent="0.25">
      <c r="A644" t="s">
        <v>13</v>
      </c>
      <c r="B644" s="2">
        <v>42482</v>
      </c>
      <c r="C644">
        <v>2016</v>
      </c>
      <c r="E644" t="s">
        <v>6</v>
      </c>
      <c r="F644">
        <v>112.8</v>
      </c>
    </row>
    <row r="645" spans="1:6" x14ac:dyDescent="0.25">
      <c r="A645" t="s">
        <v>13</v>
      </c>
      <c r="B645" s="2">
        <v>42489</v>
      </c>
      <c r="C645">
        <v>2016</v>
      </c>
      <c r="E645" t="s">
        <v>6</v>
      </c>
      <c r="F645">
        <v>110.8</v>
      </c>
    </row>
    <row r="646" spans="1:6" x14ac:dyDescent="0.25">
      <c r="A646" t="s">
        <v>13</v>
      </c>
      <c r="B646" s="2">
        <v>42496</v>
      </c>
      <c r="C646">
        <v>2016</v>
      </c>
      <c r="E646" t="s">
        <v>6</v>
      </c>
      <c r="F646">
        <v>115.6</v>
      </c>
    </row>
    <row r="647" spans="1:6" x14ac:dyDescent="0.25">
      <c r="A647" t="s">
        <v>13</v>
      </c>
      <c r="B647" s="2">
        <v>42510</v>
      </c>
      <c r="C647">
        <v>2016</v>
      </c>
      <c r="E647" t="s">
        <v>6</v>
      </c>
      <c r="F647">
        <v>114.4</v>
      </c>
    </row>
    <row r="648" spans="1:6" x14ac:dyDescent="0.25">
      <c r="A648" t="s">
        <v>13</v>
      </c>
      <c r="B648" s="2">
        <v>42523</v>
      </c>
      <c r="C648">
        <v>2016</v>
      </c>
      <c r="E648" t="s">
        <v>6</v>
      </c>
      <c r="F648">
        <v>113.8</v>
      </c>
    </row>
    <row r="649" spans="1:6" x14ac:dyDescent="0.25">
      <c r="A649" t="s">
        <v>13</v>
      </c>
      <c r="B649" s="2">
        <v>42535</v>
      </c>
      <c r="C649">
        <v>2016</v>
      </c>
      <c r="E649" t="s">
        <v>6</v>
      </c>
      <c r="F649">
        <v>119.1</v>
      </c>
    </row>
    <row r="650" spans="1:6" x14ac:dyDescent="0.25">
      <c r="A650" t="s">
        <v>13</v>
      </c>
      <c r="B650" s="2">
        <v>42386</v>
      </c>
      <c r="C650">
        <v>2016</v>
      </c>
      <c r="E650" t="s">
        <v>6</v>
      </c>
      <c r="F650">
        <v>65.2</v>
      </c>
    </row>
    <row r="651" spans="1:6" x14ac:dyDescent="0.25">
      <c r="A651" t="s">
        <v>13</v>
      </c>
      <c r="B651" s="2">
        <v>42386</v>
      </c>
      <c r="C651">
        <v>2016</v>
      </c>
      <c r="E651" t="s">
        <v>6</v>
      </c>
      <c r="F651">
        <v>62.3</v>
      </c>
    </row>
    <row r="652" spans="1:6" x14ac:dyDescent="0.25">
      <c r="A652" t="s">
        <v>13</v>
      </c>
      <c r="B652" s="2">
        <v>42386</v>
      </c>
      <c r="C652">
        <v>2016</v>
      </c>
      <c r="E652" t="s">
        <v>6</v>
      </c>
      <c r="F652">
        <v>61.2</v>
      </c>
    </row>
    <row r="653" spans="1:6" x14ac:dyDescent="0.25">
      <c r="A653" t="s">
        <v>13</v>
      </c>
      <c r="B653" s="2">
        <v>42389</v>
      </c>
      <c r="C653">
        <v>2016</v>
      </c>
      <c r="E653" t="s">
        <v>6</v>
      </c>
      <c r="F653">
        <v>61</v>
      </c>
    </row>
    <row r="654" spans="1:6" x14ac:dyDescent="0.25">
      <c r="A654" t="s">
        <v>13</v>
      </c>
      <c r="B654" s="2">
        <v>42424</v>
      </c>
      <c r="C654">
        <v>2016</v>
      </c>
      <c r="E654" t="s">
        <v>6</v>
      </c>
      <c r="F654">
        <v>91.7</v>
      </c>
    </row>
    <row r="655" spans="1:6" x14ac:dyDescent="0.25">
      <c r="A655" t="s">
        <v>13</v>
      </c>
      <c r="B655" s="2">
        <v>42424</v>
      </c>
      <c r="C655">
        <v>2016</v>
      </c>
      <c r="E655" t="s">
        <v>6</v>
      </c>
      <c r="F655">
        <v>88.5</v>
      </c>
    </row>
    <row r="656" spans="1:6" x14ac:dyDescent="0.25">
      <c r="A656" t="s">
        <v>13</v>
      </c>
      <c r="B656" s="2">
        <v>42424</v>
      </c>
      <c r="C656">
        <v>2016</v>
      </c>
      <c r="E656" t="s">
        <v>6</v>
      </c>
      <c r="F656">
        <v>81.3</v>
      </c>
    </row>
    <row r="657" spans="1:6" x14ac:dyDescent="0.25">
      <c r="A657" t="s">
        <v>13</v>
      </c>
      <c r="B657" s="2">
        <v>42424</v>
      </c>
      <c r="C657">
        <v>2016</v>
      </c>
      <c r="E657" t="s">
        <v>6</v>
      </c>
      <c r="F657">
        <v>78.599999999999994</v>
      </c>
    </row>
    <row r="658" spans="1:6" x14ac:dyDescent="0.25">
      <c r="A658" t="s">
        <v>13</v>
      </c>
      <c r="B658" s="2">
        <v>42438</v>
      </c>
      <c r="C658">
        <v>2016</v>
      </c>
      <c r="E658" t="s">
        <v>6</v>
      </c>
      <c r="F658">
        <v>85.2</v>
      </c>
    </row>
    <row r="659" spans="1:6" x14ac:dyDescent="0.25">
      <c r="A659" t="s">
        <v>13</v>
      </c>
      <c r="B659" s="2">
        <v>42439</v>
      </c>
      <c r="C659">
        <v>2016</v>
      </c>
      <c r="E659" t="s">
        <v>6</v>
      </c>
      <c r="F659">
        <v>100.6</v>
      </c>
    </row>
    <row r="660" spans="1:6" x14ac:dyDescent="0.25">
      <c r="A660" t="s">
        <v>13</v>
      </c>
      <c r="B660" s="2">
        <v>42439</v>
      </c>
      <c r="C660">
        <v>2016</v>
      </c>
      <c r="E660" t="s">
        <v>6</v>
      </c>
      <c r="F660">
        <v>99.5</v>
      </c>
    </row>
    <row r="661" spans="1:6" x14ac:dyDescent="0.25">
      <c r="A661" t="s">
        <v>13</v>
      </c>
      <c r="B661" s="2">
        <v>42439</v>
      </c>
      <c r="C661">
        <v>2016</v>
      </c>
      <c r="E661" t="s">
        <v>6</v>
      </c>
      <c r="F661">
        <v>85.7</v>
      </c>
    </row>
    <row r="662" spans="1:6" x14ac:dyDescent="0.25">
      <c r="A662" t="s">
        <v>13</v>
      </c>
      <c r="B662" s="2">
        <v>42452</v>
      </c>
      <c r="C662">
        <v>2016</v>
      </c>
      <c r="E662" t="s">
        <v>6</v>
      </c>
      <c r="F662">
        <v>109.5</v>
      </c>
    </row>
    <row r="663" spans="1:6" x14ac:dyDescent="0.25">
      <c r="A663" t="s">
        <v>13</v>
      </c>
      <c r="B663" s="2">
        <v>42452</v>
      </c>
      <c r="C663">
        <v>2016</v>
      </c>
      <c r="E663" t="s">
        <v>6</v>
      </c>
      <c r="F663">
        <v>103.6</v>
      </c>
    </row>
    <row r="664" spans="1:6" x14ac:dyDescent="0.25">
      <c r="A664" t="s">
        <v>13</v>
      </c>
      <c r="B664" s="2">
        <v>42452</v>
      </c>
      <c r="C664">
        <v>2016</v>
      </c>
      <c r="E664" t="s">
        <v>6</v>
      </c>
      <c r="F664">
        <v>93.8</v>
      </c>
    </row>
    <row r="665" spans="1:6" x14ac:dyDescent="0.25">
      <c r="A665" t="s">
        <v>13</v>
      </c>
      <c r="B665" s="2">
        <v>42452</v>
      </c>
      <c r="C665">
        <v>2016</v>
      </c>
      <c r="E665" t="s">
        <v>6</v>
      </c>
      <c r="F665">
        <v>91.6</v>
      </c>
    </row>
    <row r="666" spans="1:6" x14ac:dyDescent="0.25">
      <c r="A666" t="s">
        <v>13</v>
      </c>
      <c r="B666" s="2">
        <v>42467</v>
      </c>
      <c r="C666">
        <v>2016</v>
      </c>
      <c r="E666" t="s">
        <v>6</v>
      </c>
      <c r="F666">
        <v>118.7</v>
      </c>
    </row>
    <row r="667" spans="1:6" x14ac:dyDescent="0.25">
      <c r="A667" t="s">
        <v>13</v>
      </c>
      <c r="B667" s="2">
        <v>42467</v>
      </c>
      <c r="C667">
        <v>2016</v>
      </c>
      <c r="E667" t="s">
        <v>6</v>
      </c>
      <c r="F667">
        <v>113.1</v>
      </c>
    </row>
    <row r="668" spans="1:6" x14ac:dyDescent="0.25">
      <c r="A668" t="s">
        <v>13</v>
      </c>
      <c r="B668" s="2">
        <v>42467</v>
      </c>
      <c r="C668">
        <v>2016</v>
      </c>
      <c r="E668" t="s">
        <v>6</v>
      </c>
      <c r="F668">
        <v>102</v>
      </c>
    </row>
    <row r="669" spans="1:6" x14ac:dyDescent="0.25">
      <c r="A669" t="s">
        <v>13</v>
      </c>
      <c r="B669" s="2">
        <v>42467</v>
      </c>
      <c r="C669">
        <v>2016</v>
      </c>
      <c r="E669" t="s">
        <v>6</v>
      </c>
      <c r="F669">
        <v>99.5</v>
      </c>
    </row>
    <row r="670" spans="1:6" x14ac:dyDescent="0.25">
      <c r="A670" t="s">
        <v>13</v>
      </c>
      <c r="B670" s="2">
        <v>42474</v>
      </c>
      <c r="C670">
        <v>2016</v>
      </c>
      <c r="E670" t="s">
        <v>6</v>
      </c>
      <c r="F670">
        <v>101.5</v>
      </c>
    </row>
    <row r="671" spans="1:6" x14ac:dyDescent="0.25">
      <c r="A671" t="s">
        <v>13</v>
      </c>
      <c r="B671" s="2">
        <v>42475</v>
      </c>
      <c r="C671">
        <v>2016</v>
      </c>
      <c r="E671" t="s">
        <v>6</v>
      </c>
      <c r="F671">
        <v>118.9</v>
      </c>
    </row>
    <row r="672" spans="1:6" x14ac:dyDescent="0.25">
      <c r="A672" t="s">
        <v>13</v>
      </c>
      <c r="B672" s="2">
        <v>42475</v>
      </c>
      <c r="C672">
        <v>2016</v>
      </c>
      <c r="E672" t="s">
        <v>6</v>
      </c>
      <c r="F672">
        <v>112.3</v>
      </c>
    </row>
    <row r="673" spans="1:6" x14ac:dyDescent="0.25">
      <c r="A673" t="s">
        <v>13</v>
      </c>
      <c r="B673" s="2">
        <v>42475</v>
      </c>
      <c r="C673">
        <v>2016</v>
      </c>
      <c r="E673" t="s">
        <v>6</v>
      </c>
      <c r="F673">
        <v>104.3</v>
      </c>
    </row>
    <row r="674" spans="1:6" x14ac:dyDescent="0.25">
      <c r="A674" t="s">
        <v>13</v>
      </c>
      <c r="B674" s="2">
        <v>42482</v>
      </c>
      <c r="C674">
        <v>2016</v>
      </c>
      <c r="E674" t="s">
        <v>6</v>
      </c>
      <c r="F674">
        <v>120.9</v>
      </c>
    </row>
    <row r="675" spans="1:6" x14ac:dyDescent="0.25">
      <c r="A675" t="s">
        <v>13</v>
      </c>
      <c r="B675" s="2">
        <v>42482</v>
      </c>
      <c r="C675">
        <v>2016</v>
      </c>
      <c r="E675" t="s">
        <v>6</v>
      </c>
      <c r="F675">
        <v>114.2</v>
      </c>
    </row>
    <row r="676" spans="1:6" x14ac:dyDescent="0.25">
      <c r="A676" t="s">
        <v>13</v>
      </c>
      <c r="B676" s="2">
        <v>42482</v>
      </c>
      <c r="C676">
        <v>2016</v>
      </c>
      <c r="E676" t="s">
        <v>6</v>
      </c>
      <c r="F676">
        <v>102.6</v>
      </c>
    </row>
    <row r="677" spans="1:6" x14ac:dyDescent="0.25">
      <c r="A677" t="s">
        <v>13</v>
      </c>
      <c r="B677" s="2">
        <v>42482</v>
      </c>
      <c r="C677">
        <v>2016</v>
      </c>
      <c r="E677" t="s">
        <v>6</v>
      </c>
      <c r="F677">
        <v>101</v>
      </c>
    </row>
    <row r="678" spans="1:6" x14ac:dyDescent="0.25">
      <c r="A678" t="s">
        <v>13</v>
      </c>
      <c r="B678" s="2">
        <v>42489</v>
      </c>
      <c r="C678">
        <v>2016</v>
      </c>
      <c r="E678" t="s">
        <v>6</v>
      </c>
      <c r="F678">
        <v>122.8</v>
      </c>
    </row>
    <row r="679" spans="1:6" x14ac:dyDescent="0.25">
      <c r="A679" t="s">
        <v>13</v>
      </c>
      <c r="B679" s="2">
        <v>42489</v>
      </c>
      <c r="C679">
        <v>2016</v>
      </c>
      <c r="E679" t="s">
        <v>6</v>
      </c>
      <c r="F679">
        <v>117.3</v>
      </c>
    </row>
    <row r="680" spans="1:6" x14ac:dyDescent="0.25">
      <c r="A680" t="s">
        <v>13</v>
      </c>
      <c r="B680" s="2">
        <v>42489</v>
      </c>
      <c r="C680">
        <v>2016</v>
      </c>
      <c r="E680" t="s">
        <v>6</v>
      </c>
      <c r="F680">
        <v>103.3</v>
      </c>
    </row>
    <row r="681" spans="1:6" x14ac:dyDescent="0.25">
      <c r="A681" t="s">
        <v>13</v>
      </c>
      <c r="B681" s="2">
        <v>42489</v>
      </c>
      <c r="C681">
        <v>2016</v>
      </c>
      <c r="E681" t="s">
        <v>6</v>
      </c>
      <c r="F681">
        <v>104.8</v>
      </c>
    </row>
    <row r="682" spans="1:6" x14ac:dyDescent="0.25">
      <c r="A682" t="s">
        <v>13</v>
      </c>
      <c r="B682" s="2">
        <v>42494</v>
      </c>
      <c r="C682">
        <v>2016</v>
      </c>
      <c r="E682" t="s">
        <v>6</v>
      </c>
      <c r="F682">
        <v>108.8</v>
      </c>
    </row>
    <row r="683" spans="1:6" x14ac:dyDescent="0.25">
      <c r="A683" t="s">
        <v>13</v>
      </c>
      <c r="B683" s="2">
        <v>42496</v>
      </c>
      <c r="C683">
        <v>2016</v>
      </c>
      <c r="E683" t="s">
        <v>6</v>
      </c>
      <c r="F683">
        <v>122</v>
      </c>
    </row>
    <row r="684" spans="1:6" x14ac:dyDescent="0.25">
      <c r="A684" t="s">
        <v>13</v>
      </c>
      <c r="B684" s="2">
        <v>42496</v>
      </c>
      <c r="C684">
        <v>2016</v>
      </c>
      <c r="E684" t="s">
        <v>6</v>
      </c>
      <c r="F684">
        <v>123.2</v>
      </c>
    </row>
    <row r="685" spans="1:6" x14ac:dyDescent="0.25">
      <c r="A685" t="s">
        <v>13</v>
      </c>
      <c r="B685" s="2">
        <v>42496</v>
      </c>
      <c r="C685">
        <v>2016</v>
      </c>
      <c r="E685" t="s">
        <v>6</v>
      </c>
      <c r="F685">
        <v>104.9</v>
      </c>
    </row>
    <row r="686" spans="1:6" x14ac:dyDescent="0.25">
      <c r="A686" t="s">
        <v>13</v>
      </c>
      <c r="B686" s="2">
        <v>42509</v>
      </c>
      <c r="C686">
        <v>2016</v>
      </c>
      <c r="E686" t="s">
        <v>6</v>
      </c>
      <c r="F686">
        <v>122.6</v>
      </c>
    </row>
    <row r="687" spans="1:6" x14ac:dyDescent="0.25">
      <c r="A687" t="s">
        <v>13</v>
      </c>
      <c r="B687" s="2">
        <v>42509</v>
      </c>
      <c r="C687">
        <v>2016</v>
      </c>
      <c r="E687" t="s">
        <v>6</v>
      </c>
      <c r="F687">
        <v>110.8</v>
      </c>
    </row>
    <row r="688" spans="1:6" x14ac:dyDescent="0.25">
      <c r="A688" t="s">
        <v>13</v>
      </c>
      <c r="B688" s="2">
        <v>42509</v>
      </c>
      <c r="C688">
        <v>2016</v>
      </c>
      <c r="E688" t="s">
        <v>6</v>
      </c>
      <c r="F688">
        <v>110</v>
      </c>
    </row>
    <row r="689" spans="1:6" x14ac:dyDescent="0.25">
      <c r="A689" t="s">
        <v>13</v>
      </c>
      <c r="B689" s="2">
        <v>42510</v>
      </c>
      <c r="C689">
        <v>2016</v>
      </c>
      <c r="E689" t="s">
        <v>6</v>
      </c>
      <c r="F689">
        <v>121.7</v>
      </c>
    </row>
    <row r="690" spans="1:6" x14ac:dyDescent="0.25">
      <c r="A690" t="s">
        <v>13</v>
      </c>
      <c r="B690" s="2">
        <v>42522</v>
      </c>
      <c r="C690">
        <v>2016</v>
      </c>
      <c r="E690" t="s">
        <v>6</v>
      </c>
      <c r="F690">
        <v>109</v>
      </c>
    </row>
    <row r="691" spans="1:6" x14ac:dyDescent="0.25">
      <c r="A691" t="s">
        <v>13</v>
      </c>
      <c r="B691" s="2">
        <v>42523</v>
      </c>
      <c r="C691">
        <v>2016</v>
      </c>
      <c r="E691" t="s">
        <v>6</v>
      </c>
      <c r="F691">
        <v>121.5</v>
      </c>
    </row>
    <row r="692" spans="1:6" x14ac:dyDescent="0.25">
      <c r="A692" t="s">
        <v>13</v>
      </c>
      <c r="B692" s="2">
        <v>42523</v>
      </c>
      <c r="C692">
        <v>2016</v>
      </c>
      <c r="E692" t="s">
        <v>6</v>
      </c>
      <c r="F692">
        <v>121.1</v>
      </c>
    </row>
    <row r="693" spans="1:6" x14ac:dyDescent="0.25">
      <c r="A693" t="s">
        <v>13</v>
      </c>
      <c r="B693" s="2">
        <v>42523</v>
      </c>
      <c r="C693">
        <v>2016</v>
      </c>
      <c r="E693" t="s">
        <v>6</v>
      </c>
      <c r="F693">
        <v>108.4</v>
      </c>
    </row>
    <row r="694" spans="1:6" x14ac:dyDescent="0.25">
      <c r="A694" t="s">
        <v>13</v>
      </c>
      <c r="B694" s="2">
        <v>42531</v>
      </c>
      <c r="C694">
        <v>2016</v>
      </c>
      <c r="E694" t="s">
        <v>6</v>
      </c>
      <c r="F694">
        <v>124</v>
      </c>
    </row>
    <row r="695" spans="1:6" x14ac:dyDescent="0.25">
      <c r="A695" t="s">
        <v>13</v>
      </c>
      <c r="B695" s="2">
        <v>42535</v>
      </c>
      <c r="C695">
        <v>2016</v>
      </c>
      <c r="E695" t="s">
        <v>6</v>
      </c>
      <c r="F695">
        <v>123.9</v>
      </c>
    </row>
    <row r="696" spans="1:6" x14ac:dyDescent="0.25">
      <c r="A696" t="s">
        <v>13</v>
      </c>
      <c r="B696" s="2">
        <v>42535</v>
      </c>
      <c r="C696">
        <v>2016</v>
      </c>
      <c r="E696" t="s">
        <v>6</v>
      </c>
      <c r="F696">
        <v>114.6</v>
      </c>
    </row>
    <row r="697" spans="1:6" x14ac:dyDescent="0.25">
      <c r="A697" t="s">
        <v>14</v>
      </c>
      <c r="B697" s="2">
        <v>42752</v>
      </c>
      <c r="C697">
        <v>2017</v>
      </c>
      <c r="E697" t="s">
        <v>6</v>
      </c>
      <c r="F697">
        <v>64.3</v>
      </c>
    </row>
    <row r="698" spans="1:6" x14ac:dyDescent="0.25">
      <c r="A698" t="s">
        <v>14</v>
      </c>
      <c r="B698" s="2">
        <v>42752</v>
      </c>
      <c r="C698">
        <v>2017</v>
      </c>
      <c r="E698" t="s">
        <v>6</v>
      </c>
      <c r="F698">
        <v>54.6</v>
      </c>
    </row>
    <row r="699" spans="1:6" x14ac:dyDescent="0.25">
      <c r="A699" t="s">
        <v>14</v>
      </c>
      <c r="B699" s="2">
        <v>42787</v>
      </c>
      <c r="C699">
        <v>2017</v>
      </c>
      <c r="E699" t="s">
        <v>6</v>
      </c>
      <c r="F699">
        <v>86</v>
      </c>
    </row>
    <row r="700" spans="1:6" x14ac:dyDescent="0.25">
      <c r="A700" t="s">
        <v>14</v>
      </c>
      <c r="B700" s="2">
        <v>42787</v>
      </c>
      <c r="C700">
        <v>2017</v>
      </c>
      <c r="E700" t="s">
        <v>6</v>
      </c>
      <c r="F700">
        <v>82.6</v>
      </c>
    </row>
    <row r="701" spans="1:6" x14ac:dyDescent="0.25">
      <c r="A701" t="s">
        <v>14</v>
      </c>
      <c r="B701" s="2">
        <v>42801</v>
      </c>
      <c r="C701">
        <v>2017</v>
      </c>
      <c r="E701" t="s">
        <v>6</v>
      </c>
      <c r="F701">
        <v>96.5</v>
      </c>
    </row>
    <row r="702" spans="1:6" x14ac:dyDescent="0.25">
      <c r="A702" t="s">
        <v>14</v>
      </c>
      <c r="B702" s="2">
        <v>42801</v>
      </c>
      <c r="C702">
        <v>2017</v>
      </c>
      <c r="E702" t="s">
        <v>6</v>
      </c>
      <c r="F702">
        <v>88.4</v>
      </c>
    </row>
    <row r="703" spans="1:6" x14ac:dyDescent="0.25">
      <c r="A703" t="s">
        <v>14</v>
      </c>
      <c r="B703" s="2">
        <v>42815</v>
      </c>
      <c r="C703">
        <v>2017</v>
      </c>
      <c r="E703" t="s">
        <v>6</v>
      </c>
      <c r="F703">
        <v>102.8</v>
      </c>
    </row>
    <row r="704" spans="1:6" x14ac:dyDescent="0.25">
      <c r="A704" t="s">
        <v>14</v>
      </c>
      <c r="B704" s="2">
        <v>42815</v>
      </c>
      <c r="C704">
        <v>2017</v>
      </c>
      <c r="E704" t="s">
        <v>6</v>
      </c>
      <c r="F704">
        <v>93.6</v>
      </c>
    </row>
    <row r="705" spans="1:6" x14ac:dyDescent="0.25">
      <c r="A705" t="s">
        <v>14</v>
      </c>
      <c r="B705" s="2">
        <v>42829</v>
      </c>
      <c r="C705">
        <v>2017</v>
      </c>
      <c r="E705" t="s">
        <v>6</v>
      </c>
      <c r="F705">
        <v>117.4</v>
      </c>
    </row>
    <row r="706" spans="1:6" x14ac:dyDescent="0.25">
      <c r="A706" t="s">
        <v>14</v>
      </c>
      <c r="B706" s="2">
        <v>42829</v>
      </c>
      <c r="C706">
        <v>2017</v>
      </c>
      <c r="E706" t="s">
        <v>6</v>
      </c>
      <c r="F706">
        <v>103.2</v>
      </c>
    </row>
    <row r="707" spans="1:6" x14ac:dyDescent="0.25">
      <c r="A707" t="s">
        <v>14</v>
      </c>
      <c r="B707" s="2">
        <v>42839</v>
      </c>
      <c r="C707">
        <v>2017</v>
      </c>
      <c r="E707" t="s">
        <v>6</v>
      </c>
      <c r="F707">
        <v>114.5</v>
      </c>
    </row>
    <row r="708" spans="1:6" x14ac:dyDescent="0.25">
      <c r="A708" t="s">
        <v>14</v>
      </c>
      <c r="B708" s="2">
        <v>42839</v>
      </c>
      <c r="C708">
        <v>2017</v>
      </c>
      <c r="E708" t="s">
        <v>6</v>
      </c>
      <c r="F708">
        <v>108.9</v>
      </c>
    </row>
    <row r="709" spans="1:6" x14ac:dyDescent="0.25">
      <c r="A709" t="s">
        <v>14</v>
      </c>
      <c r="B709" s="2">
        <v>42844</v>
      </c>
      <c r="C709">
        <v>2017</v>
      </c>
      <c r="E709" t="s">
        <v>6</v>
      </c>
      <c r="F709">
        <v>118.9</v>
      </c>
    </row>
    <row r="710" spans="1:6" x14ac:dyDescent="0.25">
      <c r="A710" t="s">
        <v>14</v>
      </c>
      <c r="B710" s="2">
        <v>42844</v>
      </c>
      <c r="C710">
        <v>2017</v>
      </c>
      <c r="E710" t="s">
        <v>6</v>
      </c>
      <c r="F710">
        <v>111.8</v>
      </c>
    </row>
    <row r="711" spans="1:6" x14ac:dyDescent="0.25">
      <c r="A711" t="s">
        <v>14</v>
      </c>
      <c r="B711" s="2">
        <v>42850</v>
      </c>
      <c r="C711">
        <v>2017</v>
      </c>
      <c r="E711" t="s">
        <v>6</v>
      </c>
      <c r="F711">
        <v>110.2</v>
      </c>
    </row>
    <row r="712" spans="1:6" x14ac:dyDescent="0.25">
      <c r="A712" t="s">
        <v>14</v>
      </c>
      <c r="B712" s="2">
        <v>42853</v>
      </c>
      <c r="C712">
        <v>2017</v>
      </c>
      <c r="E712" t="s">
        <v>6</v>
      </c>
      <c r="F712">
        <v>124.6</v>
      </c>
    </row>
    <row r="713" spans="1:6" x14ac:dyDescent="0.25">
      <c r="A713" t="s">
        <v>14</v>
      </c>
      <c r="B713" s="2">
        <v>42858</v>
      </c>
      <c r="C713">
        <v>2017</v>
      </c>
      <c r="E713" t="s">
        <v>6</v>
      </c>
      <c r="F713">
        <v>120.5</v>
      </c>
    </row>
    <row r="714" spans="1:6" x14ac:dyDescent="0.25">
      <c r="A714" t="s">
        <v>14</v>
      </c>
      <c r="B714" s="2">
        <v>42858</v>
      </c>
      <c r="C714">
        <v>2017</v>
      </c>
      <c r="E714" t="s">
        <v>6</v>
      </c>
      <c r="F714">
        <v>109.1</v>
      </c>
    </row>
    <row r="715" spans="1:6" x14ac:dyDescent="0.25">
      <c r="A715" t="s">
        <v>14</v>
      </c>
      <c r="B715" s="2">
        <v>42871</v>
      </c>
      <c r="C715">
        <v>2017</v>
      </c>
      <c r="E715" t="s">
        <v>6</v>
      </c>
      <c r="F715">
        <v>123.6</v>
      </c>
    </row>
    <row r="716" spans="1:6" x14ac:dyDescent="0.25">
      <c r="A716" t="s">
        <v>14</v>
      </c>
      <c r="B716" s="2">
        <v>42871</v>
      </c>
      <c r="C716">
        <v>2017</v>
      </c>
      <c r="E716" t="s">
        <v>6</v>
      </c>
      <c r="F716">
        <v>117.7</v>
      </c>
    </row>
    <row r="717" spans="1:6" x14ac:dyDescent="0.25">
      <c r="A717" t="s">
        <v>14</v>
      </c>
      <c r="B717" s="2">
        <v>42885</v>
      </c>
      <c r="C717">
        <v>2017</v>
      </c>
      <c r="E717" t="s">
        <v>6</v>
      </c>
      <c r="F717">
        <v>121.5</v>
      </c>
    </row>
    <row r="718" spans="1:6" x14ac:dyDescent="0.25">
      <c r="A718" t="s">
        <v>14</v>
      </c>
      <c r="B718" s="2">
        <v>42885</v>
      </c>
      <c r="C718">
        <v>2017</v>
      </c>
      <c r="E718" t="s">
        <v>6</v>
      </c>
      <c r="F718">
        <v>118.8</v>
      </c>
    </row>
    <row r="719" spans="1:6" x14ac:dyDescent="0.25">
      <c r="A719" t="s">
        <v>14</v>
      </c>
      <c r="B719" s="2">
        <v>42893</v>
      </c>
      <c r="C719">
        <v>2017</v>
      </c>
      <c r="E719" t="s">
        <v>6</v>
      </c>
      <c r="F719">
        <v>122.4</v>
      </c>
    </row>
    <row r="720" spans="1:6" x14ac:dyDescent="0.25">
      <c r="A720" t="s">
        <v>14</v>
      </c>
      <c r="B720" s="2">
        <v>42893</v>
      </c>
      <c r="C720">
        <v>2017</v>
      </c>
      <c r="E720" t="s">
        <v>6</v>
      </c>
      <c r="F720">
        <v>113</v>
      </c>
    </row>
    <row r="721" spans="1:6" x14ac:dyDescent="0.25">
      <c r="A721" t="s">
        <v>14</v>
      </c>
      <c r="B721" s="2">
        <v>42907</v>
      </c>
      <c r="C721">
        <v>2017</v>
      </c>
      <c r="E721" t="s">
        <v>6</v>
      </c>
      <c r="F721">
        <v>115.9</v>
      </c>
    </row>
    <row r="722" spans="1:6" x14ac:dyDescent="0.25">
      <c r="A722" t="s">
        <v>14</v>
      </c>
      <c r="B722" s="2">
        <v>42907</v>
      </c>
      <c r="C722">
        <v>2017</v>
      </c>
      <c r="E722" t="s">
        <v>6</v>
      </c>
      <c r="F722">
        <v>117.7</v>
      </c>
    </row>
    <row r="723" spans="1:6" x14ac:dyDescent="0.25">
      <c r="A723" t="s">
        <v>14</v>
      </c>
      <c r="B723" s="2">
        <v>42753</v>
      </c>
      <c r="C723">
        <v>2017</v>
      </c>
      <c r="E723" t="s">
        <v>6</v>
      </c>
      <c r="F723">
        <v>63.8</v>
      </c>
    </row>
    <row r="724" spans="1:6" x14ac:dyDescent="0.25">
      <c r="A724" t="s">
        <v>14</v>
      </c>
      <c r="B724" s="2">
        <v>42789</v>
      </c>
      <c r="C724">
        <v>2017</v>
      </c>
      <c r="E724" t="s">
        <v>6</v>
      </c>
      <c r="F724">
        <v>92.9</v>
      </c>
    </row>
    <row r="725" spans="1:6" x14ac:dyDescent="0.25">
      <c r="A725" t="s">
        <v>14</v>
      </c>
      <c r="B725" s="2">
        <v>42804</v>
      </c>
      <c r="C725">
        <v>2017</v>
      </c>
      <c r="E725" t="s">
        <v>6</v>
      </c>
      <c r="F725">
        <v>102.8</v>
      </c>
    </row>
    <row r="726" spans="1:6" x14ac:dyDescent="0.25">
      <c r="A726" t="s">
        <v>14</v>
      </c>
      <c r="B726" s="2">
        <v>42817</v>
      </c>
      <c r="C726">
        <v>2017</v>
      </c>
      <c r="E726" t="s">
        <v>6</v>
      </c>
      <c r="F726">
        <v>112.2</v>
      </c>
    </row>
    <row r="727" spans="1:6" x14ac:dyDescent="0.25">
      <c r="A727" t="s">
        <v>14</v>
      </c>
      <c r="B727" s="2">
        <v>42832</v>
      </c>
      <c r="C727">
        <v>2017</v>
      </c>
      <c r="E727" t="s">
        <v>6</v>
      </c>
      <c r="F727">
        <v>123.8</v>
      </c>
    </row>
    <row r="728" spans="1:6" x14ac:dyDescent="0.25">
      <c r="A728" t="s">
        <v>14</v>
      </c>
      <c r="B728" s="2">
        <v>42838</v>
      </c>
      <c r="C728">
        <v>2017</v>
      </c>
      <c r="E728" t="s">
        <v>6</v>
      </c>
      <c r="F728">
        <v>125.9</v>
      </c>
    </row>
    <row r="729" spans="1:6" x14ac:dyDescent="0.25">
      <c r="A729" t="s">
        <v>14</v>
      </c>
      <c r="B729" s="2">
        <v>42845</v>
      </c>
      <c r="C729">
        <v>2017</v>
      </c>
      <c r="E729" t="s">
        <v>6</v>
      </c>
      <c r="F729">
        <v>129.1</v>
      </c>
    </row>
    <row r="730" spans="1:6" x14ac:dyDescent="0.25">
      <c r="A730" t="s">
        <v>14</v>
      </c>
      <c r="B730" s="2">
        <v>42853</v>
      </c>
      <c r="C730">
        <v>2017</v>
      </c>
      <c r="E730" t="s">
        <v>6</v>
      </c>
      <c r="F730">
        <v>132.1</v>
      </c>
    </row>
    <row r="731" spans="1:6" x14ac:dyDescent="0.25">
      <c r="A731" t="s">
        <v>14</v>
      </c>
      <c r="B731" s="2">
        <v>42859</v>
      </c>
      <c r="C731">
        <v>2017</v>
      </c>
      <c r="E731" t="s">
        <v>6</v>
      </c>
      <c r="F731">
        <v>131.9</v>
      </c>
    </row>
    <row r="732" spans="1:6" x14ac:dyDescent="0.25">
      <c r="A732" t="s">
        <v>14</v>
      </c>
      <c r="B732" s="2">
        <v>42873</v>
      </c>
      <c r="C732">
        <v>2017</v>
      </c>
      <c r="E732" t="s">
        <v>6</v>
      </c>
      <c r="F732">
        <v>134.6</v>
      </c>
    </row>
    <row r="733" spans="1:6" x14ac:dyDescent="0.25">
      <c r="A733" t="s">
        <v>14</v>
      </c>
      <c r="B733" s="2">
        <v>42887</v>
      </c>
      <c r="C733">
        <v>2017</v>
      </c>
      <c r="E733" t="s">
        <v>6</v>
      </c>
      <c r="F733">
        <v>134.80000000000001</v>
      </c>
    </row>
    <row r="734" spans="1:6" x14ac:dyDescent="0.25">
      <c r="A734" t="s">
        <v>14</v>
      </c>
      <c r="B734" s="2">
        <v>42894</v>
      </c>
      <c r="C734">
        <v>2017</v>
      </c>
      <c r="E734" t="s">
        <v>6</v>
      </c>
      <c r="F734">
        <v>130.9</v>
      </c>
    </row>
    <row r="735" spans="1:6" x14ac:dyDescent="0.25">
      <c r="A735" t="s">
        <v>14</v>
      </c>
      <c r="B735" s="2">
        <v>42908</v>
      </c>
      <c r="C735">
        <v>2017</v>
      </c>
      <c r="E735" t="s">
        <v>6</v>
      </c>
      <c r="F735">
        <v>127.7</v>
      </c>
    </row>
    <row r="736" spans="1:6" x14ac:dyDescent="0.25">
      <c r="A736" t="s">
        <v>14</v>
      </c>
      <c r="B736" s="2">
        <v>42753</v>
      </c>
      <c r="C736">
        <v>2017</v>
      </c>
      <c r="E736" t="s">
        <v>6</v>
      </c>
      <c r="F736">
        <v>63.7</v>
      </c>
    </row>
    <row r="737" spans="1:6" x14ac:dyDescent="0.25">
      <c r="A737" t="s">
        <v>14</v>
      </c>
      <c r="B737" s="2">
        <v>42753</v>
      </c>
      <c r="C737">
        <v>2017</v>
      </c>
      <c r="E737" t="s">
        <v>6</v>
      </c>
      <c r="F737">
        <v>64.7</v>
      </c>
    </row>
    <row r="738" spans="1:6" x14ac:dyDescent="0.25">
      <c r="A738" t="s">
        <v>14</v>
      </c>
      <c r="B738" s="2">
        <v>42753</v>
      </c>
      <c r="C738">
        <v>2017</v>
      </c>
      <c r="E738" t="s">
        <v>6</v>
      </c>
      <c r="F738">
        <v>67.099999999999994</v>
      </c>
    </row>
    <row r="739" spans="1:6" x14ac:dyDescent="0.25">
      <c r="A739" t="s">
        <v>14</v>
      </c>
      <c r="B739" s="2">
        <v>42753</v>
      </c>
      <c r="C739">
        <v>2017</v>
      </c>
      <c r="E739" t="s">
        <v>6</v>
      </c>
      <c r="F739">
        <v>70.2</v>
      </c>
    </row>
    <row r="740" spans="1:6" x14ac:dyDescent="0.25">
      <c r="A740" t="s">
        <v>14</v>
      </c>
      <c r="B740" s="2">
        <v>42788</v>
      </c>
      <c r="C740">
        <v>2017</v>
      </c>
      <c r="E740" t="s">
        <v>6</v>
      </c>
      <c r="F740">
        <v>93.9</v>
      </c>
    </row>
    <row r="741" spans="1:6" x14ac:dyDescent="0.25">
      <c r="A741" t="s">
        <v>14</v>
      </c>
      <c r="B741" s="2">
        <v>42789</v>
      </c>
      <c r="C741">
        <v>2017</v>
      </c>
      <c r="E741" t="s">
        <v>6</v>
      </c>
      <c r="F741">
        <v>84.1</v>
      </c>
    </row>
    <row r="742" spans="1:6" x14ac:dyDescent="0.25">
      <c r="A742" t="s">
        <v>14</v>
      </c>
      <c r="B742" s="2">
        <v>42789</v>
      </c>
      <c r="C742">
        <v>2017</v>
      </c>
      <c r="E742" t="s">
        <v>6</v>
      </c>
      <c r="F742">
        <v>96</v>
      </c>
    </row>
    <row r="743" spans="1:6" x14ac:dyDescent="0.25">
      <c r="A743" t="s">
        <v>14</v>
      </c>
      <c r="B743" s="2">
        <v>42789</v>
      </c>
      <c r="C743">
        <v>2017</v>
      </c>
      <c r="E743" t="s">
        <v>6</v>
      </c>
      <c r="F743">
        <v>85.8</v>
      </c>
    </row>
    <row r="744" spans="1:6" x14ac:dyDescent="0.25">
      <c r="A744" t="s">
        <v>14</v>
      </c>
      <c r="B744" s="2">
        <v>42803</v>
      </c>
      <c r="C744">
        <v>2017</v>
      </c>
      <c r="E744" t="s">
        <v>6</v>
      </c>
      <c r="F744">
        <v>107.9</v>
      </c>
    </row>
    <row r="745" spans="1:6" x14ac:dyDescent="0.25">
      <c r="A745" t="s">
        <v>14</v>
      </c>
      <c r="B745" s="2">
        <v>42803</v>
      </c>
      <c r="C745">
        <v>2017</v>
      </c>
      <c r="E745" t="s">
        <v>6</v>
      </c>
      <c r="F745">
        <v>102.9</v>
      </c>
    </row>
    <row r="746" spans="1:6" x14ac:dyDescent="0.25">
      <c r="A746" t="s">
        <v>14</v>
      </c>
      <c r="B746" s="2">
        <v>42804</v>
      </c>
      <c r="C746">
        <v>2017</v>
      </c>
      <c r="E746" t="s">
        <v>6</v>
      </c>
      <c r="F746">
        <v>94.6</v>
      </c>
    </row>
    <row r="747" spans="1:6" x14ac:dyDescent="0.25">
      <c r="A747" t="s">
        <v>14</v>
      </c>
      <c r="B747" s="2">
        <v>42804</v>
      </c>
      <c r="C747">
        <v>2017</v>
      </c>
      <c r="E747" t="s">
        <v>6</v>
      </c>
      <c r="F747">
        <v>98.9</v>
      </c>
    </row>
    <row r="748" spans="1:6" x14ac:dyDescent="0.25">
      <c r="A748" t="s">
        <v>14</v>
      </c>
      <c r="B748" s="2">
        <v>42816</v>
      </c>
      <c r="C748">
        <v>2017</v>
      </c>
      <c r="E748" t="s">
        <v>6</v>
      </c>
      <c r="F748">
        <v>110.9</v>
      </c>
    </row>
    <row r="749" spans="1:6" x14ac:dyDescent="0.25">
      <c r="A749" t="s">
        <v>14</v>
      </c>
      <c r="B749" s="2">
        <v>42817</v>
      </c>
      <c r="C749">
        <v>2017</v>
      </c>
      <c r="E749" t="s">
        <v>6</v>
      </c>
      <c r="F749">
        <v>101.5</v>
      </c>
    </row>
    <row r="750" spans="1:6" x14ac:dyDescent="0.25">
      <c r="A750" t="s">
        <v>14</v>
      </c>
      <c r="B750" s="2">
        <v>42817</v>
      </c>
      <c r="C750">
        <v>2017</v>
      </c>
      <c r="E750" t="s">
        <v>6</v>
      </c>
      <c r="F750">
        <v>112.1</v>
      </c>
    </row>
    <row r="751" spans="1:6" x14ac:dyDescent="0.25">
      <c r="A751" t="s">
        <v>14</v>
      </c>
      <c r="B751" s="2">
        <v>42817</v>
      </c>
      <c r="C751">
        <v>2017</v>
      </c>
      <c r="E751" t="s">
        <v>6</v>
      </c>
      <c r="F751">
        <v>105.8</v>
      </c>
    </row>
    <row r="752" spans="1:6" x14ac:dyDescent="0.25">
      <c r="A752" t="s">
        <v>14</v>
      </c>
      <c r="B752" s="2">
        <v>42831</v>
      </c>
      <c r="C752">
        <v>2017</v>
      </c>
      <c r="E752" t="s">
        <v>6</v>
      </c>
      <c r="F752">
        <v>126.1</v>
      </c>
    </row>
    <row r="753" spans="1:6" x14ac:dyDescent="0.25">
      <c r="A753" t="s">
        <v>14</v>
      </c>
      <c r="B753" s="2">
        <v>42832</v>
      </c>
      <c r="C753">
        <v>2017</v>
      </c>
      <c r="E753" t="s">
        <v>6</v>
      </c>
      <c r="F753">
        <v>109.7</v>
      </c>
    </row>
    <row r="754" spans="1:6" x14ac:dyDescent="0.25">
      <c r="A754" t="s">
        <v>14</v>
      </c>
      <c r="B754" s="2">
        <v>42832</v>
      </c>
      <c r="C754">
        <v>2017</v>
      </c>
      <c r="E754" t="s">
        <v>6</v>
      </c>
      <c r="F754">
        <v>123.2</v>
      </c>
    </row>
    <row r="755" spans="1:6" x14ac:dyDescent="0.25">
      <c r="A755" t="s">
        <v>14</v>
      </c>
      <c r="B755" s="2">
        <v>42832</v>
      </c>
      <c r="C755">
        <v>2017</v>
      </c>
      <c r="E755" t="s">
        <v>6</v>
      </c>
      <c r="F755">
        <v>116.9</v>
      </c>
    </row>
    <row r="756" spans="1:6" x14ac:dyDescent="0.25">
      <c r="A756" t="s">
        <v>14</v>
      </c>
      <c r="B756" s="2">
        <v>42837</v>
      </c>
      <c r="C756">
        <v>2017</v>
      </c>
      <c r="E756" t="s">
        <v>6</v>
      </c>
      <c r="F756">
        <v>128.69999999999999</v>
      </c>
    </row>
    <row r="757" spans="1:6" x14ac:dyDescent="0.25">
      <c r="A757" t="s">
        <v>14</v>
      </c>
      <c r="B757" s="2">
        <v>42838</v>
      </c>
      <c r="C757">
        <v>2017</v>
      </c>
      <c r="E757" t="s">
        <v>6</v>
      </c>
      <c r="F757">
        <v>115.1</v>
      </c>
    </row>
    <row r="758" spans="1:6" x14ac:dyDescent="0.25">
      <c r="A758" t="s">
        <v>14</v>
      </c>
      <c r="B758" s="2">
        <v>42838</v>
      </c>
      <c r="C758">
        <v>2017</v>
      </c>
      <c r="E758" t="s">
        <v>6</v>
      </c>
      <c r="F758">
        <v>127.2</v>
      </c>
    </row>
    <row r="759" spans="1:6" x14ac:dyDescent="0.25">
      <c r="A759" t="s">
        <v>14</v>
      </c>
      <c r="B759" s="2">
        <v>42838</v>
      </c>
      <c r="C759">
        <v>2017</v>
      </c>
      <c r="E759" t="s">
        <v>6</v>
      </c>
      <c r="F759">
        <v>119.1</v>
      </c>
    </row>
    <row r="760" spans="1:6" x14ac:dyDescent="0.25">
      <c r="A760" t="s">
        <v>14</v>
      </c>
      <c r="B760" s="2">
        <v>42844</v>
      </c>
      <c r="C760">
        <v>2017</v>
      </c>
      <c r="E760" t="s">
        <v>6</v>
      </c>
      <c r="F760">
        <v>131.69999999999999</v>
      </c>
    </row>
    <row r="761" spans="1:6" x14ac:dyDescent="0.25">
      <c r="A761" t="s">
        <v>14</v>
      </c>
      <c r="B761" s="2">
        <v>42845</v>
      </c>
      <c r="C761">
        <v>2017</v>
      </c>
      <c r="E761" t="s">
        <v>6</v>
      </c>
      <c r="F761">
        <v>116</v>
      </c>
    </row>
    <row r="762" spans="1:6" x14ac:dyDescent="0.25">
      <c r="A762" t="s">
        <v>14</v>
      </c>
      <c r="B762" s="2">
        <v>42845</v>
      </c>
      <c r="C762">
        <v>2017</v>
      </c>
      <c r="E762" t="s">
        <v>6</v>
      </c>
      <c r="F762">
        <v>125.3</v>
      </c>
    </row>
    <row r="763" spans="1:6" x14ac:dyDescent="0.25">
      <c r="A763" t="s">
        <v>14</v>
      </c>
      <c r="B763" s="2">
        <v>42845</v>
      </c>
      <c r="C763">
        <v>2017</v>
      </c>
      <c r="E763" t="s">
        <v>6</v>
      </c>
      <c r="F763">
        <v>120.2</v>
      </c>
    </row>
    <row r="764" spans="1:6" x14ac:dyDescent="0.25">
      <c r="A764" t="s">
        <v>14</v>
      </c>
      <c r="B764" s="2">
        <v>42853</v>
      </c>
      <c r="C764">
        <v>2017</v>
      </c>
      <c r="E764" t="s">
        <v>6</v>
      </c>
      <c r="F764">
        <v>114.2</v>
      </c>
    </row>
    <row r="765" spans="1:6" x14ac:dyDescent="0.25">
      <c r="A765" t="s">
        <v>14</v>
      </c>
      <c r="B765" s="2">
        <v>42853</v>
      </c>
      <c r="C765">
        <v>2017</v>
      </c>
      <c r="E765" t="s">
        <v>6</v>
      </c>
      <c r="F765">
        <v>125.6</v>
      </c>
    </row>
    <row r="766" spans="1:6" x14ac:dyDescent="0.25">
      <c r="A766" t="s">
        <v>14</v>
      </c>
      <c r="B766" s="2">
        <v>42853</v>
      </c>
      <c r="C766">
        <v>2017</v>
      </c>
      <c r="E766" t="s">
        <v>6</v>
      </c>
      <c r="F766">
        <v>120.9</v>
      </c>
    </row>
    <row r="767" spans="1:6" x14ac:dyDescent="0.25">
      <c r="A767" t="s">
        <v>14</v>
      </c>
      <c r="B767" s="2">
        <v>42853</v>
      </c>
      <c r="C767">
        <v>2017</v>
      </c>
      <c r="E767" t="s">
        <v>6</v>
      </c>
      <c r="F767">
        <v>130.30000000000001</v>
      </c>
    </row>
    <row r="768" spans="1:6" x14ac:dyDescent="0.25">
      <c r="A768" t="s">
        <v>14</v>
      </c>
      <c r="B768" s="2">
        <v>42858</v>
      </c>
      <c r="C768">
        <v>2017</v>
      </c>
      <c r="E768" t="s">
        <v>6</v>
      </c>
      <c r="F768">
        <v>135.9</v>
      </c>
    </row>
    <row r="769" spans="1:6" x14ac:dyDescent="0.25">
      <c r="A769" t="s">
        <v>14</v>
      </c>
      <c r="B769" s="2">
        <v>42859</v>
      </c>
      <c r="C769">
        <v>2017</v>
      </c>
      <c r="E769" t="s">
        <v>6</v>
      </c>
      <c r="F769">
        <v>128.4</v>
      </c>
    </row>
    <row r="770" spans="1:6" x14ac:dyDescent="0.25">
      <c r="A770" t="s">
        <v>14</v>
      </c>
      <c r="B770" s="2">
        <v>42860</v>
      </c>
      <c r="C770">
        <v>2017</v>
      </c>
      <c r="E770" t="s">
        <v>6</v>
      </c>
      <c r="F770">
        <v>116</v>
      </c>
    </row>
    <row r="771" spans="1:6" x14ac:dyDescent="0.25">
      <c r="A771" t="s">
        <v>14</v>
      </c>
      <c r="B771" s="2">
        <v>42860</v>
      </c>
      <c r="C771">
        <v>2017</v>
      </c>
      <c r="E771" t="s">
        <v>6</v>
      </c>
      <c r="F771">
        <v>121.5</v>
      </c>
    </row>
    <row r="772" spans="1:6" x14ac:dyDescent="0.25">
      <c r="A772" t="s">
        <v>14</v>
      </c>
      <c r="B772" s="2">
        <v>42872</v>
      </c>
      <c r="C772">
        <v>2017</v>
      </c>
      <c r="E772" t="s">
        <v>6</v>
      </c>
      <c r="F772">
        <v>130.30000000000001</v>
      </c>
    </row>
    <row r="773" spans="1:6" x14ac:dyDescent="0.25">
      <c r="A773" t="s">
        <v>14</v>
      </c>
      <c r="B773" s="2">
        <v>42873</v>
      </c>
      <c r="C773">
        <v>2017</v>
      </c>
      <c r="E773" t="s">
        <v>6</v>
      </c>
      <c r="F773">
        <v>121.6</v>
      </c>
    </row>
    <row r="774" spans="1:6" x14ac:dyDescent="0.25">
      <c r="A774" t="s">
        <v>14</v>
      </c>
      <c r="B774" s="2">
        <v>42873</v>
      </c>
      <c r="C774">
        <v>2017</v>
      </c>
      <c r="E774" t="s">
        <v>6</v>
      </c>
      <c r="F774">
        <v>131.6</v>
      </c>
    </row>
    <row r="775" spans="1:6" x14ac:dyDescent="0.25">
      <c r="A775" t="s">
        <v>14</v>
      </c>
      <c r="B775" s="2">
        <v>42873</v>
      </c>
      <c r="C775">
        <v>2017</v>
      </c>
      <c r="E775" t="s">
        <v>6</v>
      </c>
      <c r="F775">
        <v>123</v>
      </c>
    </row>
    <row r="776" spans="1:6" x14ac:dyDescent="0.25">
      <c r="A776" t="s">
        <v>14</v>
      </c>
      <c r="B776" s="2">
        <v>42886</v>
      </c>
      <c r="C776">
        <v>2017</v>
      </c>
      <c r="E776" t="s">
        <v>6</v>
      </c>
      <c r="F776">
        <v>133.1</v>
      </c>
    </row>
    <row r="777" spans="1:6" x14ac:dyDescent="0.25">
      <c r="A777" t="s">
        <v>14</v>
      </c>
      <c r="B777" s="2">
        <v>42887</v>
      </c>
      <c r="C777">
        <v>2017</v>
      </c>
      <c r="E777" t="s">
        <v>6</v>
      </c>
      <c r="F777">
        <v>116.4</v>
      </c>
    </row>
    <row r="778" spans="1:6" x14ac:dyDescent="0.25">
      <c r="A778" t="s">
        <v>14</v>
      </c>
      <c r="B778" s="2">
        <v>42887</v>
      </c>
      <c r="C778">
        <v>2017</v>
      </c>
      <c r="E778" t="s">
        <v>6</v>
      </c>
      <c r="F778">
        <v>131.9</v>
      </c>
    </row>
    <row r="779" spans="1:6" x14ac:dyDescent="0.25">
      <c r="A779" t="s">
        <v>14</v>
      </c>
      <c r="B779" s="2">
        <v>42887</v>
      </c>
      <c r="C779">
        <v>2017</v>
      </c>
      <c r="E779" t="s">
        <v>6</v>
      </c>
      <c r="F779">
        <v>124.7</v>
      </c>
    </row>
    <row r="780" spans="1:6" x14ac:dyDescent="0.25">
      <c r="A780" t="s">
        <v>14</v>
      </c>
      <c r="B780" s="2">
        <v>42893</v>
      </c>
      <c r="C780">
        <v>2017</v>
      </c>
      <c r="E780" t="s">
        <v>6</v>
      </c>
      <c r="F780">
        <v>119</v>
      </c>
    </row>
    <row r="781" spans="1:6" x14ac:dyDescent="0.25">
      <c r="A781" t="s">
        <v>14</v>
      </c>
      <c r="B781" s="2">
        <v>42893</v>
      </c>
      <c r="C781">
        <v>2017</v>
      </c>
      <c r="E781" t="s">
        <v>6</v>
      </c>
      <c r="F781">
        <v>121.2</v>
      </c>
    </row>
    <row r="782" spans="1:6" x14ac:dyDescent="0.25">
      <c r="A782" t="s">
        <v>14</v>
      </c>
      <c r="B782" s="2">
        <v>42894</v>
      </c>
      <c r="C782">
        <v>2017</v>
      </c>
      <c r="E782" t="s">
        <v>6</v>
      </c>
      <c r="F782">
        <v>132.6</v>
      </c>
    </row>
    <row r="783" spans="1:6" x14ac:dyDescent="0.25">
      <c r="A783" t="s">
        <v>14</v>
      </c>
      <c r="B783" s="2">
        <v>42907</v>
      </c>
      <c r="C783">
        <v>2017</v>
      </c>
      <c r="E783" t="s">
        <v>6</v>
      </c>
      <c r="F783">
        <v>117.5</v>
      </c>
    </row>
    <row r="784" spans="1:6" x14ac:dyDescent="0.25">
      <c r="A784" t="s">
        <v>14</v>
      </c>
      <c r="B784" s="2">
        <v>42907</v>
      </c>
      <c r="C784">
        <v>2017</v>
      </c>
      <c r="E784" t="s">
        <v>6</v>
      </c>
      <c r="F784">
        <v>121.7</v>
      </c>
    </row>
    <row r="785" spans="1:6" x14ac:dyDescent="0.25">
      <c r="A785" t="s">
        <v>14</v>
      </c>
      <c r="B785" s="2">
        <v>42908</v>
      </c>
      <c r="C785">
        <v>2017</v>
      </c>
      <c r="E785" t="s">
        <v>6</v>
      </c>
      <c r="F785">
        <v>130.1</v>
      </c>
    </row>
    <row r="786" spans="1:6" x14ac:dyDescent="0.25">
      <c r="A786" t="s">
        <v>15</v>
      </c>
      <c r="B786" s="2">
        <v>43116</v>
      </c>
      <c r="C786">
        <v>2018</v>
      </c>
      <c r="E786" t="s">
        <v>6</v>
      </c>
      <c r="F786">
        <v>62.4</v>
      </c>
    </row>
    <row r="787" spans="1:6" x14ac:dyDescent="0.25">
      <c r="A787" t="s">
        <v>15</v>
      </c>
      <c r="B787" s="2">
        <v>43116</v>
      </c>
      <c r="C787">
        <v>2018</v>
      </c>
      <c r="E787" t="s">
        <v>6</v>
      </c>
      <c r="F787">
        <v>57.1</v>
      </c>
    </row>
    <row r="788" spans="1:6" x14ac:dyDescent="0.25">
      <c r="A788" t="s">
        <v>15</v>
      </c>
      <c r="B788" s="2">
        <v>43151</v>
      </c>
      <c r="C788">
        <v>2018</v>
      </c>
      <c r="E788" t="s">
        <v>6</v>
      </c>
      <c r="F788">
        <v>82.1</v>
      </c>
    </row>
    <row r="789" spans="1:6" x14ac:dyDescent="0.25">
      <c r="A789" t="s">
        <v>15</v>
      </c>
      <c r="B789" s="2">
        <v>43151</v>
      </c>
      <c r="C789">
        <v>2018</v>
      </c>
      <c r="E789" t="s">
        <v>6</v>
      </c>
      <c r="F789">
        <v>79.7</v>
      </c>
    </row>
    <row r="790" spans="1:6" x14ac:dyDescent="0.25">
      <c r="A790" t="s">
        <v>15</v>
      </c>
      <c r="B790" s="2">
        <v>43165</v>
      </c>
      <c r="C790">
        <v>2018</v>
      </c>
      <c r="E790" t="s">
        <v>6</v>
      </c>
      <c r="F790">
        <v>89.9</v>
      </c>
    </row>
    <row r="791" spans="1:6" x14ac:dyDescent="0.25">
      <c r="A791" t="s">
        <v>15</v>
      </c>
      <c r="B791" s="2">
        <v>43165</v>
      </c>
      <c r="C791">
        <v>2018</v>
      </c>
      <c r="E791" t="s">
        <v>6</v>
      </c>
      <c r="F791">
        <v>87.6</v>
      </c>
    </row>
    <row r="792" spans="1:6" x14ac:dyDescent="0.25">
      <c r="A792" t="s">
        <v>15</v>
      </c>
      <c r="B792" s="2">
        <v>43179</v>
      </c>
      <c r="C792">
        <v>2018</v>
      </c>
      <c r="E792" t="s">
        <v>6</v>
      </c>
      <c r="F792">
        <v>93.2</v>
      </c>
    </row>
    <row r="793" spans="1:6" x14ac:dyDescent="0.25">
      <c r="A793" t="s">
        <v>15</v>
      </c>
      <c r="B793" s="2">
        <v>43179</v>
      </c>
      <c r="C793">
        <v>2018</v>
      </c>
      <c r="E793" t="s">
        <v>6</v>
      </c>
      <c r="F793">
        <v>90.1</v>
      </c>
    </row>
    <row r="794" spans="1:6" x14ac:dyDescent="0.25">
      <c r="A794" t="s">
        <v>15</v>
      </c>
      <c r="B794" s="2">
        <v>43195</v>
      </c>
      <c r="C794">
        <v>2018</v>
      </c>
      <c r="E794" t="s">
        <v>6</v>
      </c>
      <c r="F794">
        <v>102.3</v>
      </c>
    </row>
    <row r="795" spans="1:6" x14ac:dyDescent="0.25">
      <c r="A795" t="s">
        <v>15</v>
      </c>
      <c r="B795" s="2">
        <v>43195</v>
      </c>
      <c r="C795">
        <v>2018</v>
      </c>
      <c r="E795" t="s">
        <v>6</v>
      </c>
      <c r="F795">
        <v>98.2</v>
      </c>
    </row>
    <row r="796" spans="1:6" x14ac:dyDescent="0.25">
      <c r="A796" t="s">
        <v>15</v>
      </c>
      <c r="B796" s="2">
        <v>43201</v>
      </c>
      <c r="C796">
        <v>2018</v>
      </c>
      <c r="E796" t="s">
        <v>6</v>
      </c>
      <c r="F796">
        <v>105.5</v>
      </c>
    </row>
    <row r="797" spans="1:6" x14ac:dyDescent="0.25">
      <c r="A797" t="s">
        <v>15</v>
      </c>
      <c r="B797" s="2">
        <v>43201</v>
      </c>
      <c r="C797">
        <v>2018</v>
      </c>
      <c r="E797" t="s">
        <v>6</v>
      </c>
      <c r="F797">
        <v>98.8</v>
      </c>
    </row>
    <row r="798" spans="1:6" x14ac:dyDescent="0.25">
      <c r="A798" t="s">
        <v>15</v>
      </c>
      <c r="B798" s="2">
        <v>43209</v>
      </c>
      <c r="C798">
        <v>2018</v>
      </c>
      <c r="E798" t="s">
        <v>6</v>
      </c>
      <c r="F798">
        <v>110</v>
      </c>
    </row>
    <row r="799" spans="1:6" x14ac:dyDescent="0.25">
      <c r="A799" t="s">
        <v>15</v>
      </c>
      <c r="B799" s="2">
        <v>43209</v>
      </c>
      <c r="C799">
        <v>2018</v>
      </c>
      <c r="E799" t="s">
        <v>6</v>
      </c>
      <c r="F799">
        <v>99.3</v>
      </c>
    </row>
    <row r="800" spans="1:6" x14ac:dyDescent="0.25">
      <c r="A800" t="s">
        <v>15</v>
      </c>
      <c r="B800" s="2">
        <v>43215</v>
      </c>
      <c r="C800">
        <v>2018</v>
      </c>
      <c r="E800" t="s">
        <v>6</v>
      </c>
      <c r="F800">
        <v>113.2</v>
      </c>
    </row>
    <row r="801" spans="1:6" x14ac:dyDescent="0.25">
      <c r="A801" t="s">
        <v>15</v>
      </c>
      <c r="B801" s="2">
        <v>43215</v>
      </c>
      <c r="C801">
        <v>2018</v>
      </c>
      <c r="E801" t="s">
        <v>6</v>
      </c>
      <c r="F801">
        <v>106.4</v>
      </c>
    </row>
    <row r="802" spans="1:6" x14ac:dyDescent="0.25">
      <c r="A802" t="s">
        <v>15</v>
      </c>
      <c r="B802" s="2">
        <v>43221</v>
      </c>
      <c r="C802">
        <v>2018</v>
      </c>
      <c r="E802" t="s">
        <v>6</v>
      </c>
      <c r="F802">
        <v>117.6</v>
      </c>
    </row>
    <row r="803" spans="1:6" x14ac:dyDescent="0.25">
      <c r="A803" t="s">
        <v>15</v>
      </c>
      <c r="B803" s="2">
        <v>43221</v>
      </c>
      <c r="C803">
        <v>2018</v>
      </c>
      <c r="E803" t="s">
        <v>6</v>
      </c>
      <c r="F803">
        <v>109</v>
      </c>
    </row>
    <row r="804" spans="1:6" x14ac:dyDescent="0.25">
      <c r="A804" t="s">
        <v>15</v>
      </c>
      <c r="B804" s="2">
        <v>43235</v>
      </c>
      <c r="C804">
        <v>2018</v>
      </c>
      <c r="E804" t="s">
        <v>6</v>
      </c>
      <c r="F804">
        <v>115.1</v>
      </c>
    </row>
    <row r="805" spans="1:6" x14ac:dyDescent="0.25">
      <c r="A805" t="s">
        <v>15</v>
      </c>
      <c r="B805" s="2">
        <v>43235</v>
      </c>
      <c r="C805">
        <v>2018</v>
      </c>
      <c r="E805" t="s">
        <v>6</v>
      </c>
      <c r="F805">
        <v>108.3</v>
      </c>
    </row>
    <row r="806" spans="1:6" x14ac:dyDescent="0.25">
      <c r="A806" t="s">
        <v>15</v>
      </c>
      <c r="B806" s="2">
        <v>43249</v>
      </c>
      <c r="C806">
        <v>2018</v>
      </c>
      <c r="E806" t="s">
        <v>6</v>
      </c>
      <c r="F806">
        <v>114.4</v>
      </c>
    </row>
    <row r="807" spans="1:6" x14ac:dyDescent="0.25">
      <c r="A807" t="s">
        <v>15</v>
      </c>
      <c r="B807" s="2">
        <v>43249</v>
      </c>
      <c r="C807">
        <v>2018</v>
      </c>
      <c r="E807" t="s">
        <v>6</v>
      </c>
      <c r="F807">
        <v>105.5</v>
      </c>
    </row>
    <row r="808" spans="1:6" x14ac:dyDescent="0.25">
      <c r="A808" t="s">
        <v>15</v>
      </c>
      <c r="B808" s="2">
        <v>43116</v>
      </c>
      <c r="C808">
        <v>2018</v>
      </c>
      <c r="E808" t="s">
        <v>6</v>
      </c>
      <c r="F808">
        <v>61.5</v>
      </c>
    </row>
    <row r="809" spans="1:6" x14ac:dyDescent="0.25">
      <c r="A809" t="s">
        <v>15</v>
      </c>
      <c r="B809" s="2">
        <v>43151</v>
      </c>
      <c r="C809">
        <v>2018</v>
      </c>
      <c r="E809" t="s">
        <v>6</v>
      </c>
      <c r="F809">
        <v>82.5</v>
      </c>
    </row>
    <row r="810" spans="1:6" x14ac:dyDescent="0.25">
      <c r="A810" t="s">
        <v>15</v>
      </c>
      <c r="B810" s="2">
        <v>43165</v>
      </c>
      <c r="C810">
        <v>2018</v>
      </c>
      <c r="E810" t="s">
        <v>6</v>
      </c>
      <c r="F810">
        <v>93.7</v>
      </c>
    </row>
    <row r="811" spans="1:6" x14ac:dyDescent="0.25">
      <c r="A811" t="s">
        <v>15</v>
      </c>
      <c r="B811" s="2">
        <v>43179</v>
      </c>
      <c r="C811">
        <v>2018</v>
      </c>
      <c r="E811" t="s">
        <v>6</v>
      </c>
      <c r="F811">
        <v>95.8</v>
      </c>
    </row>
    <row r="812" spans="1:6" x14ac:dyDescent="0.25">
      <c r="A812" t="s">
        <v>15</v>
      </c>
      <c r="B812" s="2">
        <v>43194</v>
      </c>
      <c r="C812">
        <v>2018</v>
      </c>
      <c r="E812" t="s">
        <v>6</v>
      </c>
      <c r="F812">
        <v>105.4</v>
      </c>
    </row>
    <row r="813" spans="1:6" x14ac:dyDescent="0.25">
      <c r="A813" t="s">
        <v>15</v>
      </c>
      <c r="B813" s="2">
        <v>43201</v>
      </c>
      <c r="C813">
        <v>2018</v>
      </c>
      <c r="E813" t="s">
        <v>6</v>
      </c>
      <c r="F813">
        <v>106.4</v>
      </c>
    </row>
    <row r="814" spans="1:6" x14ac:dyDescent="0.25">
      <c r="A814" t="s">
        <v>15</v>
      </c>
      <c r="B814" s="2">
        <v>43209</v>
      </c>
      <c r="C814">
        <v>2018</v>
      </c>
      <c r="E814" t="s">
        <v>6</v>
      </c>
      <c r="F814">
        <v>108.9</v>
      </c>
    </row>
    <row r="815" spans="1:6" x14ac:dyDescent="0.25">
      <c r="A815" t="s">
        <v>15</v>
      </c>
      <c r="B815" s="2">
        <v>43215</v>
      </c>
      <c r="C815">
        <v>2018</v>
      </c>
      <c r="E815" t="s">
        <v>6</v>
      </c>
      <c r="F815">
        <v>112.6</v>
      </c>
    </row>
    <row r="816" spans="1:6" x14ac:dyDescent="0.25">
      <c r="A816" t="s">
        <v>15</v>
      </c>
      <c r="B816" s="2">
        <v>43221</v>
      </c>
      <c r="C816">
        <v>2018</v>
      </c>
      <c r="E816" t="s">
        <v>6</v>
      </c>
      <c r="F816">
        <v>116.3</v>
      </c>
    </row>
    <row r="817" spans="1:6" x14ac:dyDescent="0.25">
      <c r="A817" t="s">
        <v>15</v>
      </c>
      <c r="B817" s="2">
        <v>43235</v>
      </c>
      <c r="C817">
        <v>2018</v>
      </c>
      <c r="E817" t="s">
        <v>6</v>
      </c>
      <c r="F817">
        <v>115.2</v>
      </c>
    </row>
    <row r="818" spans="1:6" x14ac:dyDescent="0.25">
      <c r="A818" t="s">
        <v>15</v>
      </c>
      <c r="B818" s="2">
        <v>43249</v>
      </c>
      <c r="C818">
        <v>2018</v>
      </c>
      <c r="E818" t="s">
        <v>6</v>
      </c>
      <c r="F818">
        <v>115.4</v>
      </c>
    </row>
    <row r="819" spans="1:6" x14ac:dyDescent="0.25">
      <c r="A819" t="s">
        <v>15</v>
      </c>
      <c r="B819" s="2">
        <v>43115</v>
      </c>
      <c r="C819">
        <v>2018</v>
      </c>
      <c r="E819" t="s">
        <v>6</v>
      </c>
      <c r="F819">
        <v>59.6</v>
      </c>
    </row>
    <row r="820" spans="1:6" x14ac:dyDescent="0.25">
      <c r="A820" t="s">
        <v>15</v>
      </c>
      <c r="B820" s="2">
        <v>43115</v>
      </c>
      <c r="C820">
        <v>2018</v>
      </c>
      <c r="E820" t="s">
        <v>6</v>
      </c>
      <c r="F820">
        <v>67.7</v>
      </c>
    </row>
    <row r="821" spans="1:6" x14ac:dyDescent="0.25">
      <c r="A821" t="s">
        <v>15</v>
      </c>
      <c r="B821" s="2">
        <v>43116</v>
      </c>
      <c r="C821">
        <v>2018</v>
      </c>
      <c r="E821" t="s">
        <v>6</v>
      </c>
      <c r="F821">
        <v>63.1</v>
      </c>
    </row>
    <row r="822" spans="1:6" x14ac:dyDescent="0.25">
      <c r="A822" t="s">
        <v>15</v>
      </c>
      <c r="B822" s="2">
        <v>43116</v>
      </c>
      <c r="C822">
        <v>2018</v>
      </c>
      <c r="E822" t="s">
        <v>6</v>
      </c>
      <c r="F822">
        <v>68.400000000000006</v>
      </c>
    </row>
    <row r="823" spans="1:6" x14ac:dyDescent="0.25">
      <c r="A823" t="s">
        <v>15</v>
      </c>
      <c r="B823" s="2">
        <v>43150</v>
      </c>
      <c r="C823">
        <v>2018</v>
      </c>
      <c r="E823" t="s">
        <v>6</v>
      </c>
      <c r="F823">
        <v>81.5</v>
      </c>
    </row>
    <row r="824" spans="1:6" x14ac:dyDescent="0.25">
      <c r="A824" t="s">
        <v>15</v>
      </c>
      <c r="B824" s="2">
        <v>43150</v>
      </c>
      <c r="C824">
        <v>2018</v>
      </c>
      <c r="E824" t="s">
        <v>6</v>
      </c>
      <c r="F824">
        <v>88</v>
      </c>
    </row>
    <row r="825" spans="1:6" x14ac:dyDescent="0.25">
      <c r="A825" t="s">
        <v>15</v>
      </c>
      <c r="B825" s="2">
        <v>43151</v>
      </c>
      <c r="C825">
        <v>2018</v>
      </c>
      <c r="E825" t="s">
        <v>6</v>
      </c>
      <c r="F825">
        <v>77.2</v>
      </c>
    </row>
    <row r="826" spans="1:6" x14ac:dyDescent="0.25">
      <c r="A826" t="s">
        <v>15</v>
      </c>
      <c r="B826" s="2">
        <v>43151</v>
      </c>
      <c r="C826">
        <v>2018</v>
      </c>
      <c r="E826" t="s">
        <v>6</v>
      </c>
      <c r="F826">
        <v>84.2</v>
      </c>
    </row>
    <row r="827" spans="1:6" x14ac:dyDescent="0.25">
      <c r="A827" t="s">
        <v>15</v>
      </c>
      <c r="B827" s="2">
        <v>43164</v>
      </c>
      <c r="C827">
        <v>2018</v>
      </c>
      <c r="E827" t="s">
        <v>6</v>
      </c>
      <c r="F827">
        <v>88.9</v>
      </c>
    </row>
    <row r="828" spans="1:6" x14ac:dyDescent="0.25">
      <c r="A828" t="s">
        <v>15</v>
      </c>
      <c r="B828" s="2">
        <v>43164</v>
      </c>
      <c r="C828">
        <v>2018</v>
      </c>
      <c r="E828" t="s">
        <v>6</v>
      </c>
      <c r="F828">
        <v>93.5</v>
      </c>
    </row>
    <row r="829" spans="1:6" x14ac:dyDescent="0.25">
      <c r="A829" t="s">
        <v>15</v>
      </c>
      <c r="B829" s="2">
        <v>43165</v>
      </c>
      <c r="C829">
        <v>2018</v>
      </c>
      <c r="E829" t="s">
        <v>6</v>
      </c>
      <c r="F829">
        <v>88.1</v>
      </c>
    </row>
    <row r="830" spans="1:6" x14ac:dyDescent="0.25">
      <c r="A830" t="s">
        <v>15</v>
      </c>
      <c r="B830" s="2">
        <v>43165</v>
      </c>
      <c r="C830">
        <v>2018</v>
      </c>
      <c r="E830" t="s">
        <v>6</v>
      </c>
      <c r="F830">
        <v>94.7</v>
      </c>
    </row>
    <row r="831" spans="1:6" x14ac:dyDescent="0.25">
      <c r="A831" t="s">
        <v>15</v>
      </c>
      <c r="B831" s="2">
        <v>43178</v>
      </c>
      <c r="C831">
        <v>2018</v>
      </c>
      <c r="E831" t="s">
        <v>6</v>
      </c>
      <c r="F831">
        <v>92.8</v>
      </c>
    </row>
    <row r="832" spans="1:6" x14ac:dyDescent="0.25">
      <c r="A832" t="s">
        <v>15</v>
      </c>
      <c r="B832" s="2">
        <v>43178</v>
      </c>
      <c r="C832">
        <v>2018</v>
      </c>
      <c r="E832" t="s">
        <v>6</v>
      </c>
      <c r="F832">
        <v>100.4</v>
      </c>
    </row>
    <row r="833" spans="1:6" x14ac:dyDescent="0.25">
      <c r="A833" t="s">
        <v>15</v>
      </c>
      <c r="B833" s="2">
        <v>43179</v>
      </c>
      <c r="C833">
        <v>2018</v>
      </c>
      <c r="E833" t="s">
        <v>6</v>
      </c>
      <c r="F833">
        <v>93.1</v>
      </c>
    </row>
    <row r="834" spans="1:6" x14ac:dyDescent="0.25">
      <c r="A834" t="s">
        <v>15</v>
      </c>
      <c r="B834" s="2">
        <v>43179</v>
      </c>
      <c r="C834">
        <v>2018</v>
      </c>
      <c r="E834" t="s">
        <v>6</v>
      </c>
      <c r="F834">
        <v>96.3</v>
      </c>
    </row>
    <row r="835" spans="1:6" x14ac:dyDescent="0.25">
      <c r="A835" t="s">
        <v>15</v>
      </c>
      <c r="B835" s="2">
        <v>43194</v>
      </c>
      <c r="C835">
        <v>2018</v>
      </c>
      <c r="E835" t="s">
        <v>6</v>
      </c>
      <c r="F835">
        <v>102.6</v>
      </c>
    </row>
    <row r="836" spans="1:6" x14ac:dyDescent="0.25">
      <c r="A836" t="s">
        <v>15</v>
      </c>
      <c r="B836" s="2">
        <v>43194</v>
      </c>
      <c r="C836">
        <v>2018</v>
      </c>
      <c r="E836" t="s">
        <v>6</v>
      </c>
      <c r="F836">
        <v>110.1</v>
      </c>
    </row>
    <row r="837" spans="1:6" x14ac:dyDescent="0.25">
      <c r="A837" t="s">
        <v>15</v>
      </c>
      <c r="B837" s="2">
        <v>43195</v>
      </c>
      <c r="C837">
        <v>2018</v>
      </c>
      <c r="E837" t="s">
        <v>6</v>
      </c>
      <c r="F837">
        <v>98.9</v>
      </c>
    </row>
    <row r="838" spans="1:6" x14ac:dyDescent="0.25">
      <c r="A838" t="s">
        <v>15</v>
      </c>
      <c r="B838" s="2">
        <v>43195</v>
      </c>
      <c r="C838">
        <v>2018</v>
      </c>
      <c r="E838" t="s">
        <v>6</v>
      </c>
      <c r="F838">
        <v>105.7</v>
      </c>
    </row>
    <row r="839" spans="1:6" x14ac:dyDescent="0.25">
      <c r="A839" t="s">
        <v>15</v>
      </c>
      <c r="B839" s="2">
        <v>43200</v>
      </c>
      <c r="C839">
        <v>2018</v>
      </c>
      <c r="E839" t="s">
        <v>6</v>
      </c>
      <c r="F839">
        <v>100.4</v>
      </c>
    </row>
    <row r="840" spans="1:6" x14ac:dyDescent="0.25">
      <c r="A840" t="s">
        <v>15</v>
      </c>
      <c r="B840" s="2">
        <v>43200</v>
      </c>
      <c r="C840">
        <v>2018</v>
      </c>
      <c r="E840" t="s">
        <v>6</v>
      </c>
      <c r="F840">
        <v>111.8</v>
      </c>
    </row>
    <row r="841" spans="1:6" x14ac:dyDescent="0.25">
      <c r="A841" t="s">
        <v>15</v>
      </c>
      <c r="B841" s="2">
        <v>43201</v>
      </c>
      <c r="C841">
        <v>2018</v>
      </c>
      <c r="E841" t="s">
        <v>6</v>
      </c>
      <c r="F841">
        <v>100.7</v>
      </c>
    </row>
    <row r="842" spans="1:6" x14ac:dyDescent="0.25">
      <c r="A842" t="s">
        <v>15</v>
      </c>
      <c r="B842" s="2">
        <v>43201</v>
      </c>
      <c r="C842">
        <v>2018</v>
      </c>
      <c r="E842" t="s">
        <v>6</v>
      </c>
      <c r="F842">
        <v>109.4</v>
      </c>
    </row>
    <row r="843" spans="1:6" x14ac:dyDescent="0.25">
      <c r="A843" t="s">
        <v>15</v>
      </c>
      <c r="B843" s="2">
        <v>43206</v>
      </c>
      <c r="C843">
        <v>2018</v>
      </c>
      <c r="E843" t="s">
        <v>6</v>
      </c>
      <c r="F843">
        <v>102.3</v>
      </c>
    </row>
    <row r="844" spans="1:6" x14ac:dyDescent="0.25">
      <c r="A844" t="s">
        <v>15</v>
      </c>
      <c r="B844" s="2">
        <v>43206</v>
      </c>
      <c r="C844">
        <v>2018</v>
      </c>
      <c r="E844" t="s">
        <v>6</v>
      </c>
      <c r="F844">
        <v>111.2</v>
      </c>
    </row>
    <row r="845" spans="1:6" x14ac:dyDescent="0.25">
      <c r="A845" t="s">
        <v>15</v>
      </c>
      <c r="B845" s="2">
        <v>43209</v>
      </c>
      <c r="C845">
        <v>2018</v>
      </c>
      <c r="E845" t="s">
        <v>6</v>
      </c>
      <c r="F845">
        <v>103.4</v>
      </c>
    </row>
    <row r="846" spans="1:6" x14ac:dyDescent="0.25">
      <c r="A846" t="s">
        <v>15</v>
      </c>
      <c r="B846" s="2">
        <v>43209</v>
      </c>
      <c r="C846">
        <v>2018</v>
      </c>
      <c r="E846" t="s">
        <v>6</v>
      </c>
      <c r="F846">
        <v>114.4</v>
      </c>
    </row>
    <row r="847" spans="1:6" x14ac:dyDescent="0.25">
      <c r="A847" t="s">
        <v>15</v>
      </c>
      <c r="B847" s="2">
        <v>43215</v>
      </c>
      <c r="C847">
        <v>2018</v>
      </c>
      <c r="E847" t="s">
        <v>6</v>
      </c>
      <c r="F847">
        <v>100.7</v>
      </c>
    </row>
    <row r="848" spans="1:6" x14ac:dyDescent="0.25">
      <c r="A848" t="s">
        <v>15</v>
      </c>
      <c r="B848" s="2">
        <v>43215</v>
      </c>
      <c r="C848">
        <v>2018</v>
      </c>
      <c r="E848" t="s">
        <v>6</v>
      </c>
      <c r="F848">
        <v>106.2</v>
      </c>
    </row>
    <row r="849" spans="1:6" x14ac:dyDescent="0.25">
      <c r="A849" t="s">
        <v>15</v>
      </c>
      <c r="B849" s="2">
        <v>43215</v>
      </c>
      <c r="C849">
        <v>2018</v>
      </c>
      <c r="E849" t="s">
        <v>6</v>
      </c>
      <c r="F849">
        <v>118.2</v>
      </c>
    </row>
    <row r="850" spans="1:6" x14ac:dyDescent="0.25">
      <c r="A850" t="s">
        <v>15</v>
      </c>
      <c r="B850" s="2">
        <v>43215</v>
      </c>
      <c r="C850">
        <v>2018</v>
      </c>
      <c r="E850" t="s">
        <v>6</v>
      </c>
      <c r="F850">
        <v>114.1</v>
      </c>
    </row>
    <row r="851" spans="1:6" x14ac:dyDescent="0.25">
      <c r="A851" t="s">
        <v>15</v>
      </c>
      <c r="B851" s="2">
        <v>43221</v>
      </c>
      <c r="C851">
        <v>2018</v>
      </c>
      <c r="E851" t="s">
        <v>6</v>
      </c>
      <c r="F851">
        <v>109.9</v>
      </c>
    </row>
    <row r="852" spans="1:6" x14ac:dyDescent="0.25">
      <c r="A852" t="s">
        <v>15</v>
      </c>
      <c r="B852" s="2">
        <v>43221</v>
      </c>
      <c r="C852">
        <v>2018</v>
      </c>
      <c r="E852" t="s">
        <v>6</v>
      </c>
      <c r="F852">
        <v>114.4</v>
      </c>
    </row>
    <row r="853" spans="1:6" x14ac:dyDescent="0.25">
      <c r="A853" t="s">
        <v>15</v>
      </c>
      <c r="B853" s="2">
        <v>43221</v>
      </c>
      <c r="C853">
        <v>2018</v>
      </c>
      <c r="E853" t="s">
        <v>6</v>
      </c>
      <c r="F853">
        <v>118.9</v>
      </c>
    </row>
    <row r="854" spans="1:6" x14ac:dyDescent="0.25">
      <c r="A854" t="s">
        <v>15</v>
      </c>
      <c r="B854" s="2">
        <v>43221</v>
      </c>
      <c r="C854">
        <v>2018</v>
      </c>
      <c r="E854" t="s">
        <v>6</v>
      </c>
      <c r="F854">
        <v>120.6</v>
      </c>
    </row>
    <row r="855" spans="1:6" x14ac:dyDescent="0.25">
      <c r="A855" t="s">
        <v>15</v>
      </c>
      <c r="B855" s="2">
        <v>43234</v>
      </c>
      <c r="C855">
        <v>2018</v>
      </c>
      <c r="E855" t="s">
        <v>6</v>
      </c>
      <c r="F855">
        <v>109.5</v>
      </c>
    </row>
    <row r="856" spans="1:6" x14ac:dyDescent="0.25">
      <c r="A856" t="s">
        <v>15</v>
      </c>
      <c r="B856" s="2">
        <v>43234</v>
      </c>
      <c r="C856">
        <v>2018</v>
      </c>
      <c r="E856" t="s">
        <v>6</v>
      </c>
      <c r="F856">
        <v>118.4</v>
      </c>
    </row>
    <row r="857" spans="1:6" x14ac:dyDescent="0.25">
      <c r="A857" t="s">
        <v>15</v>
      </c>
      <c r="B857" s="2">
        <v>43235</v>
      </c>
      <c r="C857">
        <v>2018</v>
      </c>
      <c r="E857" t="s">
        <v>6</v>
      </c>
      <c r="F857">
        <v>107</v>
      </c>
    </row>
    <row r="858" spans="1:6" x14ac:dyDescent="0.25">
      <c r="A858" t="s">
        <v>15</v>
      </c>
      <c r="B858" s="2">
        <v>43235</v>
      </c>
      <c r="C858">
        <v>2018</v>
      </c>
      <c r="E858" t="s">
        <v>6</v>
      </c>
      <c r="F858">
        <v>116.6</v>
      </c>
    </row>
    <row r="859" spans="1:6" x14ac:dyDescent="0.25">
      <c r="A859" t="s">
        <v>15</v>
      </c>
      <c r="B859" s="2">
        <v>43248</v>
      </c>
      <c r="C859">
        <v>2018</v>
      </c>
      <c r="E859" t="s">
        <v>6</v>
      </c>
      <c r="F859">
        <v>112.9</v>
      </c>
    </row>
    <row r="860" spans="1:6" x14ac:dyDescent="0.25">
      <c r="A860" t="s">
        <v>15</v>
      </c>
      <c r="B860" s="2">
        <v>43248</v>
      </c>
      <c r="C860">
        <v>2018</v>
      </c>
      <c r="E860" t="s">
        <v>6</v>
      </c>
      <c r="F860">
        <v>118.1</v>
      </c>
    </row>
    <row r="861" spans="1:6" x14ac:dyDescent="0.25">
      <c r="A861" t="s">
        <v>15</v>
      </c>
      <c r="B861" s="2">
        <v>43249</v>
      </c>
      <c r="C861">
        <v>2018</v>
      </c>
      <c r="E861" t="s">
        <v>6</v>
      </c>
      <c r="F861">
        <v>104.3</v>
      </c>
    </row>
    <row r="862" spans="1:6" x14ac:dyDescent="0.25">
      <c r="A862" t="s">
        <v>15</v>
      </c>
      <c r="B862" s="2">
        <v>43249</v>
      </c>
      <c r="C862">
        <v>2018</v>
      </c>
      <c r="E862" t="s">
        <v>6</v>
      </c>
      <c r="F862">
        <v>118.2</v>
      </c>
    </row>
    <row r="863" spans="1:6" x14ac:dyDescent="0.25">
      <c r="A863" t="s">
        <v>16</v>
      </c>
      <c r="B863" s="2">
        <v>43479</v>
      </c>
      <c r="C863">
        <v>2019</v>
      </c>
      <c r="E863" t="s">
        <v>6</v>
      </c>
      <c r="F863">
        <v>52.3</v>
      </c>
    </row>
    <row r="864" spans="1:6" x14ac:dyDescent="0.25">
      <c r="A864" t="s">
        <v>16</v>
      </c>
      <c r="B864" s="2">
        <v>43515</v>
      </c>
      <c r="C864">
        <v>2019</v>
      </c>
      <c r="E864" t="s">
        <v>6</v>
      </c>
      <c r="F864">
        <v>72.099999999999994</v>
      </c>
    </row>
    <row r="865" spans="1:6" x14ac:dyDescent="0.25">
      <c r="A865" t="s">
        <v>16</v>
      </c>
      <c r="B865" s="2">
        <v>43529</v>
      </c>
      <c r="C865">
        <v>2019</v>
      </c>
      <c r="E865" t="s">
        <v>6</v>
      </c>
      <c r="F865">
        <v>78.900000000000006</v>
      </c>
    </row>
    <row r="866" spans="1:6" x14ac:dyDescent="0.25">
      <c r="A866" t="s">
        <v>16</v>
      </c>
      <c r="B866" s="2">
        <v>43543</v>
      </c>
      <c r="C866">
        <v>2019</v>
      </c>
      <c r="E866" t="s">
        <v>6</v>
      </c>
      <c r="F866">
        <v>90.7</v>
      </c>
    </row>
    <row r="867" spans="1:6" x14ac:dyDescent="0.25">
      <c r="A867" t="s">
        <v>16</v>
      </c>
      <c r="B867" s="2">
        <v>43557</v>
      </c>
      <c r="C867">
        <v>2019</v>
      </c>
      <c r="E867" t="s">
        <v>6</v>
      </c>
      <c r="F867">
        <v>98</v>
      </c>
    </row>
    <row r="868" spans="1:6" x14ac:dyDescent="0.25">
      <c r="A868" t="s">
        <v>16</v>
      </c>
      <c r="B868" s="2">
        <v>43564</v>
      </c>
      <c r="C868">
        <v>2019</v>
      </c>
      <c r="E868" t="s">
        <v>6</v>
      </c>
      <c r="F868">
        <v>100.2</v>
      </c>
    </row>
    <row r="869" spans="1:6" x14ac:dyDescent="0.25">
      <c r="A869" t="s">
        <v>16</v>
      </c>
      <c r="B869" s="2">
        <v>43570</v>
      </c>
      <c r="C869">
        <v>2019</v>
      </c>
      <c r="E869" t="s">
        <v>6</v>
      </c>
      <c r="F869">
        <v>104.2</v>
      </c>
    </row>
    <row r="870" spans="1:6" x14ac:dyDescent="0.25">
      <c r="A870" t="s">
        <v>16</v>
      </c>
      <c r="B870" s="2">
        <v>43577</v>
      </c>
      <c r="C870">
        <v>2019</v>
      </c>
      <c r="E870" t="s">
        <v>6</v>
      </c>
      <c r="F870">
        <v>100.3</v>
      </c>
    </row>
    <row r="871" spans="1:6" x14ac:dyDescent="0.25">
      <c r="A871" t="s">
        <v>16</v>
      </c>
      <c r="B871" s="2">
        <v>43584</v>
      </c>
      <c r="C871">
        <v>2019</v>
      </c>
      <c r="E871" t="s">
        <v>6</v>
      </c>
      <c r="F871">
        <v>93.8</v>
      </c>
    </row>
    <row r="872" spans="1:6" x14ac:dyDescent="0.25">
      <c r="A872" t="s">
        <v>16</v>
      </c>
      <c r="B872" s="2">
        <v>43613</v>
      </c>
      <c r="C872">
        <v>2019</v>
      </c>
      <c r="E872" t="s">
        <v>6</v>
      </c>
      <c r="F872">
        <v>105.9</v>
      </c>
    </row>
    <row r="873" spans="1:6" x14ac:dyDescent="0.25">
      <c r="A873" t="s">
        <v>16</v>
      </c>
      <c r="B873" s="2">
        <v>43479</v>
      </c>
      <c r="C873">
        <v>2019</v>
      </c>
      <c r="E873" t="s">
        <v>6</v>
      </c>
      <c r="F873">
        <v>56.6</v>
      </c>
    </row>
    <row r="874" spans="1:6" x14ac:dyDescent="0.25">
      <c r="A874" t="s">
        <v>16</v>
      </c>
      <c r="B874" s="2">
        <v>43515</v>
      </c>
      <c r="C874">
        <v>2019</v>
      </c>
      <c r="E874" t="s">
        <v>6</v>
      </c>
      <c r="F874">
        <v>75.3</v>
      </c>
    </row>
    <row r="875" spans="1:6" x14ac:dyDescent="0.25">
      <c r="A875" t="s">
        <v>16</v>
      </c>
      <c r="B875" s="2">
        <v>43529</v>
      </c>
      <c r="C875">
        <v>2019</v>
      </c>
      <c r="E875" t="s">
        <v>6</v>
      </c>
      <c r="F875">
        <v>82.6</v>
      </c>
    </row>
    <row r="876" spans="1:6" x14ac:dyDescent="0.25">
      <c r="A876" t="s">
        <v>16</v>
      </c>
      <c r="B876" s="2">
        <v>43543</v>
      </c>
      <c r="C876">
        <v>2019</v>
      </c>
      <c r="E876" t="s">
        <v>6</v>
      </c>
      <c r="F876">
        <v>92.1</v>
      </c>
    </row>
    <row r="877" spans="1:6" x14ac:dyDescent="0.25">
      <c r="A877" t="s">
        <v>16</v>
      </c>
      <c r="B877" s="2">
        <v>43557</v>
      </c>
      <c r="C877">
        <v>2019</v>
      </c>
      <c r="E877" t="s">
        <v>6</v>
      </c>
      <c r="F877">
        <v>104</v>
      </c>
    </row>
    <row r="878" spans="1:6" x14ac:dyDescent="0.25">
      <c r="A878" t="s">
        <v>16</v>
      </c>
      <c r="B878" s="2">
        <v>43564</v>
      </c>
      <c r="C878">
        <v>2019</v>
      </c>
      <c r="E878" t="s">
        <v>6</v>
      </c>
      <c r="F878">
        <v>100.7</v>
      </c>
    </row>
    <row r="879" spans="1:6" x14ac:dyDescent="0.25">
      <c r="A879" t="s">
        <v>16</v>
      </c>
      <c r="B879" s="2">
        <v>43570</v>
      </c>
      <c r="C879">
        <v>2019</v>
      </c>
      <c r="E879" t="s">
        <v>6</v>
      </c>
      <c r="F879">
        <v>100.9</v>
      </c>
    </row>
    <row r="880" spans="1:6" x14ac:dyDescent="0.25">
      <c r="A880" t="s">
        <v>16</v>
      </c>
      <c r="B880" s="2">
        <v>43577</v>
      </c>
      <c r="C880">
        <v>2019</v>
      </c>
      <c r="E880" t="s">
        <v>6</v>
      </c>
      <c r="F880">
        <v>105.2</v>
      </c>
    </row>
    <row r="881" spans="1:6" x14ac:dyDescent="0.25">
      <c r="A881" t="s">
        <v>16</v>
      </c>
      <c r="B881" s="2">
        <v>43584</v>
      </c>
      <c r="C881">
        <v>2019</v>
      </c>
      <c r="E881" t="s">
        <v>6</v>
      </c>
      <c r="F881">
        <v>93.4</v>
      </c>
    </row>
    <row r="882" spans="1:6" x14ac:dyDescent="0.25">
      <c r="A882" t="s">
        <v>16</v>
      </c>
      <c r="B882" s="2">
        <v>43613</v>
      </c>
      <c r="C882">
        <v>2019</v>
      </c>
      <c r="E882" t="s">
        <v>6</v>
      </c>
      <c r="F882">
        <v>109.8</v>
      </c>
    </row>
    <row r="883" spans="1:6" x14ac:dyDescent="0.25">
      <c r="A883" t="s">
        <v>16</v>
      </c>
      <c r="B883" s="2">
        <v>43479</v>
      </c>
      <c r="C883">
        <v>2019</v>
      </c>
      <c r="E883" t="s">
        <v>6</v>
      </c>
      <c r="F883">
        <v>58.2</v>
      </c>
    </row>
    <row r="884" spans="1:6" x14ac:dyDescent="0.25">
      <c r="A884" t="s">
        <v>16</v>
      </c>
      <c r="B884" s="2">
        <v>43479</v>
      </c>
      <c r="C884">
        <v>2019</v>
      </c>
      <c r="E884" t="s">
        <v>6</v>
      </c>
      <c r="F884">
        <v>57.8</v>
      </c>
    </row>
    <row r="885" spans="1:6" x14ac:dyDescent="0.25">
      <c r="A885" t="s">
        <v>16</v>
      </c>
      <c r="B885" s="2">
        <v>43479</v>
      </c>
      <c r="C885">
        <v>2019</v>
      </c>
      <c r="E885" t="s">
        <v>6</v>
      </c>
      <c r="F885">
        <v>64.400000000000006</v>
      </c>
    </row>
    <row r="886" spans="1:6" x14ac:dyDescent="0.25">
      <c r="A886" t="s">
        <v>16</v>
      </c>
      <c r="B886" s="2">
        <v>43479</v>
      </c>
      <c r="C886">
        <v>2019</v>
      </c>
      <c r="E886" t="s">
        <v>6</v>
      </c>
      <c r="F886">
        <v>50.5</v>
      </c>
    </row>
    <row r="887" spans="1:6" x14ac:dyDescent="0.25">
      <c r="A887" t="s">
        <v>16</v>
      </c>
      <c r="B887" s="2">
        <v>43514</v>
      </c>
      <c r="C887">
        <v>2019</v>
      </c>
      <c r="E887" t="s">
        <v>6</v>
      </c>
      <c r="F887">
        <v>81.599999999999994</v>
      </c>
    </row>
    <row r="888" spans="1:6" x14ac:dyDescent="0.25">
      <c r="A888" t="s">
        <v>16</v>
      </c>
      <c r="B888" s="2">
        <v>43514</v>
      </c>
      <c r="C888">
        <v>2019</v>
      </c>
      <c r="E888" t="s">
        <v>6</v>
      </c>
      <c r="F888">
        <v>85.6</v>
      </c>
    </row>
    <row r="889" spans="1:6" x14ac:dyDescent="0.25">
      <c r="A889" t="s">
        <v>16</v>
      </c>
      <c r="B889" s="2">
        <v>43514</v>
      </c>
      <c r="C889">
        <v>2019</v>
      </c>
      <c r="E889" t="s">
        <v>6</v>
      </c>
      <c r="F889">
        <v>87.8</v>
      </c>
    </row>
    <row r="890" spans="1:6" x14ac:dyDescent="0.25">
      <c r="A890" t="s">
        <v>16</v>
      </c>
      <c r="B890" s="2">
        <v>43514</v>
      </c>
      <c r="C890">
        <v>2019</v>
      </c>
      <c r="E890" t="s">
        <v>6</v>
      </c>
      <c r="F890">
        <v>74.099999999999994</v>
      </c>
    </row>
    <row r="891" spans="1:6" x14ac:dyDescent="0.25">
      <c r="A891" t="s">
        <v>16</v>
      </c>
      <c r="B891" s="2">
        <v>43528</v>
      </c>
      <c r="C891">
        <v>2019</v>
      </c>
      <c r="E891" t="s">
        <v>6</v>
      </c>
      <c r="F891">
        <v>90.8</v>
      </c>
    </row>
    <row r="892" spans="1:6" x14ac:dyDescent="0.25">
      <c r="A892" t="s">
        <v>16</v>
      </c>
      <c r="B892" s="2">
        <v>43528</v>
      </c>
      <c r="C892">
        <v>2019</v>
      </c>
      <c r="E892" t="s">
        <v>6</v>
      </c>
      <c r="F892">
        <v>73.5</v>
      </c>
    </row>
    <row r="893" spans="1:6" x14ac:dyDescent="0.25">
      <c r="A893" t="s">
        <v>16</v>
      </c>
      <c r="B893" s="2">
        <v>43529</v>
      </c>
      <c r="C893">
        <v>2019</v>
      </c>
      <c r="E893" t="s">
        <v>6</v>
      </c>
      <c r="F893">
        <v>83.8</v>
      </c>
    </row>
    <row r="894" spans="1:6" x14ac:dyDescent="0.25">
      <c r="A894" t="s">
        <v>16</v>
      </c>
      <c r="B894" s="2">
        <v>43542</v>
      </c>
      <c r="C894">
        <v>2019</v>
      </c>
      <c r="E894" t="s">
        <v>6</v>
      </c>
      <c r="F894">
        <v>98.2</v>
      </c>
    </row>
    <row r="895" spans="1:6" x14ac:dyDescent="0.25">
      <c r="A895" t="s">
        <v>16</v>
      </c>
      <c r="B895" s="2">
        <v>43542</v>
      </c>
      <c r="C895">
        <v>2019</v>
      </c>
      <c r="E895" t="s">
        <v>6</v>
      </c>
      <c r="F895">
        <v>81.7</v>
      </c>
    </row>
    <row r="896" spans="1:6" x14ac:dyDescent="0.25">
      <c r="A896" t="s">
        <v>16</v>
      </c>
      <c r="B896" s="2">
        <v>43543</v>
      </c>
      <c r="C896">
        <v>2019</v>
      </c>
      <c r="E896" t="s">
        <v>6</v>
      </c>
      <c r="F896">
        <v>95.2</v>
      </c>
    </row>
    <row r="897" spans="1:6" x14ac:dyDescent="0.25">
      <c r="A897" t="s">
        <v>16</v>
      </c>
      <c r="B897" s="2">
        <v>43557</v>
      </c>
      <c r="C897">
        <v>2019</v>
      </c>
      <c r="E897" t="s">
        <v>6</v>
      </c>
      <c r="F897">
        <v>100.7</v>
      </c>
    </row>
    <row r="898" spans="1:6" x14ac:dyDescent="0.25">
      <c r="A898" t="s">
        <v>16</v>
      </c>
      <c r="B898" s="2">
        <v>43557</v>
      </c>
      <c r="C898">
        <v>2019</v>
      </c>
      <c r="E898" t="s">
        <v>6</v>
      </c>
      <c r="F898">
        <v>106</v>
      </c>
    </row>
    <row r="899" spans="1:6" x14ac:dyDescent="0.25">
      <c r="A899" t="s">
        <v>16</v>
      </c>
      <c r="B899" s="2">
        <v>43557</v>
      </c>
      <c r="C899">
        <v>2019</v>
      </c>
      <c r="E899" t="s">
        <v>6</v>
      </c>
      <c r="F899">
        <v>107.4</v>
      </c>
    </row>
    <row r="900" spans="1:6" x14ac:dyDescent="0.25">
      <c r="A900" t="s">
        <v>16</v>
      </c>
      <c r="B900" s="2">
        <v>43557</v>
      </c>
      <c r="C900">
        <v>2019</v>
      </c>
      <c r="E900" t="s">
        <v>6</v>
      </c>
      <c r="F900">
        <v>89.5</v>
      </c>
    </row>
    <row r="901" spans="1:6" x14ac:dyDescent="0.25">
      <c r="A901" t="s">
        <v>16</v>
      </c>
      <c r="B901" s="2">
        <v>43564</v>
      </c>
      <c r="C901">
        <v>2019</v>
      </c>
      <c r="E901" t="s">
        <v>6</v>
      </c>
      <c r="F901">
        <v>102.5</v>
      </c>
    </row>
    <row r="902" spans="1:6" x14ac:dyDescent="0.25">
      <c r="A902" t="s">
        <v>16</v>
      </c>
      <c r="B902" s="2">
        <v>43564</v>
      </c>
      <c r="C902">
        <v>2019</v>
      </c>
      <c r="E902" t="s">
        <v>6</v>
      </c>
      <c r="F902">
        <v>110.4</v>
      </c>
    </row>
    <row r="903" spans="1:6" x14ac:dyDescent="0.25">
      <c r="A903" t="s">
        <v>16</v>
      </c>
      <c r="B903" s="2">
        <v>43564</v>
      </c>
      <c r="C903">
        <v>2019</v>
      </c>
      <c r="E903" t="s">
        <v>6</v>
      </c>
      <c r="F903">
        <v>109</v>
      </c>
    </row>
    <row r="904" spans="1:6" x14ac:dyDescent="0.25">
      <c r="A904" t="s">
        <v>16</v>
      </c>
      <c r="B904" s="2">
        <v>43564</v>
      </c>
      <c r="C904">
        <v>2019</v>
      </c>
      <c r="E904" t="s">
        <v>6</v>
      </c>
      <c r="F904">
        <v>94.3</v>
      </c>
    </row>
    <row r="905" spans="1:6" x14ac:dyDescent="0.25">
      <c r="A905" t="s">
        <v>16</v>
      </c>
      <c r="B905" s="2">
        <v>43570</v>
      </c>
      <c r="C905">
        <v>2019</v>
      </c>
      <c r="E905" t="s">
        <v>6</v>
      </c>
      <c r="F905">
        <v>104.4</v>
      </c>
    </row>
    <row r="906" spans="1:6" x14ac:dyDescent="0.25">
      <c r="A906" t="s">
        <v>16</v>
      </c>
      <c r="B906" s="2">
        <v>43570</v>
      </c>
      <c r="C906">
        <v>2019</v>
      </c>
      <c r="E906" t="s">
        <v>6</v>
      </c>
      <c r="F906">
        <v>108</v>
      </c>
    </row>
    <row r="907" spans="1:6" x14ac:dyDescent="0.25">
      <c r="A907" t="s">
        <v>16</v>
      </c>
      <c r="B907" s="2">
        <v>43570</v>
      </c>
      <c r="C907">
        <v>2019</v>
      </c>
      <c r="E907" t="s">
        <v>6</v>
      </c>
      <c r="F907">
        <v>113.2</v>
      </c>
    </row>
    <row r="908" spans="1:6" x14ac:dyDescent="0.25">
      <c r="A908" t="s">
        <v>16</v>
      </c>
      <c r="B908" s="2">
        <v>43570</v>
      </c>
      <c r="C908">
        <v>2019</v>
      </c>
      <c r="E908" t="s">
        <v>6</v>
      </c>
      <c r="F908">
        <v>94.4</v>
      </c>
    </row>
    <row r="909" spans="1:6" x14ac:dyDescent="0.25">
      <c r="A909" t="s">
        <v>16</v>
      </c>
      <c r="B909" s="2">
        <v>43577</v>
      </c>
      <c r="C909">
        <v>2019</v>
      </c>
      <c r="E909" t="s">
        <v>6</v>
      </c>
      <c r="F909">
        <v>102.6</v>
      </c>
    </row>
    <row r="910" spans="1:6" x14ac:dyDescent="0.25">
      <c r="A910" t="s">
        <v>16</v>
      </c>
      <c r="B910" s="2">
        <v>43577</v>
      </c>
      <c r="C910">
        <v>2019</v>
      </c>
      <c r="E910" t="s">
        <v>6</v>
      </c>
      <c r="F910">
        <v>110.5</v>
      </c>
    </row>
    <row r="911" spans="1:6" x14ac:dyDescent="0.25">
      <c r="A911" t="s">
        <v>16</v>
      </c>
      <c r="B911" s="2">
        <v>43577</v>
      </c>
      <c r="C911">
        <v>2019</v>
      </c>
      <c r="E911" t="s">
        <v>6</v>
      </c>
      <c r="F911">
        <v>108.9</v>
      </c>
    </row>
    <row r="912" spans="1:6" x14ac:dyDescent="0.25">
      <c r="A912" t="s">
        <v>16</v>
      </c>
      <c r="B912" s="2">
        <v>43577</v>
      </c>
      <c r="C912">
        <v>2019</v>
      </c>
      <c r="E912" t="s">
        <v>6</v>
      </c>
      <c r="F912">
        <v>95</v>
      </c>
    </row>
    <row r="913" spans="1:6" x14ac:dyDescent="0.25">
      <c r="A913" t="s">
        <v>16</v>
      </c>
      <c r="B913" s="2">
        <v>43584</v>
      </c>
      <c r="C913">
        <v>2019</v>
      </c>
      <c r="E913" t="s">
        <v>6</v>
      </c>
      <c r="F913">
        <v>93.8</v>
      </c>
    </row>
    <row r="914" spans="1:6" x14ac:dyDescent="0.25">
      <c r="A914" t="s">
        <v>16</v>
      </c>
      <c r="B914" s="2">
        <v>43584</v>
      </c>
      <c r="C914">
        <v>2019</v>
      </c>
      <c r="E914" t="s">
        <v>6</v>
      </c>
      <c r="F914">
        <v>98.5</v>
      </c>
    </row>
    <row r="915" spans="1:6" x14ac:dyDescent="0.25">
      <c r="A915" t="s">
        <v>16</v>
      </c>
      <c r="B915" s="2">
        <v>43584</v>
      </c>
      <c r="C915">
        <v>2019</v>
      </c>
      <c r="E915" t="s">
        <v>6</v>
      </c>
      <c r="F915">
        <v>102.3</v>
      </c>
    </row>
    <row r="916" spans="1:6" x14ac:dyDescent="0.25">
      <c r="A916" t="s">
        <v>16</v>
      </c>
      <c r="B916" s="2">
        <v>43584</v>
      </c>
      <c r="C916">
        <v>2019</v>
      </c>
      <c r="E916" t="s">
        <v>6</v>
      </c>
      <c r="F916">
        <v>85.4</v>
      </c>
    </row>
    <row r="917" spans="1:6" x14ac:dyDescent="0.25">
      <c r="A917" t="s">
        <v>16</v>
      </c>
      <c r="B917" s="2">
        <v>43612</v>
      </c>
      <c r="C917">
        <v>2019</v>
      </c>
      <c r="E917" t="s">
        <v>6</v>
      </c>
      <c r="F917">
        <v>116.6</v>
      </c>
    </row>
    <row r="918" spans="1:6" x14ac:dyDescent="0.25">
      <c r="A918" t="s">
        <v>16</v>
      </c>
      <c r="B918" s="2">
        <v>43612</v>
      </c>
      <c r="C918">
        <v>2019</v>
      </c>
      <c r="E918" t="s">
        <v>6</v>
      </c>
      <c r="F918">
        <v>97.5</v>
      </c>
    </row>
    <row r="919" spans="1:6" x14ac:dyDescent="0.25">
      <c r="A919" t="s">
        <v>16</v>
      </c>
      <c r="B919" s="2">
        <v>43613</v>
      </c>
      <c r="C919">
        <v>2019</v>
      </c>
      <c r="E919" t="s">
        <v>6</v>
      </c>
      <c r="F919">
        <v>104.5</v>
      </c>
    </row>
    <row r="920" spans="1:6" x14ac:dyDescent="0.25">
      <c r="A920" t="s">
        <v>16</v>
      </c>
      <c r="B920" s="2">
        <v>43613</v>
      </c>
      <c r="C920">
        <v>2019</v>
      </c>
      <c r="E920" t="s">
        <v>6</v>
      </c>
      <c r="F920">
        <v>114</v>
      </c>
    </row>
    <row r="921" spans="1:6" x14ac:dyDescent="0.25">
      <c r="A921" t="s">
        <v>17</v>
      </c>
      <c r="B921" s="2">
        <v>43850</v>
      </c>
      <c r="C921">
        <v>2020</v>
      </c>
      <c r="E921" t="s">
        <v>6</v>
      </c>
      <c r="F921">
        <v>58.7</v>
      </c>
    </row>
    <row r="922" spans="1:6" x14ac:dyDescent="0.25">
      <c r="A922" t="s">
        <v>17</v>
      </c>
      <c r="B922" s="2">
        <v>43880</v>
      </c>
      <c r="C922">
        <v>2020</v>
      </c>
      <c r="E922" t="s">
        <v>6</v>
      </c>
      <c r="F922">
        <v>79.599999999999994</v>
      </c>
    </row>
    <row r="923" spans="1:6" x14ac:dyDescent="0.25">
      <c r="A923" t="s">
        <v>17</v>
      </c>
      <c r="B923" s="2">
        <v>43892</v>
      </c>
      <c r="C923">
        <v>2020</v>
      </c>
      <c r="E923" t="s">
        <v>6</v>
      </c>
      <c r="F923">
        <v>77.900000000000006</v>
      </c>
    </row>
    <row r="924" spans="1:6" x14ac:dyDescent="0.25">
      <c r="A924" t="s">
        <v>17</v>
      </c>
      <c r="B924" s="2">
        <v>43906</v>
      </c>
      <c r="C924">
        <v>2020</v>
      </c>
      <c r="E924" t="s">
        <v>6</v>
      </c>
      <c r="F924">
        <v>88</v>
      </c>
    </row>
    <row r="925" spans="1:6" x14ac:dyDescent="0.25">
      <c r="A925" t="s">
        <v>17</v>
      </c>
      <c r="B925" s="2">
        <v>43950</v>
      </c>
      <c r="C925">
        <v>2020</v>
      </c>
      <c r="E925" t="s">
        <v>6</v>
      </c>
      <c r="F925">
        <v>104.6</v>
      </c>
    </row>
    <row r="926" spans="1:6" x14ac:dyDescent="0.25">
      <c r="A926" t="s">
        <v>17</v>
      </c>
      <c r="B926" s="2">
        <v>43963</v>
      </c>
      <c r="C926">
        <v>2020</v>
      </c>
      <c r="E926" t="s">
        <v>6</v>
      </c>
      <c r="F926">
        <v>103.2</v>
      </c>
    </row>
    <row r="927" spans="1:6" x14ac:dyDescent="0.25">
      <c r="A927" t="s">
        <v>17</v>
      </c>
      <c r="B927" s="2">
        <v>43977</v>
      </c>
      <c r="C927">
        <v>2020</v>
      </c>
      <c r="E927" t="s">
        <v>6</v>
      </c>
      <c r="F927">
        <v>101.2</v>
      </c>
    </row>
    <row r="928" spans="1:6" x14ac:dyDescent="0.25">
      <c r="A928" t="s">
        <v>17</v>
      </c>
      <c r="B928" s="2">
        <v>43851</v>
      </c>
      <c r="C928">
        <v>2020</v>
      </c>
      <c r="E928" t="s">
        <v>6</v>
      </c>
      <c r="F928">
        <v>61.3</v>
      </c>
    </row>
    <row r="929" spans="1:6" x14ac:dyDescent="0.25">
      <c r="A929" t="s">
        <v>17</v>
      </c>
      <c r="B929" s="2">
        <v>43880</v>
      </c>
      <c r="C929">
        <v>2020</v>
      </c>
      <c r="E929" t="s">
        <v>6</v>
      </c>
      <c r="F929">
        <v>85.2</v>
      </c>
    </row>
    <row r="930" spans="1:6" x14ac:dyDescent="0.25">
      <c r="A930" t="s">
        <v>17</v>
      </c>
      <c r="B930" s="2">
        <v>43894</v>
      </c>
      <c r="C930">
        <v>2020</v>
      </c>
      <c r="E930" t="s">
        <v>6</v>
      </c>
      <c r="F930">
        <v>82.7</v>
      </c>
    </row>
    <row r="931" spans="1:6" x14ac:dyDescent="0.25">
      <c r="A931" t="s">
        <v>17</v>
      </c>
      <c r="B931" s="2">
        <v>43907</v>
      </c>
      <c r="C931">
        <v>2020</v>
      </c>
      <c r="E931" t="s">
        <v>6</v>
      </c>
      <c r="F931">
        <v>93</v>
      </c>
    </row>
    <row r="932" spans="1:6" x14ac:dyDescent="0.25">
      <c r="A932" t="s">
        <v>17</v>
      </c>
      <c r="B932" s="2">
        <v>43951</v>
      </c>
      <c r="C932">
        <v>2020</v>
      </c>
      <c r="E932" t="s">
        <v>6</v>
      </c>
      <c r="F932">
        <v>108</v>
      </c>
    </row>
    <row r="933" spans="1:6" x14ac:dyDescent="0.25">
      <c r="A933" t="s">
        <v>17</v>
      </c>
      <c r="B933" s="2">
        <v>43963</v>
      </c>
      <c r="C933">
        <v>2020</v>
      </c>
      <c r="E933" t="s">
        <v>6</v>
      </c>
      <c r="F933">
        <v>107.8</v>
      </c>
    </row>
    <row r="934" spans="1:6" x14ac:dyDescent="0.25">
      <c r="A934" t="s">
        <v>17</v>
      </c>
      <c r="B934" s="2">
        <v>43979</v>
      </c>
      <c r="C934">
        <v>2020</v>
      </c>
      <c r="E934" t="s">
        <v>6</v>
      </c>
      <c r="F934">
        <v>107.9</v>
      </c>
    </row>
    <row r="935" spans="1:6" x14ac:dyDescent="0.25">
      <c r="A935" t="s">
        <v>17</v>
      </c>
      <c r="B935" s="2">
        <v>43850</v>
      </c>
      <c r="C935">
        <v>2020</v>
      </c>
      <c r="E935" t="s">
        <v>6</v>
      </c>
      <c r="F935">
        <v>56.7</v>
      </c>
    </row>
    <row r="936" spans="1:6" x14ac:dyDescent="0.25">
      <c r="A936" t="s">
        <v>17</v>
      </c>
      <c r="B936" s="2">
        <v>43850</v>
      </c>
      <c r="C936">
        <v>2020</v>
      </c>
      <c r="E936" t="s">
        <v>6</v>
      </c>
      <c r="F936">
        <v>70.8</v>
      </c>
    </row>
    <row r="937" spans="1:6" x14ac:dyDescent="0.25">
      <c r="A937" t="s">
        <v>17</v>
      </c>
      <c r="B937" s="2">
        <v>43851</v>
      </c>
      <c r="C937">
        <v>2020</v>
      </c>
      <c r="E937" t="s">
        <v>6</v>
      </c>
      <c r="F937">
        <v>74.599999999999994</v>
      </c>
    </row>
    <row r="938" spans="1:6" x14ac:dyDescent="0.25">
      <c r="A938" t="s">
        <v>17</v>
      </c>
      <c r="B938" s="2">
        <v>43878</v>
      </c>
      <c r="C938">
        <v>2020</v>
      </c>
      <c r="E938" t="s">
        <v>6</v>
      </c>
      <c r="F938">
        <v>75.900000000000006</v>
      </c>
    </row>
    <row r="939" spans="1:6" x14ac:dyDescent="0.25">
      <c r="A939" t="s">
        <v>17</v>
      </c>
      <c r="B939" s="2">
        <v>43878</v>
      </c>
      <c r="C939">
        <v>2020</v>
      </c>
      <c r="E939" t="s">
        <v>6</v>
      </c>
      <c r="F939">
        <v>87.8</v>
      </c>
    </row>
    <row r="940" spans="1:6" x14ac:dyDescent="0.25">
      <c r="A940" t="s">
        <v>17</v>
      </c>
      <c r="B940" s="2">
        <v>43880</v>
      </c>
      <c r="C940">
        <v>2020</v>
      </c>
      <c r="E940" t="s">
        <v>6</v>
      </c>
      <c r="F940">
        <v>85.9</v>
      </c>
    </row>
    <row r="941" spans="1:6" x14ac:dyDescent="0.25">
      <c r="A941" t="s">
        <v>17</v>
      </c>
      <c r="B941" s="2">
        <v>43892</v>
      </c>
      <c r="C941">
        <v>2020</v>
      </c>
      <c r="E941" t="s">
        <v>6</v>
      </c>
      <c r="F941">
        <v>78.099999999999994</v>
      </c>
    </row>
    <row r="942" spans="1:6" x14ac:dyDescent="0.25">
      <c r="A942" t="s">
        <v>17</v>
      </c>
      <c r="B942" s="2">
        <v>43892</v>
      </c>
      <c r="C942">
        <v>2020</v>
      </c>
      <c r="E942" t="s">
        <v>6</v>
      </c>
      <c r="F942">
        <v>99.8</v>
      </c>
    </row>
    <row r="943" spans="1:6" x14ac:dyDescent="0.25">
      <c r="A943" t="s">
        <v>17</v>
      </c>
      <c r="B943" s="2">
        <v>43894</v>
      </c>
      <c r="C943">
        <v>2020</v>
      </c>
      <c r="E943" t="s">
        <v>6</v>
      </c>
      <c r="F943">
        <v>92.5</v>
      </c>
    </row>
    <row r="944" spans="1:6" x14ac:dyDescent="0.25">
      <c r="A944" t="s">
        <v>17</v>
      </c>
      <c r="B944" s="2">
        <v>43906</v>
      </c>
      <c r="C944">
        <v>2020</v>
      </c>
      <c r="E944" t="s">
        <v>6</v>
      </c>
      <c r="F944">
        <v>84.3</v>
      </c>
    </row>
    <row r="945" spans="1:6" x14ac:dyDescent="0.25">
      <c r="A945" t="s">
        <v>17</v>
      </c>
      <c r="B945" s="2">
        <v>43906</v>
      </c>
      <c r="C945">
        <v>2020</v>
      </c>
      <c r="E945" t="s">
        <v>6</v>
      </c>
      <c r="F945">
        <v>108.8</v>
      </c>
    </row>
    <row r="946" spans="1:6" x14ac:dyDescent="0.25">
      <c r="A946" t="s">
        <v>17</v>
      </c>
      <c r="B946" s="2">
        <v>43907</v>
      </c>
      <c r="C946">
        <v>2020</v>
      </c>
      <c r="E946" t="s">
        <v>6</v>
      </c>
      <c r="F946">
        <v>99.9</v>
      </c>
    </row>
    <row r="947" spans="1:6" x14ac:dyDescent="0.25">
      <c r="A947" t="s">
        <v>17</v>
      </c>
      <c r="B947" s="2">
        <v>43950</v>
      </c>
      <c r="C947">
        <v>2020</v>
      </c>
      <c r="E947" t="s">
        <v>6</v>
      </c>
      <c r="F947">
        <v>94.6</v>
      </c>
    </row>
    <row r="948" spans="1:6" x14ac:dyDescent="0.25">
      <c r="A948" t="s">
        <v>17</v>
      </c>
      <c r="B948" s="2">
        <v>43950</v>
      </c>
      <c r="C948">
        <v>2020</v>
      </c>
      <c r="E948" t="s">
        <v>6</v>
      </c>
      <c r="F948">
        <v>121.5</v>
      </c>
    </row>
    <row r="949" spans="1:6" x14ac:dyDescent="0.25">
      <c r="A949" t="s">
        <v>17</v>
      </c>
      <c r="B949" s="2">
        <v>43950</v>
      </c>
      <c r="C949">
        <v>2020</v>
      </c>
      <c r="E949" t="s">
        <v>6</v>
      </c>
      <c r="F949">
        <v>113.2</v>
      </c>
    </row>
    <row r="950" spans="1:6" x14ac:dyDescent="0.25">
      <c r="A950" t="s">
        <v>17</v>
      </c>
      <c r="B950" s="2">
        <v>43963</v>
      </c>
      <c r="C950">
        <v>2020</v>
      </c>
      <c r="E950" t="s">
        <v>6</v>
      </c>
      <c r="F950">
        <v>122.7</v>
      </c>
    </row>
    <row r="951" spans="1:6" x14ac:dyDescent="0.25">
      <c r="A951" t="s">
        <v>17</v>
      </c>
      <c r="B951" s="2">
        <v>43964</v>
      </c>
      <c r="C951">
        <v>2020</v>
      </c>
      <c r="E951" t="s">
        <v>6</v>
      </c>
      <c r="F951">
        <v>99.3</v>
      </c>
    </row>
    <row r="952" spans="1:6" x14ac:dyDescent="0.25">
      <c r="A952" t="s">
        <v>17</v>
      </c>
      <c r="B952" s="2">
        <v>43964</v>
      </c>
      <c r="C952">
        <v>2020</v>
      </c>
      <c r="E952" t="s">
        <v>6</v>
      </c>
      <c r="F952">
        <v>120.8</v>
      </c>
    </row>
    <row r="953" spans="1:6" x14ac:dyDescent="0.25">
      <c r="A953" t="s">
        <v>17</v>
      </c>
      <c r="B953" s="2">
        <v>43978</v>
      </c>
      <c r="C953">
        <v>2020</v>
      </c>
      <c r="E953" t="s">
        <v>6</v>
      </c>
      <c r="F953">
        <v>91.7</v>
      </c>
    </row>
    <row r="954" spans="1:6" x14ac:dyDescent="0.25">
      <c r="A954" t="s">
        <v>17</v>
      </c>
      <c r="B954" s="2">
        <v>43978</v>
      </c>
      <c r="C954">
        <v>2020</v>
      </c>
      <c r="E954" t="s">
        <v>6</v>
      </c>
      <c r="F954">
        <v>115.7</v>
      </c>
    </row>
    <row r="955" spans="1:6" x14ac:dyDescent="0.25">
      <c r="A955" t="s">
        <v>22</v>
      </c>
      <c r="B955" s="2">
        <v>43850</v>
      </c>
      <c r="C955">
        <v>2020</v>
      </c>
      <c r="E955" t="s">
        <v>10</v>
      </c>
      <c r="F955">
        <v>60.2</v>
      </c>
    </row>
    <row r="956" spans="1:6" x14ac:dyDescent="0.25">
      <c r="A956" t="s">
        <v>22</v>
      </c>
      <c r="B956" s="2">
        <v>43880</v>
      </c>
      <c r="C956">
        <v>2020</v>
      </c>
      <c r="E956" t="s">
        <v>10</v>
      </c>
      <c r="F956">
        <v>83.8</v>
      </c>
    </row>
    <row r="957" spans="1:6" x14ac:dyDescent="0.25">
      <c r="A957" t="s">
        <v>22</v>
      </c>
      <c r="B957" s="2">
        <v>43892</v>
      </c>
      <c r="C957">
        <v>2020</v>
      </c>
      <c r="E957" t="s">
        <v>10</v>
      </c>
      <c r="F957">
        <v>87.9</v>
      </c>
    </row>
    <row r="958" spans="1:6" x14ac:dyDescent="0.25">
      <c r="A958" t="s">
        <v>22</v>
      </c>
      <c r="B958" s="2">
        <v>43906</v>
      </c>
      <c r="C958">
        <v>2020</v>
      </c>
      <c r="E958" t="s">
        <v>10</v>
      </c>
      <c r="F958">
        <v>97.1</v>
      </c>
    </row>
    <row r="959" spans="1:6" x14ac:dyDescent="0.25">
      <c r="A959" t="s">
        <v>22</v>
      </c>
      <c r="B959" s="2">
        <v>43949</v>
      </c>
      <c r="C959">
        <v>2020</v>
      </c>
      <c r="E959" t="s">
        <v>10</v>
      </c>
      <c r="F959">
        <v>109.3</v>
      </c>
    </row>
    <row r="960" spans="1:6" x14ac:dyDescent="0.25">
      <c r="A960" t="s">
        <v>22</v>
      </c>
      <c r="B960" s="2">
        <v>43963</v>
      </c>
      <c r="C960">
        <v>2020</v>
      </c>
      <c r="E960" t="s">
        <v>10</v>
      </c>
      <c r="F960">
        <v>116.6</v>
      </c>
    </row>
    <row r="961" spans="1:6" x14ac:dyDescent="0.25">
      <c r="A961" t="s">
        <v>22</v>
      </c>
      <c r="B961" s="2">
        <v>43976</v>
      </c>
      <c r="C961">
        <v>2020</v>
      </c>
      <c r="E961" t="s">
        <v>10</v>
      </c>
      <c r="F961">
        <v>116.8</v>
      </c>
    </row>
    <row r="962" spans="1:6" x14ac:dyDescent="0.25">
      <c r="A962" t="s">
        <v>18</v>
      </c>
      <c r="B962" s="2">
        <v>44223</v>
      </c>
      <c r="C962">
        <v>2021</v>
      </c>
      <c r="E962" t="s">
        <v>6</v>
      </c>
      <c r="F962">
        <v>70.474939759999998</v>
      </c>
    </row>
    <row r="963" spans="1:6" x14ac:dyDescent="0.25">
      <c r="A963" t="s">
        <v>18</v>
      </c>
      <c r="B963" s="2">
        <v>44244</v>
      </c>
      <c r="C963">
        <v>2021</v>
      </c>
      <c r="E963" t="s">
        <v>6</v>
      </c>
      <c r="F963">
        <v>78.175444440000007</v>
      </c>
    </row>
    <row r="964" spans="1:6" x14ac:dyDescent="0.25">
      <c r="A964" t="s">
        <v>18</v>
      </c>
      <c r="B964" s="2">
        <v>44258</v>
      </c>
      <c r="C964">
        <v>2021</v>
      </c>
      <c r="E964" t="s">
        <v>6</v>
      </c>
      <c r="F964">
        <v>89.277777779999994</v>
      </c>
    </row>
    <row r="965" spans="1:6" x14ac:dyDescent="0.25">
      <c r="A965" t="s">
        <v>18</v>
      </c>
      <c r="B965" s="2">
        <v>44272</v>
      </c>
      <c r="C965">
        <v>2021</v>
      </c>
      <c r="E965" t="s">
        <v>6</v>
      </c>
      <c r="F965">
        <v>96.960333329999997</v>
      </c>
    </row>
    <row r="966" spans="1:6" x14ac:dyDescent="0.25">
      <c r="A966" t="s">
        <v>18</v>
      </c>
      <c r="B966" s="2">
        <v>44286</v>
      </c>
      <c r="C966">
        <v>2021</v>
      </c>
      <c r="E966" t="s">
        <v>6</v>
      </c>
      <c r="F966">
        <v>105.0482222</v>
      </c>
    </row>
    <row r="967" spans="1:6" x14ac:dyDescent="0.25">
      <c r="A967" t="s">
        <v>18</v>
      </c>
      <c r="B967" s="2">
        <v>44300</v>
      </c>
      <c r="C967">
        <v>2021</v>
      </c>
      <c r="E967" t="s">
        <v>6</v>
      </c>
      <c r="F967">
        <v>110.81411110000001</v>
      </c>
    </row>
    <row r="968" spans="1:6" x14ac:dyDescent="0.25">
      <c r="A968" t="s">
        <v>18</v>
      </c>
      <c r="B968" s="2">
        <v>44307</v>
      </c>
      <c r="C968">
        <v>2021</v>
      </c>
      <c r="E968" t="s">
        <v>6</v>
      </c>
      <c r="F968">
        <v>112.8977778</v>
      </c>
    </row>
    <row r="969" spans="1:6" x14ac:dyDescent="0.25">
      <c r="A969" t="s">
        <v>18</v>
      </c>
      <c r="B969" s="2">
        <v>44315</v>
      </c>
      <c r="C969">
        <v>2021</v>
      </c>
      <c r="E969" t="s">
        <v>6</v>
      </c>
      <c r="F969">
        <v>114.4113333</v>
      </c>
    </row>
    <row r="970" spans="1:6" x14ac:dyDescent="0.25">
      <c r="A970" t="s">
        <v>18</v>
      </c>
      <c r="B970" s="2">
        <v>44321</v>
      </c>
      <c r="C970">
        <v>2021</v>
      </c>
      <c r="E970" t="s">
        <v>6</v>
      </c>
      <c r="F970">
        <v>119.33077780000001</v>
      </c>
    </row>
    <row r="971" spans="1:6" x14ac:dyDescent="0.25">
      <c r="A971" t="s">
        <v>18</v>
      </c>
      <c r="B971" s="2">
        <v>44335</v>
      </c>
      <c r="C971">
        <v>2021</v>
      </c>
      <c r="E971" t="s">
        <v>6</v>
      </c>
      <c r="F971">
        <v>119.8372222</v>
      </c>
    </row>
    <row r="972" spans="1:6" x14ac:dyDescent="0.25">
      <c r="A972" t="s">
        <v>18</v>
      </c>
      <c r="B972" s="2">
        <v>44348</v>
      </c>
      <c r="C972">
        <v>2021</v>
      </c>
      <c r="E972" t="s">
        <v>6</v>
      </c>
      <c r="F972">
        <v>121.1773333</v>
      </c>
    </row>
    <row r="973" spans="1:6" x14ac:dyDescent="0.25">
      <c r="A973" t="s">
        <v>18</v>
      </c>
      <c r="B973" s="2">
        <v>44223</v>
      </c>
      <c r="C973">
        <v>2021</v>
      </c>
      <c r="E973" t="s">
        <v>6</v>
      </c>
      <c r="F973">
        <v>68.09566667</v>
      </c>
    </row>
    <row r="974" spans="1:6" x14ac:dyDescent="0.25">
      <c r="A974" t="s">
        <v>18</v>
      </c>
      <c r="B974" s="2">
        <v>44258</v>
      </c>
      <c r="C974">
        <v>2021</v>
      </c>
      <c r="E974" t="s">
        <v>6</v>
      </c>
      <c r="F974">
        <v>88.180795450000005</v>
      </c>
    </row>
    <row r="975" spans="1:6" x14ac:dyDescent="0.25">
      <c r="A975" t="s">
        <v>18</v>
      </c>
      <c r="B975" s="2">
        <v>44272</v>
      </c>
      <c r="C975">
        <v>2021</v>
      </c>
      <c r="E975" t="s">
        <v>6</v>
      </c>
      <c r="F975">
        <v>97.313999999999993</v>
      </c>
    </row>
    <row r="976" spans="1:6" x14ac:dyDescent="0.25">
      <c r="A976" t="s">
        <v>18</v>
      </c>
      <c r="B976" s="2">
        <v>44286</v>
      </c>
      <c r="C976">
        <v>2021</v>
      </c>
      <c r="E976" t="s">
        <v>6</v>
      </c>
      <c r="F976">
        <v>100.2647778</v>
      </c>
    </row>
    <row r="977" spans="1:6" x14ac:dyDescent="0.25">
      <c r="A977" t="s">
        <v>18</v>
      </c>
      <c r="B977" s="2">
        <v>44300</v>
      </c>
      <c r="C977">
        <v>2021</v>
      </c>
      <c r="E977" t="s">
        <v>6</v>
      </c>
      <c r="F977">
        <v>104.94333330000001</v>
      </c>
    </row>
    <row r="978" spans="1:6" x14ac:dyDescent="0.25">
      <c r="A978" t="s">
        <v>18</v>
      </c>
      <c r="B978" s="2">
        <v>44307</v>
      </c>
      <c r="C978">
        <v>2021</v>
      </c>
      <c r="E978" t="s">
        <v>6</v>
      </c>
      <c r="F978">
        <v>104.7833333</v>
      </c>
    </row>
    <row r="979" spans="1:6" x14ac:dyDescent="0.25">
      <c r="A979" t="s">
        <v>18</v>
      </c>
      <c r="B979" s="2">
        <v>44315</v>
      </c>
      <c r="C979">
        <v>2021</v>
      </c>
      <c r="E979" t="s">
        <v>6</v>
      </c>
      <c r="F979">
        <v>107.1852222</v>
      </c>
    </row>
    <row r="980" spans="1:6" x14ac:dyDescent="0.25">
      <c r="A980" t="s">
        <v>18</v>
      </c>
      <c r="B980" s="2">
        <v>44321</v>
      </c>
      <c r="C980">
        <v>2021</v>
      </c>
      <c r="E980" t="s">
        <v>6</v>
      </c>
      <c r="F980">
        <v>97.25755556</v>
      </c>
    </row>
    <row r="981" spans="1:6" x14ac:dyDescent="0.25">
      <c r="A981" t="s">
        <v>18</v>
      </c>
      <c r="B981" s="2">
        <v>44335</v>
      </c>
      <c r="C981">
        <v>2021</v>
      </c>
      <c r="E981" t="s">
        <v>6</v>
      </c>
      <c r="F981">
        <v>110.47156630000001</v>
      </c>
    </row>
    <row r="982" spans="1:6" x14ac:dyDescent="0.25">
      <c r="A982" t="s">
        <v>18</v>
      </c>
      <c r="B982" s="2">
        <v>44348</v>
      </c>
      <c r="C982">
        <v>2021</v>
      </c>
      <c r="E982" t="s">
        <v>6</v>
      </c>
      <c r="F982">
        <v>104.2146667</v>
      </c>
    </row>
    <row r="983" spans="1:6" x14ac:dyDescent="0.25">
      <c r="A983" t="s">
        <v>18</v>
      </c>
      <c r="B983" s="2">
        <v>44223</v>
      </c>
      <c r="C983">
        <v>2021</v>
      </c>
      <c r="E983" t="s">
        <v>6</v>
      </c>
      <c r="F983">
        <v>68.366222219999997</v>
      </c>
    </row>
    <row r="984" spans="1:6" x14ac:dyDescent="0.25">
      <c r="A984" t="s">
        <v>18</v>
      </c>
      <c r="B984" s="2">
        <v>44223</v>
      </c>
      <c r="C984">
        <v>2021</v>
      </c>
      <c r="E984" t="s">
        <v>6</v>
      </c>
      <c r="F984">
        <v>60.43444444</v>
      </c>
    </row>
    <row r="985" spans="1:6" x14ac:dyDescent="0.25">
      <c r="A985" t="s">
        <v>18</v>
      </c>
      <c r="B985" s="2">
        <v>44224</v>
      </c>
      <c r="C985">
        <v>2021</v>
      </c>
      <c r="E985" t="s">
        <v>6</v>
      </c>
      <c r="F985">
        <v>59.576333329999997</v>
      </c>
    </row>
    <row r="986" spans="1:6" x14ac:dyDescent="0.25">
      <c r="A986" t="s">
        <v>18</v>
      </c>
      <c r="B986" s="2">
        <v>44244</v>
      </c>
      <c r="C986">
        <v>2021</v>
      </c>
      <c r="E986" t="s">
        <v>6</v>
      </c>
      <c r="F986">
        <v>70.137222219999998</v>
      </c>
    </row>
    <row r="987" spans="1:6" x14ac:dyDescent="0.25">
      <c r="A987" t="s">
        <v>18</v>
      </c>
      <c r="B987" s="2">
        <v>44245</v>
      </c>
      <c r="C987">
        <v>2021</v>
      </c>
      <c r="E987" t="s">
        <v>6</v>
      </c>
      <c r="F987">
        <v>67.538888889999996</v>
      </c>
    </row>
    <row r="988" spans="1:6" x14ac:dyDescent="0.25">
      <c r="A988" t="s">
        <v>18</v>
      </c>
      <c r="B988" s="2">
        <v>44245</v>
      </c>
      <c r="C988">
        <v>2021</v>
      </c>
      <c r="E988" t="s">
        <v>6</v>
      </c>
      <c r="F988">
        <v>68.143777779999994</v>
      </c>
    </row>
    <row r="989" spans="1:6" x14ac:dyDescent="0.25">
      <c r="A989" t="s">
        <v>18</v>
      </c>
      <c r="B989" s="2">
        <v>44258</v>
      </c>
      <c r="C989">
        <v>2021</v>
      </c>
      <c r="E989" t="s">
        <v>6</v>
      </c>
      <c r="F989">
        <v>77.873333329999994</v>
      </c>
    </row>
    <row r="990" spans="1:6" x14ac:dyDescent="0.25">
      <c r="A990" t="s">
        <v>18</v>
      </c>
      <c r="B990" s="2">
        <v>44258</v>
      </c>
      <c r="C990">
        <v>2021</v>
      </c>
      <c r="E990" t="s">
        <v>6</v>
      </c>
      <c r="F990">
        <v>86.499777780000002</v>
      </c>
    </row>
    <row r="991" spans="1:6" x14ac:dyDescent="0.25">
      <c r="A991" t="s">
        <v>18</v>
      </c>
      <c r="B991" s="2">
        <v>44258</v>
      </c>
      <c r="C991">
        <v>2021</v>
      </c>
      <c r="E991" t="s">
        <v>6</v>
      </c>
      <c r="F991">
        <v>75.648222219999994</v>
      </c>
    </row>
    <row r="992" spans="1:6" x14ac:dyDescent="0.25">
      <c r="A992" t="s">
        <v>18</v>
      </c>
      <c r="B992" s="2">
        <v>44272</v>
      </c>
      <c r="C992">
        <v>2021</v>
      </c>
      <c r="E992" t="s">
        <v>6</v>
      </c>
      <c r="F992">
        <v>84.237333329999998</v>
      </c>
    </row>
    <row r="993" spans="1:6" x14ac:dyDescent="0.25">
      <c r="A993" t="s">
        <v>18</v>
      </c>
      <c r="B993" s="2">
        <v>44272</v>
      </c>
      <c r="C993">
        <v>2021</v>
      </c>
      <c r="E993" t="s">
        <v>6</v>
      </c>
      <c r="F993">
        <v>95.272444440000001</v>
      </c>
    </row>
    <row r="994" spans="1:6" x14ac:dyDescent="0.25">
      <c r="A994" t="s">
        <v>18</v>
      </c>
      <c r="B994" s="2">
        <v>44272</v>
      </c>
      <c r="C994">
        <v>2021</v>
      </c>
      <c r="E994" t="s">
        <v>6</v>
      </c>
      <c r="F994">
        <v>86.118555560000004</v>
      </c>
    </row>
    <row r="995" spans="1:6" x14ac:dyDescent="0.25">
      <c r="A995" t="s">
        <v>18</v>
      </c>
      <c r="B995" s="2">
        <v>44286</v>
      </c>
      <c r="C995">
        <v>2021</v>
      </c>
      <c r="E995" t="s">
        <v>6</v>
      </c>
      <c r="F995">
        <v>101.1565556</v>
      </c>
    </row>
    <row r="996" spans="1:6" x14ac:dyDescent="0.25">
      <c r="A996" t="s">
        <v>18</v>
      </c>
      <c r="B996" s="2">
        <v>44287</v>
      </c>
      <c r="C996">
        <v>2021</v>
      </c>
      <c r="E996" t="s">
        <v>6</v>
      </c>
      <c r="F996">
        <v>92.894333329999995</v>
      </c>
    </row>
    <row r="997" spans="1:6" x14ac:dyDescent="0.25">
      <c r="A997" t="s">
        <v>18</v>
      </c>
      <c r="B997" s="2">
        <v>44287</v>
      </c>
      <c r="C997">
        <v>2021</v>
      </c>
      <c r="E997" t="s">
        <v>6</v>
      </c>
      <c r="F997">
        <v>92.753333330000004</v>
      </c>
    </row>
    <row r="998" spans="1:6" x14ac:dyDescent="0.25">
      <c r="A998" t="s">
        <v>18</v>
      </c>
      <c r="B998" s="2">
        <v>44300</v>
      </c>
      <c r="C998">
        <v>2021</v>
      </c>
      <c r="E998" t="s">
        <v>6</v>
      </c>
      <c r="F998">
        <v>104.657</v>
      </c>
    </row>
    <row r="999" spans="1:6" x14ac:dyDescent="0.25">
      <c r="A999" t="s">
        <v>18</v>
      </c>
      <c r="B999" s="2">
        <v>44301</v>
      </c>
      <c r="C999">
        <v>2021</v>
      </c>
      <c r="E999" t="s">
        <v>6</v>
      </c>
      <c r="F999">
        <v>101.2516667</v>
      </c>
    </row>
    <row r="1000" spans="1:6" x14ac:dyDescent="0.25">
      <c r="A1000" t="s">
        <v>18</v>
      </c>
      <c r="B1000" s="2">
        <v>44301</v>
      </c>
      <c r="C1000">
        <v>2021</v>
      </c>
      <c r="E1000" t="s">
        <v>6</v>
      </c>
      <c r="F1000">
        <v>97.531000000000006</v>
      </c>
    </row>
    <row r="1001" spans="1:6" x14ac:dyDescent="0.25">
      <c r="A1001" t="s">
        <v>18</v>
      </c>
      <c r="B1001" s="2">
        <v>44307</v>
      </c>
      <c r="C1001">
        <v>2021</v>
      </c>
      <c r="E1001" t="s">
        <v>6</v>
      </c>
      <c r="F1001">
        <v>97.304888890000001</v>
      </c>
    </row>
    <row r="1002" spans="1:6" x14ac:dyDescent="0.25">
      <c r="A1002" t="s">
        <v>18</v>
      </c>
      <c r="B1002" s="2">
        <v>44307</v>
      </c>
      <c r="C1002">
        <v>2021</v>
      </c>
      <c r="E1002" t="s">
        <v>6</v>
      </c>
      <c r="F1002">
        <v>110.3821111</v>
      </c>
    </row>
    <row r="1003" spans="1:6" x14ac:dyDescent="0.25">
      <c r="A1003" t="s">
        <v>18</v>
      </c>
      <c r="B1003" s="2">
        <v>44307</v>
      </c>
      <c r="C1003">
        <v>2021</v>
      </c>
      <c r="E1003" t="s">
        <v>6</v>
      </c>
      <c r="F1003">
        <v>101.0704444</v>
      </c>
    </row>
    <row r="1004" spans="1:6" x14ac:dyDescent="0.25">
      <c r="A1004" t="s">
        <v>18</v>
      </c>
      <c r="B1004" s="2">
        <v>44315</v>
      </c>
      <c r="C1004">
        <v>2021</v>
      </c>
      <c r="E1004" t="s">
        <v>6</v>
      </c>
      <c r="F1004">
        <v>110.3692222</v>
      </c>
    </row>
    <row r="1005" spans="1:6" x14ac:dyDescent="0.25">
      <c r="A1005" t="s">
        <v>18</v>
      </c>
      <c r="B1005" s="2">
        <v>44316</v>
      </c>
      <c r="C1005">
        <v>2021</v>
      </c>
      <c r="E1005" t="s">
        <v>6</v>
      </c>
      <c r="F1005">
        <v>97.827444439999994</v>
      </c>
    </row>
    <row r="1006" spans="1:6" x14ac:dyDescent="0.25">
      <c r="A1006" t="s">
        <v>18</v>
      </c>
      <c r="B1006" s="2">
        <v>44316</v>
      </c>
      <c r="C1006">
        <v>2021</v>
      </c>
      <c r="E1006" t="s">
        <v>6</v>
      </c>
      <c r="F1006">
        <v>98.942444440000003</v>
      </c>
    </row>
    <row r="1007" spans="1:6" x14ac:dyDescent="0.25">
      <c r="A1007" t="s">
        <v>18</v>
      </c>
      <c r="B1007" s="2">
        <v>44321</v>
      </c>
      <c r="C1007">
        <v>2021</v>
      </c>
      <c r="E1007" t="s">
        <v>6</v>
      </c>
      <c r="F1007">
        <v>109.3193333</v>
      </c>
    </row>
    <row r="1008" spans="1:6" x14ac:dyDescent="0.25">
      <c r="A1008" t="s">
        <v>18</v>
      </c>
      <c r="B1008" s="2">
        <v>44322</v>
      </c>
      <c r="C1008">
        <v>2021</v>
      </c>
      <c r="E1008" t="s">
        <v>6</v>
      </c>
      <c r="F1008">
        <v>97.286555559999996</v>
      </c>
    </row>
    <row r="1009" spans="1:6" x14ac:dyDescent="0.25">
      <c r="A1009" t="s">
        <v>18</v>
      </c>
      <c r="B1009" s="2">
        <v>44322</v>
      </c>
      <c r="C1009">
        <v>2021</v>
      </c>
      <c r="E1009" t="s">
        <v>6</v>
      </c>
      <c r="F1009">
        <v>104.60788890000001</v>
      </c>
    </row>
    <row r="1010" spans="1:6" x14ac:dyDescent="0.25">
      <c r="A1010" t="s">
        <v>18</v>
      </c>
      <c r="B1010" s="2">
        <v>44335</v>
      </c>
      <c r="C1010">
        <v>2021</v>
      </c>
      <c r="E1010" t="s">
        <v>6</v>
      </c>
      <c r="F1010">
        <v>113.8327778</v>
      </c>
    </row>
    <row r="1011" spans="1:6" x14ac:dyDescent="0.25">
      <c r="A1011" t="s">
        <v>18</v>
      </c>
      <c r="B1011" s="2">
        <v>44336</v>
      </c>
      <c r="C1011">
        <v>2021</v>
      </c>
      <c r="E1011" t="s">
        <v>6</v>
      </c>
      <c r="F1011">
        <v>97.199777780000005</v>
      </c>
    </row>
    <row r="1012" spans="1:6" x14ac:dyDescent="0.25">
      <c r="A1012" t="s">
        <v>18</v>
      </c>
      <c r="B1012" s="2">
        <v>44336</v>
      </c>
      <c r="C1012">
        <v>2021</v>
      </c>
      <c r="E1012" t="s">
        <v>6</v>
      </c>
      <c r="F1012">
        <v>109.16333330000001</v>
      </c>
    </row>
    <row r="1013" spans="1:6" x14ac:dyDescent="0.25">
      <c r="A1013" t="s">
        <v>18</v>
      </c>
      <c r="B1013" s="2">
        <v>44348</v>
      </c>
      <c r="C1013">
        <v>2021</v>
      </c>
      <c r="E1013" t="s">
        <v>6</v>
      </c>
      <c r="F1013">
        <v>115.5402222</v>
      </c>
    </row>
    <row r="1014" spans="1:6" x14ac:dyDescent="0.25">
      <c r="A1014" t="s">
        <v>18</v>
      </c>
      <c r="B1014" s="2">
        <v>44349</v>
      </c>
      <c r="C1014">
        <v>2021</v>
      </c>
      <c r="E1014" t="s">
        <v>6</v>
      </c>
      <c r="F1014">
        <v>97.870111109999996</v>
      </c>
    </row>
    <row r="1015" spans="1:6" x14ac:dyDescent="0.25">
      <c r="A1015" t="s">
        <v>18</v>
      </c>
      <c r="B1015" s="2">
        <v>44349</v>
      </c>
      <c r="C1015">
        <v>2021</v>
      </c>
      <c r="E1015" t="s">
        <v>6</v>
      </c>
      <c r="F1015">
        <v>102.58633330000001</v>
      </c>
    </row>
    <row r="1016" spans="1:6" x14ac:dyDescent="0.25">
      <c r="A1016" t="s">
        <v>23</v>
      </c>
      <c r="B1016" s="2">
        <v>44221</v>
      </c>
      <c r="C1016">
        <v>2021</v>
      </c>
      <c r="E1016" t="s">
        <v>10</v>
      </c>
      <c r="F1016">
        <v>66.148111110000002</v>
      </c>
    </row>
    <row r="1017" spans="1:6" x14ac:dyDescent="0.25">
      <c r="A1017" t="s">
        <v>23</v>
      </c>
      <c r="B1017" s="2">
        <v>44245</v>
      </c>
      <c r="C1017">
        <v>2021</v>
      </c>
      <c r="E1017" t="s">
        <v>10</v>
      </c>
      <c r="F1017">
        <v>78.188777779999995</v>
      </c>
    </row>
    <row r="1018" spans="1:6" x14ac:dyDescent="0.25">
      <c r="A1018" t="s">
        <v>23</v>
      </c>
      <c r="B1018" s="2">
        <v>44256</v>
      </c>
      <c r="C1018">
        <v>2021</v>
      </c>
      <c r="E1018" t="s">
        <v>10</v>
      </c>
      <c r="F1018">
        <v>85.639222219999994</v>
      </c>
    </row>
    <row r="1019" spans="1:6" x14ac:dyDescent="0.25">
      <c r="A1019" t="s">
        <v>23</v>
      </c>
      <c r="B1019" s="2">
        <v>44271</v>
      </c>
      <c r="C1019">
        <v>2021</v>
      </c>
      <c r="E1019" t="s">
        <v>10</v>
      </c>
      <c r="F1019">
        <v>91.981555560000004</v>
      </c>
    </row>
    <row r="1020" spans="1:6" x14ac:dyDescent="0.25">
      <c r="A1020" t="s">
        <v>23</v>
      </c>
      <c r="B1020" s="2">
        <v>44284</v>
      </c>
      <c r="C1020">
        <v>2021</v>
      </c>
      <c r="E1020" t="s">
        <v>10</v>
      </c>
      <c r="F1020">
        <v>96.656555560000001</v>
      </c>
    </row>
    <row r="1021" spans="1:6" x14ac:dyDescent="0.25">
      <c r="A1021" t="s">
        <v>23</v>
      </c>
      <c r="B1021" s="2">
        <v>44298</v>
      </c>
      <c r="C1021">
        <v>2021</v>
      </c>
      <c r="E1021" t="s">
        <v>10</v>
      </c>
      <c r="F1021">
        <v>102.13188890000001</v>
      </c>
    </row>
    <row r="1022" spans="1:6" x14ac:dyDescent="0.25">
      <c r="A1022" t="s">
        <v>23</v>
      </c>
      <c r="B1022" s="2">
        <v>44307</v>
      </c>
      <c r="C1022">
        <v>2021</v>
      </c>
      <c r="E1022" t="s">
        <v>10</v>
      </c>
      <c r="F1022">
        <v>106.438</v>
      </c>
    </row>
    <row r="1023" spans="1:6" x14ac:dyDescent="0.25">
      <c r="A1023" t="s">
        <v>23</v>
      </c>
      <c r="B1023" s="2">
        <v>44315</v>
      </c>
      <c r="C1023">
        <v>2021</v>
      </c>
      <c r="E1023" t="s">
        <v>10</v>
      </c>
      <c r="F1023">
        <v>114.3467778</v>
      </c>
    </row>
    <row r="1024" spans="1:6" x14ac:dyDescent="0.25">
      <c r="A1024" t="s">
        <v>23</v>
      </c>
      <c r="B1024" s="2">
        <v>44321</v>
      </c>
      <c r="C1024">
        <v>2021</v>
      </c>
      <c r="E1024" t="s">
        <v>10</v>
      </c>
      <c r="F1024">
        <v>108.5084444</v>
      </c>
    </row>
    <row r="1025" spans="1:6" x14ac:dyDescent="0.25">
      <c r="A1025" t="s">
        <v>23</v>
      </c>
      <c r="B1025" s="2">
        <v>44333</v>
      </c>
      <c r="C1025">
        <v>2021</v>
      </c>
      <c r="E1025" t="s">
        <v>10</v>
      </c>
      <c r="F1025">
        <v>110.1386667</v>
      </c>
    </row>
    <row r="1026" spans="1:6" x14ac:dyDescent="0.25">
      <c r="A1026" t="s">
        <v>23</v>
      </c>
      <c r="B1026" s="2">
        <v>44347</v>
      </c>
      <c r="C1026">
        <v>2021</v>
      </c>
      <c r="E1026" t="s">
        <v>10</v>
      </c>
      <c r="F1026">
        <v>114.625</v>
      </c>
    </row>
    <row r="1027" spans="1:6" x14ac:dyDescent="0.25">
      <c r="A1027" t="s">
        <v>19</v>
      </c>
      <c r="B1027" s="2">
        <v>44603</v>
      </c>
      <c r="C1027">
        <v>2022</v>
      </c>
      <c r="D1027" s="2"/>
      <c r="E1027" t="s">
        <v>6</v>
      </c>
      <c r="F1027">
        <v>65.7</v>
      </c>
    </row>
    <row r="1028" spans="1:6" x14ac:dyDescent="0.25">
      <c r="A1028" t="s">
        <v>19</v>
      </c>
      <c r="B1028" s="2">
        <v>44608</v>
      </c>
      <c r="C1028">
        <v>2022</v>
      </c>
      <c r="E1028" t="s">
        <v>6</v>
      </c>
      <c r="F1028">
        <v>77</v>
      </c>
    </row>
    <row r="1029" spans="1:6" x14ac:dyDescent="0.25">
      <c r="A1029" t="s">
        <v>19</v>
      </c>
      <c r="B1029" s="2">
        <v>44622</v>
      </c>
      <c r="C1029">
        <v>2022</v>
      </c>
      <c r="E1029" t="s">
        <v>6</v>
      </c>
      <c r="F1029">
        <v>108.9</v>
      </c>
    </row>
    <row r="1030" spans="1:6" x14ac:dyDescent="0.25">
      <c r="A1030" t="s">
        <v>19</v>
      </c>
      <c r="B1030" s="2">
        <v>44636</v>
      </c>
      <c r="C1030">
        <v>2022</v>
      </c>
      <c r="E1030" t="s">
        <v>6</v>
      </c>
      <c r="F1030">
        <v>87.8</v>
      </c>
    </row>
    <row r="1031" spans="1:6" x14ac:dyDescent="0.25">
      <c r="A1031" t="s">
        <v>19</v>
      </c>
      <c r="B1031" s="2">
        <v>44650</v>
      </c>
      <c r="C1031">
        <v>2022</v>
      </c>
      <c r="E1031" t="s">
        <v>6</v>
      </c>
      <c r="F1031">
        <v>92</v>
      </c>
    </row>
    <row r="1032" spans="1:6" x14ac:dyDescent="0.25">
      <c r="A1032" t="s">
        <v>19</v>
      </c>
      <c r="B1032" s="2">
        <v>44664</v>
      </c>
      <c r="C1032">
        <v>2022</v>
      </c>
      <c r="E1032" t="s">
        <v>6</v>
      </c>
      <c r="F1032">
        <v>100</v>
      </c>
    </row>
    <row r="1033" spans="1:6" x14ac:dyDescent="0.25">
      <c r="A1033" t="s">
        <v>19</v>
      </c>
      <c r="B1033" s="2">
        <v>44672</v>
      </c>
      <c r="C1033">
        <v>2022</v>
      </c>
      <c r="E1033" t="s">
        <v>6</v>
      </c>
      <c r="F1033">
        <v>102.7</v>
      </c>
    </row>
    <row r="1034" spans="1:6" x14ac:dyDescent="0.25">
      <c r="A1034" t="s">
        <v>19</v>
      </c>
      <c r="B1034" s="2">
        <v>44680</v>
      </c>
      <c r="C1034">
        <v>2022</v>
      </c>
      <c r="E1034" t="s">
        <v>6</v>
      </c>
      <c r="F1034">
        <v>102.5</v>
      </c>
    </row>
    <row r="1035" spans="1:6" x14ac:dyDescent="0.25">
      <c r="A1035" t="s">
        <v>19</v>
      </c>
      <c r="B1035" s="2">
        <v>44685</v>
      </c>
      <c r="C1035">
        <v>2022</v>
      </c>
      <c r="E1035" t="s">
        <v>6</v>
      </c>
      <c r="F1035">
        <v>105.9</v>
      </c>
    </row>
    <row r="1036" spans="1:6" x14ac:dyDescent="0.25">
      <c r="A1036" t="s">
        <v>19</v>
      </c>
      <c r="B1036" s="2">
        <v>44699</v>
      </c>
      <c r="C1036">
        <v>2022</v>
      </c>
      <c r="E1036" t="s">
        <v>6</v>
      </c>
      <c r="F1036">
        <v>110.1</v>
      </c>
    </row>
    <row r="1037" spans="1:6" x14ac:dyDescent="0.25">
      <c r="A1037" t="s">
        <v>19</v>
      </c>
      <c r="B1037" s="2">
        <v>44713</v>
      </c>
      <c r="C1037">
        <v>2022</v>
      </c>
      <c r="E1037" t="s">
        <v>6</v>
      </c>
      <c r="F1037">
        <v>108.5</v>
      </c>
    </row>
    <row r="1038" spans="1:6" x14ac:dyDescent="0.25">
      <c r="A1038" t="s">
        <v>19</v>
      </c>
      <c r="B1038" s="2">
        <v>44595</v>
      </c>
      <c r="C1038">
        <v>2022</v>
      </c>
      <c r="E1038" t="s">
        <v>6</v>
      </c>
      <c r="F1038">
        <v>82.8</v>
      </c>
    </row>
    <row r="1039" spans="1:6" x14ac:dyDescent="0.25">
      <c r="A1039" t="s">
        <v>19</v>
      </c>
      <c r="B1039" s="2">
        <v>44608</v>
      </c>
      <c r="C1039">
        <v>2022</v>
      </c>
      <c r="E1039" t="s">
        <v>6</v>
      </c>
      <c r="F1039">
        <v>96.5</v>
      </c>
    </row>
    <row r="1040" spans="1:6" x14ac:dyDescent="0.25">
      <c r="A1040" t="s">
        <v>19</v>
      </c>
      <c r="B1040" s="2">
        <v>44622</v>
      </c>
      <c r="C1040">
        <v>2022</v>
      </c>
      <c r="E1040" t="s">
        <v>6</v>
      </c>
      <c r="F1040">
        <v>109</v>
      </c>
    </row>
    <row r="1041" spans="1:6" x14ac:dyDescent="0.25">
      <c r="A1041" t="s">
        <v>19</v>
      </c>
      <c r="B1041" s="2">
        <v>44636</v>
      </c>
      <c r="C1041">
        <v>2022</v>
      </c>
      <c r="E1041" t="s">
        <v>6</v>
      </c>
      <c r="F1041">
        <v>118.6</v>
      </c>
    </row>
    <row r="1042" spans="1:6" x14ac:dyDescent="0.25">
      <c r="A1042" t="s">
        <v>19</v>
      </c>
      <c r="B1042" s="2">
        <v>44650</v>
      </c>
      <c r="C1042">
        <v>2022</v>
      </c>
      <c r="E1042" t="s">
        <v>6</v>
      </c>
      <c r="F1042">
        <v>122</v>
      </c>
    </row>
    <row r="1043" spans="1:6" x14ac:dyDescent="0.25">
      <c r="A1043" t="s">
        <v>19</v>
      </c>
      <c r="B1043" s="2">
        <v>44664</v>
      </c>
      <c r="C1043">
        <v>2022</v>
      </c>
      <c r="E1043" t="s">
        <v>6</v>
      </c>
      <c r="F1043">
        <v>130.69999999999999</v>
      </c>
    </row>
    <row r="1044" spans="1:6" x14ac:dyDescent="0.25">
      <c r="A1044" t="s">
        <v>19</v>
      </c>
      <c r="B1044" s="2">
        <v>44672</v>
      </c>
      <c r="C1044">
        <v>2022</v>
      </c>
      <c r="E1044" t="s">
        <v>6</v>
      </c>
      <c r="F1044">
        <v>130.80000000000001</v>
      </c>
    </row>
    <row r="1045" spans="1:6" x14ac:dyDescent="0.25">
      <c r="A1045" t="s">
        <v>19</v>
      </c>
      <c r="B1045" s="2">
        <v>44680</v>
      </c>
      <c r="C1045">
        <v>2022</v>
      </c>
      <c r="E1045" t="s">
        <v>6</v>
      </c>
      <c r="F1045">
        <v>131.6</v>
      </c>
    </row>
    <row r="1046" spans="1:6" x14ac:dyDescent="0.25">
      <c r="A1046" t="s">
        <v>19</v>
      </c>
      <c r="B1046" s="2">
        <v>44685</v>
      </c>
      <c r="C1046">
        <v>2022</v>
      </c>
      <c r="E1046" t="s">
        <v>6</v>
      </c>
      <c r="F1046">
        <v>134.6</v>
      </c>
    </row>
    <row r="1047" spans="1:6" x14ac:dyDescent="0.25">
      <c r="A1047" t="s">
        <v>19</v>
      </c>
      <c r="B1047" s="2">
        <v>44699</v>
      </c>
      <c r="C1047">
        <v>2022</v>
      </c>
      <c r="E1047" t="s">
        <v>6</v>
      </c>
      <c r="F1047">
        <v>134.80000000000001</v>
      </c>
    </row>
    <row r="1048" spans="1:6" x14ac:dyDescent="0.25">
      <c r="A1048" t="s">
        <v>19</v>
      </c>
      <c r="B1048" s="2">
        <v>44713</v>
      </c>
      <c r="C1048">
        <v>2022</v>
      </c>
      <c r="E1048" t="s">
        <v>6</v>
      </c>
      <c r="F1048">
        <v>134.30000000000001</v>
      </c>
    </row>
    <row r="1049" spans="1:6" x14ac:dyDescent="0.25">
      <c r="A1049" t="s">
        <v>19</v>
      </c>
      <c r="B1049" s="2">
        <v>44595</v>
      </c>
      <c r="C1049">
        <v>2022</v>
      </c>
      <c r="D1049" s="2"/>
      <c r="E1049" t="s">
        <v>6</v>
      </c>
      <c r="F1049">
        <v>73.099999999999994</v>
      </c>
    </row>
    <row r="1050" spans="1:6" x14ac:dyDescent="0.25">
      <c r="A1050" t="s">
        <v>19</v>
      </c>
      <c r="B1050" s="2">
        <v>44608</v>
      </c>
      <c r="C1050">
        <v>2022</v>
      </c>
      <c r="E1050" t="s">
        <v>6</v>
      </c>
      <c r="F1050">
        <v>85.9</v>
      </c>
    </row>
    <row r="1051" spans="1:6" x14ac:dyDescent="0.25">
      <c r="A1051" t="s">
        <v>19</v>
      </c>
      <c r="B1051" s="2">
        <v>44622</v>
      </c>
      <c r="C1051">
        <v>2022</v>
      </c>
      <c r="E1051" t="s">
        <v>6</v>
      </c>
      <c r="F1051">
        <v>91</v>
      </c>
    </row>
    <row r="1052" spans="1:6" x14ac:dyDescent="0.25">
      <c r="A1052" t="s">
        <v>19</v>
      </c>
      <c r="B1052" s="2">
        <v>44636</v>
      </c>
      <c r="C1052">
        <v>2022</v>
      </c>
      <c r="E1052" t="s">
        <v>6</v>
      </c>
      <c r="F1052">
        <v>102.2</v>
      </c>
    </row>
    <row r="1053" spans="1:6" x14ac:dyDescent="0.25">
      <c r="A1053" t="s">
        <v>19</v>
      </c>
      <c r="B1053" s="2">
        <v>44650</v>
      </c>
      <c r="C1053">
        <v>2022</v>
      </c>
      <c r="E1053" t="s">
        <v>6</v>
      </c>
      <c r="F1053">
        <v>107.1</v>
      </c>
    </row>
    <row r="1054" spans="1:6" x14ac:dyDescent="0.25">
      <c r="A1054" t="s">
        <v>19</v>
      </c>
      <c r="B1054" s="2">
        <v>44664</v>
      </c>
      <c r="C1054">
        <v>2022</v>
      </c>
      <c r="E1054" t="s">
        <v>6</v>
      </c>
      <c r="F1054">
        <v>113.7</v>
      </c>
    </row>
    <row r="1055" spans="1:6" x14ac:dyDescent="0.25">
      <c r="A1055" t="s">
        <v>19</v>
      </c>
      <c r="B1055" s="2">
        <v>44673</v>
      </c>
      <c r="C1055">
        <v>2022</v>
      </c>
      <c r="E1055" t="s">
        <v>6</v>
      </c>
      <c r="F1055">
        <v>111.4</v>
      </c>
    </row>
    <row r="1056" spans="1:6" x14ac:dyDescent="0.25">
      <c r="A1056" t="s">
        <v>19</v>
      </c>
      <c r="B1056" s="2">
        <v>44680</v>
      </c>
      <c r="C1056">
        <v>2022</v>
      </c>
      <c r="E1056" t="s">
        <v>6</v>
      </c>
      <c r="F1056">
        <v>118.6</v>
      </c>
    </row>
    <row r="1057" spans="1:6" x14ac:dyDescent="0.25">
      <c r="A1057" t="s">
        <v>19</v>
      </c>
      <c r="B1057" s="2">
        <v>44685</v>
      </c>
      <c r="C1057">
        <v>2022</v>
      </c>
      <c r="E1057" t="s">
        <v>6</v>
      </c>
      <c r="F1057">
        <v>120.7</v>
      </c>
    </row>
    <row r="1058" spans="1:6" x14ac:dyDescent="0.25">
      <c r="A1058" t="s">
        <v>19</v>
      </c>
      <c r="B1058" s="2">
        <v>44699</v>
      </c>
      <c r="C1058">
        <v>2022</v>
      </c>
      <c r="E1058" t="s">
        <v>6</v>
      </c>
      <c r="F1058">
        <v>127</v>
      </c>
    </row>
    <row r="1059" spans="1:6" x14ac:dyDescent="0.25">
      <c r="A1059" t="s">
        <v>19</v>
      </c>
      <c r="B1059" s="2">
        <v>44713</v>
      </c>
      <c r="C1059">
        <v>2022</v>
      </c>
      <c r="E1059" t="s">
        <v>6</v>
      </c>
      <c r="F1059">
        <v>126.8</v>
      </c>
    </row>
    <row r="1060" spans="1:6" x14ac:dyDescent="0.25">
      <c r="A1060" t="s">
        <v>19</v>
      </c>
      <c r="B1060" s="2">
        <v>44595</v>
      </c>
      <c r="C1060">
        <v>2022</v>
      </c>
      <c r="E1060" t="s">
        <v>6</v>
      </c>
      <c r="F1060">
        <v>69.599999999999994</v>
      </c>
    </row>
    <row r="1061" spans="1:6" x14ac:dyDescent="0.25">
      <c r="A1061" t="s">
        <v>19</v>
      </c>
      <c r="B1061" s="2">
        <v>44608</v>
      </c>
      <c r="C1061">
        <v>2022</v>
      </c>
      <c r="E1061" t="s">
        <v>6</v>
      </c>
      <c r="F1061">
        <v>80.2</v>
      </c>
    </row>
    <row r="1062" spans="1:6" x14ac:dyDescent="0.25">
      <c r="A1062" t="s">
        <v>19</v>
      </c>
      <c r="B1062" s="2">
        <v>44622</v>
      </c>
      <c r="C1062">
        <v>2022</v>
      </c>
      <c r="E1062" t="s">
        <v>6</v>
      </c>
      <c r="F1062">
        <v>85.8</v>
      </c>
    </row>
    <row r="1063" spans="1:6" x14ac:dyDescent="0.25">
      <c r="A1063" t="s">
        <v>19</v>
      </c>
      <c r="B1063" s="2">
        <v>44636</v>
      </c>
      <c r="C1063">
        <v>2022</v>
      </c>
      <c r="E1063" t="s">
        <v>6</v>
      </c>
      <c r="F1063">
        <v>96.4</v>
      </c>
    </row>
    <row r="1064" spans="1:6" x14ac:dyDescent="0.25">
      <c r="A1064" t="s">
        <v>19</v>
      </c>
      <c r="B1064" s="2">
        <v>44650</v>
      </c>
      <c r="C1064">
        <v>2022</v>
      </c>
      <c r="E1064" t="s">
        <v>6</v>
      </c>
      <c r="F1064">
        <v>106.7</v>
      </c>
    </row>
    <row r="1065" spans="1:6" x14ac:dyDescent="0.25">
      <c r="A1065" t="s">
        <v>19</v>
      </c>
      <c r="B1065" s="2">
        <v>44664</v>
      </c>
      <c r="C1065">
        <v>2022</v>
      </c>
      <c r="E1065" t="s">
        <v>6</v>
      </c>
      <c r="F1065">
        <v>114</v>
      </c>
    </row>
    <row r="1066" spans="1:6" x14ac:dyDescent="0.25">
      <c r="A1066" t="s">
        <v>19</v>
      </c>
      <c r="B1066" s="2">
        <v>44673</v>
      </c>
      <c r="C1066">
        <v>2022</v>
      </c>
      <c r="E1066" t="s">
        <v>6</v>
      </c>
      <c r="F1066">
        <v>111.3</v>
      </c>
    </row>
    <row r="1067" spans="1:6" x14ac:dyDescent="0.25">
      <c r="A1067" t="s">
        <v>19</v>
      </c>
      <c r="B1067" s="2">
        <v>44680</v>
      </c>
      <c r="C1067">
        <v>2022</v>
      </c>
      <c r="E1067" t="s">
        <v>6</v>
      </c>
      <c r="F1067">
        <v>109.8</v>
      </c>
    </row>
    <row r="1068" spans="1:6" x14ac:dyDescent="0.25">
      <c r="A1068" t="s">
        <v>19</v>
      </c>
      <c r="B1068" s="2">
        <v>44685</v>
      </c>
      <c r="C1068">
        <v>2022</v>
      </c>
      <c r="E1068" t="s">
        <v>6</v>
      </c>
      <c r="F1068">
        <v>112.7</v>
      </c>
    </row>
    <row r="1069" spans="1:6" x14ac:dyDescent="0.25">
      <c r="A1069" t="s">
        <v>19</v>
      </c>
      <c r="B1069" s="2">
        <v>44699</v>
      </c>
      <c r="C1069">
        <v>2022</v>
      </c>
      <c r="E1069" t="s">
        <v>6</v>
      </c>
      <c r="F1069">
        <v>115.6</v>
      </c>
    </row>
    <row r="1070" spans="1:6" x14ac:dyDescent="0.25">
      <c r="A1070" t="s">
        <v>19</v>
      </c>
      <c r="B1070" s="2">
        <v>44713</v>
      </c>
      <c r="C1070">
        <v>2022</v>
      </c>
      <c r="E1070" t="s">
        <v>6</v>
      </c>
      <c r="F1070">
        <v>117.9</v>
      </c>
    </row>
    <row r="1071" spans="1:6" x14ac:dyDescent="0.25">
      <c r="A1071" t="s">
        <v>19</v>
      </c>
      <c r="B1071" s="2">
        <v>44595</v>
      </c>
      <c r="C1071">
        <v>2022</v>
      </c>
      <c r="E1071" t="s">
        <v>6</v>
      </c>
      <c r="F1071">
        <v>83.4</v>
      </c>
    </row>
    <row r="1072" spans="1:6" x14ac:dyDescent="0.25">
      <c r="A1072" t="s">
        <v>19</v>
      </c>
      <c r="B1072" s="2">
        <v>44608</v>
      </c>
      <c r="C1072">
        <v>2022</v>
      </c>
      <c r="E1072" t="s">
        <v>6</v>
      </c>
      <c r="F1072">
        <v>94.3</v>
      </c>
    </row>
    <row r="1073" spans="1:6" x14ac:dyDescent="0.25">
      <c r="A1073" t="s">
        <v>19</v>
      </c>
      <c r="B1073" s="2">
        <v>44622</v>
      </c>
      <c r="C1073">
        <v>2022</v>
      </c>
      <c r="E1073" t="s">
        <v>6</v>
      </c>
      <c r="F1073">
        <v>102.9</v>
      </c>
    </row>
    <row r="1074" spans="1:6" x14ac:dyDescent="0.25">
      <c r="A1074" t="s">
        <v>19</v>
      </c>
      <c r="B1074" s="2">
        <v>44636</v>
      </c>
      <c r="C1074">
        <v>2022</v>
      </c>
      <c r="E1074" t="s">
        <v>6</v>
      </c>
      <c r="F1074">
        <v>104</v>
      </c>
    </row>
    <row r="1075" spans="1:6" x14ac:dyDescent="0.25">
      <c r="A1075" t="s">
        <v>19</v>
      </c>
      <c r="B1075" s="2">
        <v>44650</v>
      </c>
      <c r="C1075">
        <v>2022</v>
      </c>
      <c r="E1075" t="s">
        <v>6</v>
      </c>
      <c r="F1075">
        <v>113.4</v>
      </c>
    </row>
    <row r="1076" spans="1:6" x14ac:dyDescent="0.25">
      <c r="A1076" t="s">
        <v>19</v>
      </c>
      <c r="B1076" s="2">
        <v>44664</v>
      </c>
      <c r="C1076">
        <v>2022</v>
      </c>
      <c r="E1076" t="s">
        <v>6</v>
      </c>
      <c r="F1076">
        <v>125.8</v>
      </c>
    </row>
    <row r="1077" spans="1:6" x14ac:dyDescent="0.25">
      <c r="A1077" t="s">
        <v>19</v>
      </c>
      <c r="B1077" s="2">
        <v>44672</v>
      </c>
      <c r="C1077">
        <v>2022</v>
      </c>
      <c r="E1077" t="s">
        <v>6</v>
      </c>
      <c r="F1077">
        <v>132.9</v>
      </c>
    </row>
    <row r="1078" spans="1:6" x14ac:dyDescent="0.25">
      <c r="A1078" t="s">
        <v>19</v>
      </c>
      <c r="B1078" s="2">
        <v>44680</v>
      </c>
      <c r="C1078">
        <v>2022</v>
      </c>
      <c r="E1078" t="s">
        <v>6</v>
      </c>
      <c r="F1078">
        <v>139.80000000000001</v>
      </c>
    </row>
    <row r="1079" spans="1:6" x14ac:dyDescent="0.25">
      <c r="A1079" t="s">
        <v>19</v>
      </c>
      <c r="B1079" s="2">
        <v>44685</v>
      </c>
      <c r="C1079">
        <v>2022</v>
      </c>
      <c r="E1079" t="s">
        <v>6</v>
      </c>
      <c r="F1079">
        <v>135.1</v>
      </c>
    </row>
    <row r="1080" spans="1:6" x14ac:dyDescent="0.25">
      <c r="A1080" t="s">
        <v>19</v>
      </c>
      <c r="B1080" s="2">
        <v>44699</v>
      </c>
      <c r="C1080">
        <v>2022</v>
      </c>
      <c r="E1080" t="s">
        <v>6</v>
      </c>
      <c r="F1080">
        <v>138.1</v>
      </c>
    </row>
    <row r="1081" spans="1:6" x14ac:dyDescent="0.25">
      <c r="A1081" t="s">
        <v>19</v>
      </c>
      <c r="B1081" s="2">
        <v>44713</v>
      </c>
      <c r="C1081">
        <v>2022</v>
      </c>
      <c r="E1081" t="s">
        <v>6</v>
      </c>
      <c r="F1081">
        <v>142</v>
      </c>
    </row>
    <row r="1082" spans="1:6" x14ac:dyDescent="0.25">
      <c r="A1082" t="s">
        <v>24</v>
      </c>
      <c r="B1082" s="2">
        <v>44607</v>
      </c>
      <c r="C1082">
        <v>2022</v>
      </c>
      <c r="E1082" t="s">
        <v>10</v>
      </c>
      <c r="F1082">
        <v>66.400000000000006</v>
      </c>
    </row>
    <row r="1083" spans="1:6" x14ac:dyDescent="0.25">
      <c r="A1083" t="s">
        <v>24</v>
      </c>
      <c r="B1083" s="2">
        <v>44608</v>
      </c>
      <c r="C1083">
        <v>2022</v>
      </c>
      <c r="E1083" t="s">
        <v>10</v>
      </c>
      <c r="F1083">
        <v>76.599999999999994</v>
      </c>
    </row>
    <row r="1084" spans="1:6" x14ac:dyDescent="0.25">
      <c r="A1084" t="s">
        <v>24</v>
      </c>
      <c r="B1084" s="2">
        <v>44622</v>
      </c>
      <c r="C1084">
        <v>2022</v>
      </c>
      <c r="E1084" t="s">
        <v>10</v>
      </c>
      <c r="F1084">
        <v>82.4</v>
      </c>
    </row>
    <row r="1085" spans="1:6" x14ac:dyDescent="0.25">
      <c r="A1085" t="s">
        <v>24</v>
      </c>
      <c r="B1085" s="2">
        <v>44622</v>
      </c>
      <c r="C1085">
        <v>2022</v>
      </c>
      <c r="E1085" t="s">
        <v>10</v>
      </c>
      <c r="F1085">
        <v>99.9</v>
      </c>
    </row>
    <row r="1086" spans="1:6" x14ac:dyDescent="0.25">
      <c r="A1086" t="s">
        <v>24</v>
      </c>
      <c r="B1086" s="2">
        <v>44635</v>
      </c>
      <c r="C1086">
        <v>2022</v>
      </c>
      <c r="E1086" t="s">
        <v>10</v>
      </c>
      <c r="F1086">
        <v>91.4</v>
      </c>
    </row>
    <row r="1087" spans="1:6" x14ac:dyDescent="0.25">
      <c r="A1087" t="s">
        <v>24</v>
      </c>
      <c r="B1087" s="2">
        <v>44662</v>
      </c>
      <c r="C1087">
        <v>2022</v>
      </c>
      <c r="E1087" t="s">
        <v>10</v>
      </c>
      <c r="F1087">
        <v>103.4</v>
      </c>
    </row>
    <row r="1088" spans="1:6" x14ac:dyDescent="0.25">
      <c r="A1088" t="s">
        <v>24</v>
      </c>
      <c r="B1088" s="2">
        <v>44669</v>
      </c>
      <c r="C1088">
        <v>2022</v>
      </c>
      <c r="E1088" t="s">
        <v>10</v>
      </c>
      <c r="F1088">
        <v>107.5</v>
      </c>
    </row>
    <row r="1089" spans="1:6" x14ac:dyDescent="0.25">
      <c r="A1089" t="s">
        <v>24</v>
      </c>
      <c r="B1089" s="2">
        <v>44677</v>
      </c>
      <c r="C1089">
        <v>2022</v>
      </c>
      <c r="E1089" t="s">
        <v>10</v>
      </c>
      <c r="F1089">
        <v>110</v>
      </c>
    </row>
    <row r="1090" spans="1:6" x14ac:dyDescent="0.25">
      <c r="A1090" t="s">
        <v>24</v>
      </c>
      <c r="B1090" s="2">
        <v>44683</v>
      </c>
      <c r="C1090">
        <v>2022</v>
      </c>
      <c r="E1090" t="s">
        <v>10</v>
      </c>
      <c r="F1090">
        <v>111.3</v>
      </c>
    </row>
    <row r="1091" spans="1:6" x14ac:dyDescent="0.25">
      <c r="A1091" t="s">
        <v>24</v>
      </c>
      <c r="B1091" s="2">
        <v>44697</v>
      </c>
      <c r="C1091">
        <v>2022</v>
      </c>
      <c r="E1091" t="s">
        <v>10</v>
      </c>
      <c r="F1091">
        <v>115.8</v>
      </c>
    </row>
    <row r="1092" spans="1:6" x14ac:dyDescent="0.25">
      <c r="A1092" t="s">
        <v>24</v>
      </c>
      <c r="B1092" s="2">
        <v>44711</v>
      </c>
      <c r="C1092">
        <v>2022</v>
      </c>
      <c r="E1092" t="s">
        <v>10</v>
      </c>
      <c r="F1092">
        <v>115.8</v>
      </c>
    </row>
    <row r="1093" spans="1:6" x14ac:dyDescent="0.25">
      <c r="A1093" t="s">
        <v>20</v>
      </c>
      <c r="B1093" s="2">
        <v>44952</v>
      </c>
      <c r="C1093">
        <v>2023</v>
      </c>
      <c r="E1093" t="s">
        <v>6</v>
      </c>
      <c r="F1093">
        <v>67.400000000000006</v>
      </c>
    </row>
    <row r="1094" spans="1:6" x14ac:dyDescent="0.25">
      <c r="A1094" t="s">
        <v>20</v>
      </c>
      <c r="B1094" s="2">
        <v>44973</v>
      </c>
      <c r="C1094">
        <v>2023</v>
      </c>
      <c r="E1094" t="s">
        <v>6</v>
      </c>
      <c r="F1094">
        <v>75.3</v>
      </c>
    </row>
    <row r="1095" spans="1:6" x14ac:dyDescent="0.25">
      <c r="A1095" t="s">
        <v>20</v>
      </c>
      <c r="B1095" s="2">
        <v>44984</v>
      </c>
      <c r="C1095">
        <v>2023</v>
      </c>
      <c r="E1095" t="s">
        <v>6</v>
      </c>
      <c r="F1095">
        <v>83.9</v>
      </c>
    </row>
    <row r="1096" spans="1:6" x14ac:dyDescent="0.25">
      <c r="A1096" t="s">
        <v>20</v>
      </c>
      <c r="B1096" s="2">
        <v>45000</v>
      </c>
      <c r="C1096">
        <v>2023</v>
      </c>
      <c r="E1096" t="s">
        <v>6</v>
      </c>
      <c r="F1096">
        <v>94.4</v>
      </c>
    </row>
    <row r="1097" spans="1:6" x14ac:dyDescent="0.25">
      <c r="A1097" t="s">
        <v>20</v>
      </c>
      <c r="B1097" s="2">
        <v>45015</v>
      </c>
      <c r="C1097">
        <v>2023</v>
      </c>
      <c r="E1097" t="s">
        <v>6</v>
      </c>
      <c r="F1097">
        <v>100.6</v>
      </c>
    </row>
    <row r="1098" spans="1:6" x14ac:dyDescent="0.25">
      <c r="A1098" t="s">
        <v>20</v>
      </c>
      <c r="B1098" s="2">
        <v>45029</v>
      </c>
      <c r="C1098">
        <v>2023</v>
      </c>
      <c r="E1098" t="s">
        <v>6</v>
      </c>
      <c r="F1098">
        <v>103</v>
      </c>
    </row>
    <row r="1099" spans="1:6" x14ac:dyDescent="0.25">
      <c r="A1099" t="s">
        <v>20</v>
      </c>
      <c r="B1099" s="2">
        <v>45041</v>
      </c>
      <c r="C1099">
        <v>2023</v>
      </c>
      <c r="E1099" t="s">
        <v>6</v>
      </c>
      <c r="F1099">
        <v>110.6</v>
      </c>
    </row>
    <row r="1100" spans="1:6" x14ac:dyDescent="0.25">
      <c r="A1100" t="s">
        <v>20</v>
      </c>
      <c r="B1100" s="2">
        <v>45049</v>
      </c>
      <c r="C1100">
        <v>2023</v>
      </c>
      <c r="E1100" t="s">
        <v>6</v>
      </c>
      <c r="F1100">
        <v>114.6</v>
      </c>
    </row>
    <row r="1101" spans="1:6" x14ac:dyDescent="0.25">
      <c r="A1101" t="s">
        <v>20</v>
      </c>
      <c r="B1101" s="2">
        <v>45062</v>
      </c>
      <c r="C1101">
        <v>2023</v>
      </c>
      <c r="E1101" t="s">
        <v>6</v>
      </c>
      <c r="F1101">
        <v>116.7</v>
      </c>
    </row>
    <row r="1102" spans="1:6" x14ac:dyDescent="0.25">
      <c r="A1102" t="s">
        <v>20</v>
      </c>
      <c r="B1102" s="2">
        <v>45076</v>
      </c>
      <c r="C1102">
        <v>2023</v>
      </c>
      <c r="E1102" t="s">
        <v>6</v>
      </c>
      <c r="F1102">
        <v>118.8</v>
      </c>
    </row>
    <row r="1103" spans="1:6" x14ac:dyDescent="0.25">
      <c r="A1103" t="s">
        <v>20</v>
      </c>
      <c r="B1103" s="2">
        <v>45083</v>
      </c>
      <c r="C1103">
        <v>2023</v>
      </c>
      <c r="E1103" t="s">
        <v>6</v>
      </c>
      <c r="F1103">
        <v>114.3</v>
      </c>
    </row>
    <row r="1104" spans="1:6" x14ac:dyDescent="0.25">
      <c r="A1104" t="s">
        <v>20</v>
      </c>
      <c r="B1104" s="2">
        <v>44952</v>
      </c>
      <c r="C1104">
        <v>2023</v>
      </c>
      <c r="E1104" t="s">
        <v>6</v>
      </c>
      <c r="F1104">
        <v>80</v>
      </c>
    </row>
    <row r="1105" spans="1:6" x14ac:dyDescent="0.25">
      <c r="A1105" t="s">
        <v>20</v>
      </c>
      <c r="B1105" s="2">
        <v>44974</v>
      </c>
      <c r="C1105">
        <v>2023</v>
      </c>
      <c r="E1105" t="s">
        <v>6</v>
      </c>
      <c r="F1105">
        <v>90.7</v>
      </c>
    </row>
    <row r="1106" spans="1:6" x14ac:dyDescent="0.25">
      <c r="A1106" t="s">
        <v>20</v>
      </c>
      <c r="B1106" s="2">
        <v>44984</v>
      </c>
      <c r="C1106">
        <v>2023</v>
      </c>
      <c r="E1106" t="s">
        <v>6</v>
      </c>
      <c r="F1106">
        <v>104.6</v>
      </c>
    </row>
    <row r="1107" spans="1:6" x14ac:dyDescent="0.25">
      <c r="A1107" t="s">
        <v>20</v>
      </c>
      <c r="B1107" s="2">
        <v>45000</v>
      </c>
      <c r="C1107">
        <v>2023</v>
      </c>
      <c r="E1107" t="s">
        <v>6</v>
      </c>
      <c r="F1107">
        <v>119.5</v>
      </c>
    </row>
    <row r="1108" spans="1:6" x14ac:dyDescent="0.25">
      <c r="A1108" t="s">
        <v>20</v>
      </c>
      <c r="B1108" s="2">
        <v>45015</v>
      </c>
      <c r="C1108">
        <v>2023</v>
      </c>
      <c r="E1108" t="s">
        <v>6</v>
      </c>
      <c r="F1108">
        <v>129.5</v>
      </c>
    </row>
    <row r="1109" spans="1:6" x14ac:dyDescent="0.25">
      <c r="A1109" t="s">
        <v>20</v>
      </c>
      <c r="B1109" s="2">
        <v>45029</v>
      </c>
      <c r="C1109">
        <v>2023</v>
      </c>
      <c r="E1109" t="s">
        <v>6</v>
      </c>
      <c r="F1109">
        <v>136.80000000000001</v>
      </c>
    </row>
    <row r="1110" spans="1:6" x14ac:dyDescent="0.25">
      <c r="A1110" t="s">
        <v>20</v>
      </c>
      <c r="B1110" s="2">
        <v>45041</v>
      </c>
      <c r="C1110">
        <v>2023</v>
      </c>
      <c r="E1110" t="s">
        <v>6</v>
      </c>
      <c r="F1110">
        <v>135.19999999999999</v>
      </c>
    </row>
    <row r="1111" spans="1:6" x14ac:dyDescent="0.25">
      <c r="A1111" t="s">
        <v>20</v>
      </c>
      <c r="B1111" s="2">
        <v>45049</v>
      </c>
      <c r="C1111">
        <v>2023</v>
      </c>
      <c r="E1111" t="s">
        <v>6</v>
      </c>
      <c r="F1111">
        <v>141.4</v>
      </c>
    </row>
    <row r="1112" spans="1:6" x14ac:dyDescent="0.25">
      <c r="A1112" t="s">
        <v>20</v>
      </c>
      <c r="B1112" s="2">
        <v>45062</v>
      </c>
      <c r="C1112">
        <v>2023</v>
      </c>
      <c r="E1112" t="s">
        <v>6</v>
      </c>
      <c r="F1112">
        <v>140.5</v>
      </c>
    </row>
    <row r="1113" spans="1:6" x14ac:dyDescent="0.25">
      <c r="A1113" t="s">
        <v>20</v>
      </c>
      <c r="B1113" s="2">
        <v>45077</v>
      </c>
      <c r="C1113">
        <v>2023</v>
      </c>
      <c r="E1113" t="s">
        <v>6</v>
      </c>
      <c r="F1113">
        <v>142.80000000000001</v>
      </c>
    </row>
    <row r="1114" spans="1:6" x14ac:dyDescent="0.25">
      <c r="A1114" t="s">
        <v>20</v>
      </c>
      <c r="B1114" s="2">
        <v>45083</v>
      </c>
      <c r="C1114">
        <v>2023</v>
      </c>
      <c r="E1114" t="s">
        <v>6</v>
      </c>
      <c r="F1114">
        <v>131</v>
      </c>
    </row>
    <row r="1115" spans="1:6" x14ac:dyDescent="0.25">
      <c r="A1115" t="s">
        <v>20</v>
      </c>
      <c r="B1115" s="2">
        <v>44952</v>
      </c>
      <c r="C1115">
        <v>2023</v>
      </c>
      <c r="E1115" t="s">
        <v>6</v>
      </c>
      <c r="F1115">
        <v>75.400000000000006</v>
      </c>
    </row>
    <row r="1116" spans="1:6" x14ac:dyDescent="0.25">
      <c r="A1116" t="s">
        <v>20</v>
      </c>
      <c r="B1116" s="2">
        <v>44973</v>
      </c>
      <c r="C1116">
        <v>2023</v>
      </c>
      <c r="E1116" t="s">
        <v>6</v>
      </c>
      <c r="F1116">
        <v>86.8</v>
      </c>
    </row>
    <row r="1117" spans="1:6" x14ac:dyDescent="0.25">
      <c r="A1117" t="s">
        <v>20</v>
      </c>
      <c r="B1117" s="2">
        <v>44987</v>
      </c>
      <c r="C1117">
        <v>2023</v>
      </c>
      <c r="E1117" t="s">
        <v>6</v>
      </c>
      <c r="F1117">
        <v>93.7</v>
      </c>
    </row>
    <row r="1118" spans="1:6" x14ac:dyDescent="0.25">
      <c r="A1118" t="s">
        <v>20</v>
      </c>
      <c r="B1118" s="2">
        <v>45001</v>
      </c>
      <c r="C1118">
        <v>2023</v>
      </c>
      <c r="E1118" t="s">
        <v>6</v>
      </c>
      <c r="F1118">
        <v>104.6</v>
      </c>
    </row>
    <row r="1119" spans="1:6" x14ac:dyDescent="0.25">
      <c r="A1119" t="s">
        <v>20</v>
      </c>
      <c r="B1119" s="2">
        <v>45014</v>
      </c>
      <c r="C1119">
        <v>2023</v>
      </c>
      <c r="E1119" t="s">
        <v>6</v>
      </c>
      <c r="F1119">
        <v>114.6</v>
      </c>
    </row>
    <row r="1120" spans="1:6" x14ac:dyDescent="0.25">
      <c r="A1120" t="s">
        <v>20</v>
      </c>
      <c r="B1120" s="2">
        <v>45029</v>
      </c>
      <c r="C1120">
        <v>2023</v>
      </c>
      <c r="E1120" t="s">
        <v>6</v>
      </c>
      <c r="F1120">
        <v>128.6</v>
      </c>
    </row>
    <row r="1121" spans="1:6" x14ac:dyDescent="0.25">
      <c r="A1121" t="s">
        <v>20</v>
      </c>
      <c r="B1121" s="2">
        <v>45041</v>
      </c>
      <c r="C1121">
        <v>2023</v>
      </c>
      <c r="E1121" t="s">
        <v>6</v>
      </c>
      <c r="F1121">
        <v>129.6</v>
      </c>
    </row>
    <row r="1122" spans="1:6" x14ac:dyDescent="0.25">
      <c r="A1122" t="s">
        <v>20</v>
      </c>
      <c r="B1122" s="2">
        <v>45049</v>
      </c>
      <c r="C1122">
        <v>2023</v>
      </c>
      <c r="E1122" t="s">
        <v>6</v>
      </c>
      <c r="F1122">
        <v>138.69999999999999</v>
      </c>
    </row>
    <row r="1123" spans="1:6" x14ac:dyDescent="0.25">
      <c r="A1123" t="s">
        <v>20</v>
      </c>
      <c r="B1123" s="2">
        <v>45062</v>
      </c>
      <c r="C1123">
        <v>2023</v>
      </c>
      <c r="E1123" t="s">
        <v>6</v>
      </c>
      <c r="F1123">
        <v>136.9</v>
      </c>
    </row>
    <row r="1124" spans="1:6" x14ac:dyDescent="0.25">
      <c r="A1124" t="s">
        <v>20</v>
      </c>
      <c r="B1124" s="2">
        <v>45076</v>
      </c>
      <c r="C1124">
        <v>2023</v>
      </c>
      <c r="E1124" t="s">
        <v>6</v>
      </c>
      <c r="F1124">
        <v>131.5</v>
      </c>
    </row>
    <row r="1125" spans="1:6" x14ac:dyDescent="0.25">
      <c r="A1125" t="s">
        <v>20</v>
      </c>
      <c r="B1125" s="2">
        <v>45083</v>
      </c>
      <c r="C1125">
        <v>2023</v>
      </c>
      <c r="E1125" t="s">
        <v>6</v>
      </c>
      <c r="F1125">
        <v>133</v>
      </c>
    </row>
    <row r="1126" spans="1:6" x14ac:dyDescent="0.25">
      <c r="A1126" t="s">
        <v>20</v>
      </c>
      <c r="B1126" s="2">
        <v>44950</v>
      </c>
      <c r="C1126">
        <v>2023</v>
      </c>
      <c r="E1126" t="s">
        <v>6</v>
      </c>
      <c r="F1126">
        <v>63.7</v>
      </c>
    </row>
    <row r="1127" spans="1:6" x14ac:dyDescent="0.25">
      <c r="A1127" t="s">
        <v>20</v>
      </c>
      <c r="B1127" s="2">
        <v>44974</v>
      </c>
      <c r="C1127">
        <v>2023</v>
      </c>
      <c r="E1127" t="s">
        <v>6</v>
      </c>
      <c r="F1127">
        <v>72.7</v>
      </c>
    </row>
    <row r="1128" spans="1:6" x14ac:dyDescent="0.25">
      <c r="A1128" t="s">
        <v>20</v>
      </c>
      <c r="B1128" s="2">
        <v>44987</v>
      </c>
      <c r="C1128">
        <v>2023</v>
      </c>
      <c r="E1128" t="s">
        <v>6</v>
      </c>
      <c r="F1128">
        <v>78.599999999999994</v>
      </c>
    </row>
    <row r="1129" spans="1:6" x14ac:dyDescent="0.25">
      <c r="A1129" t="s">
        <v>20</v>
      </c>
      <c r="B1129" s="2">
        <v>45001</v>
      </c>
      <c r="C1129">
        <v>2023</v>
      </c>
      <c r="E1129" t="s">
        <v>6</v>
      </c>
      <c r="F1129">
        <v>86.5</v>
      </c>
    </row>
    <row r="1130" spans="1:6" x14ac:dyDescent="0.25">
      <c r="A1130" t="s">
        <v>20</v>
      </c>
      <c r="B1130" s="2">
        <v>45014</v>
      </c>
      <c r="C1130">
        <v>2023</v>
      </c>
      <c r="E1130" t="s">
        <v>6</v>
      </c>
      <c r="F1130">
        <v>95.4</v>
      </c>
    </row>
    <row r="1131" spans="1:6" x14ac:dyDescent="0.25">
      <c r="A1131" t="s">
        <v>20</v>
      </c>
      <c r="B1131" s="2">
        <v>45031</v>
      </c>
      <c r="C1131">
        <v>2023</v>
      </c>
      <c r="E1131" t="s">
        <v>6</v>
      </c>
      <c r="F1131">
        <v>101.4</v>
      </c>
    </row>
    <row r="1132" spans="1:6" x14ac:dyDescent="0.25">
      <c r="A1132" t="s">
        <v>20</v>
      </c>
      <c r="B1132" s="2">
        <v>45041</v>
      </c>
      <c r="C1132">
        <v>2023</v>
      </c>
      <c r="E1132" t="s">
        <v>6</v>
      </c>
      <c r="F1132">
        <v>108</v>
      </c>
    </row>
    <row r="1133" spans="1:6" x14ac:dyDescent="0.25">
      <c r="A1133" t="s">
        <v>20</v>
      </c>
      <c r="B1133" s="2">
        <v>45049</v>
      </c>
      <c r="C1133">
        <v>2023</v>
      </c>
      <c r="E1133" t="s">
        <v>6</v>
      </c>
      <c r="F1133">
        <v>112.4</v>
      </c>
    </row>
    <row r="1134" spans="1:6" x14ac:dyDescent="0.25">
      <c r="A1134" t="s">
        <v>20</v>
      </c>
      <c r="B1134" s="2">
        <v>45062</v>
      </c>
      <c r="C1134">
        <v>2023</v>
      </c>
      <c r="E1134" t="s">
        <v>6</v>
      </c>
      <c r="F1134">
        <v>117.5</v>
      </c>
    </row>
    <row r="1135" spans="1:6" x14ac:dyDescent="0.25">
      <c r="A1135" t="s">
        <v>20</v>
      </c>
      <c r="B1135" s="2">
        <v>45077</v>
      </c>
      <c r="C1135">
        <v>2023</v>
      </c>
      <c r="E1135" t="s">
        <v>6</v>
      </c>
      <c r="F1135">
        <v>116.8</v>
      </c>
    </row>
    <row r="1136" spans="1:6" x14ac:dyDescent="0.25">
      <c r="A1136" t="s">
        <v>20</v>
      </c>
      <c r="B1136" s="2">
        <v>45083</v>
      </c>
      <c r="C1136">
        <v>2023</v>
      </c>
      <c r="E1136" t="s">
        <v>6</v>
      </c>
      <c r="F1136">
        <v>113.2</v>
      </c>
    </row>
    <row r="1137" spans="1:6" x14ac:dyDescent="0.25">
      <c r="A1137" t="s">
        <v>20</v>
      </c>
      <c r="B1137" s="2">
        <v>44952</v>
      </c>
      <c r="C1137">
        <v>2023</v>
      </c>
      <c r="E1137" t="s">
        <v>6</v>
      </c>
      <c r="F1137">
        <v>61.4</v>
      </c>
    </row>
    <row r="1138" spans="1:6" x14ac:dyDescent="0.25">
      <c r="A1138" t="s">
        <v>20</v>
      </c>
      <c r="B1138" s="2">
        <v>44974</v>
      </c>
      <c r="C1138">
        <v>2023</v>
      </c>
      <c r="E1138" t="s">
        <v>6</v>
      </c>
      <c r="F1138">
        <v>67.8</v>
      </c>
    </row>
    <row r="1139" spans="1:6" x14ac:dyDescent="0.25">
      <c r="A1139" t="s">
        <v>20</v>
      </c>
      <c r="B1139" s="2">
        <v>44984</v>
      </c>
      <c r="C1139">
        <v>2023</v>
      </c>
      <c r="E1139" t="s">
        <v>6</v>
      </c>
      <c r="F1139">
        <v>73.099999999999994</v>
      </c>
    </row>
    <row r="1140" spans="1:6" x14ac:dyDescent="0.25">
      <c r="A1140" t="s">
        <v>20</v>
      </c>
      <c r="B1140" s="2">
        <v>45000</v>
      </c>
      <c r="C1140">
        <v>2023</v>
      </c>
      <c r="E1140" t="s">
        <v>6</v>
      </c>
      <c r="F1140">
        <v>78.099999999999994</v>
      </c>
    </row>
    <row r="1141" spans="1:6" x14ac:dyDescent="0.25">
      <c r="A1141" t="s">
        <v>20</v>
      </c>
      <c r="B1141" s="2">
        <v>45015</v>
      </c>
      <c r="C1141">
        <v>2023</v>
      </c>
      <c r="E1141" t="s">
        <v>6</v>
      </c>
      <c r="F1141">
        <v>84.1</v>
      </c>
    </row>
    <row r="1142" spans="1:6" x14ac:dyDescent="0.25">
      <c r="A1142" t="s">
        <v>20</v>
      </c>
      <c r="B1142" s="2">
        <v>45029</v>
      </c>
      <c r="C1142">
        <v>2023</v>
      </c>
      <c r="E1142" t="s">
        <v>6</v>
      </c>
      <c r="F1142">
        <v>89.9</v>
      </c>
    </row>
    <row r="1143" spans="1:6" x14ac:dyDescent="0.25">
      <c r="A1143" t="s">
        <v>20</v>
      </c>
      <c r="B1143" s="2">
        <v>45041</v>
      </c>
      <c r="C1143">
        <v>2023</v>
      </c>
      <c r="E1143" t="s">
        <v>6</v>
      </c>
      <c r="F1143">
        <v>95.9</v>
      </c>
    </row>
    <row r="1144" spans="1:6" x14ac:dyDescent="0.25">
      <c r="A1144" t="s">
        <v>20</v>
      </c>
      <c r="B1144" s="2">
        <v>45049</v>
      </c>
      <c r="C1144">
        <v>2023</v>
      </c>
      <c r="E1144" t="s">
        <v>6</v>
      </c>
      <c r="F1144">
        <v>97.4</v>
      </c>
    </row>
    <row r="1145" spans="1:6" x14ac:dyDescent="0.25">
      <c r="A1145" t="s">
        <v>20</v>
      </c>
      <c r="B1145" s="2">
        <v>45062</v>
      </c>
      <c r="C1145">
        <v>2023</v>
      </c>
      <c r="E1145" t="s">
        <v>6</v>
      </c>
      <c r="F1145">
        <v>97.8</v>
      </c>
    </row>
    <row r="1146" spans="1:6" x14ac:dyDescent="0.25">
      <c r="A1146" t="s">
        <v>20</v>
      </c>
      <c r="B1146" s="2">
        <v>45076</v>
      </c>
      <c r="C1146">
        <v>2023</v>
      </c>
      <c r="E1146" t="s">
        <v>6</v>
      </c>
      <c r="F1146">
        <v>99.8</v>
      </c>
    </row>
    <row r="1147" spans="1:6" x14ac:dyDescent="0.25">
      <c r="A1147" t="s">
        <v>20</v>
      </c>
      <c r="B1147" s="2">
        <v>45083</v>
      </c>
      <c r="C1147">
        <v>2023</v>
      </c>
      <c r="E1147" t="s">
        <v>6</v>
      </c>
      <c r="F1147">
        <v>109.6</v>
      </c>
    </row>
    <row r="1148" spans="1:6" x14ac:dyDescent="0.25">
      <c r="A1148" t="s">
        <v>25</v>
      </c>
      <c r="B1148" s="2">
        <v>44949</v>
      </c>
      <c r="C1148">
        <v>2023</v>
      </c>
      <c r="E1148" t="s">
        <v>10</v>
      </c>
      <c r="F1148">
        <v>73.099999999999994</v>
      </c>
    </row>
    <row r="1149" spans="1:6" x14ac:dyDescent="0.25">
      <c r="A1149" t="s">
        <v>25</v>
      </c>
      <c r="B1149" s="2">
        <v>44971</v>
      </c>
      <c r="C1149">
        <v>2023</v>
      </c>
      <c r="E1149" t="s">
        <v>10</v>
      </c>
      <c r="F1149">
        <v>87.7</v>
      </c>
    </row>
    <row r="1150" spans="1:6" x14ac:dyDescent="0.25">
      <c r="A1150" t="s">
        <v>25</v>
      </c>
      <c r="B1150" s="2">
        <v>44987</v>
      </c>
      <c r="C1150">
        <v>2023</v>
      </c>
      <c r="E1150" t="s">
        <v>10</v>
      </c>
      <c r="F1150">
        <v>103</v>
      </c>
    </row>
    <row r="1151" spans="1:6" x14ac:dyDescent="0.25">
      <c r="A1151" t="s">
        <v>25</v>
      </c>
      <c r="B1151" s="2">
        <v>44998</v>
      </c>
      <c r="C1151">
        <v>2023</v>
      </c>
      <c r="E1151" t="s">
        <v>10</v>
      </c>
      <c r="F1151">
        <v>104.4</v>
      </c>
    </row>
    <row r="1152" spans="1:6" x14ac:dyDescent="0.25">
      <c r="A1152" t="s">
        <v>25</v>
      </c>
      <c r="B1152" s="2">
        <v>45014</v>
      </c>
      <c r="C1152">
        <v>2023</v>
      </c>
      <c r="E1152" t="s">
        <v>10</v>
      </c>
      <c r="F1152">
        <v>120.2</v>
      </c>
    </row>
    <row r="1153" spans="1:6" x14ac:dyDescent="0.25">
      <c r="A1153" t="s">
        <v>25</v>
      </c>
      <c r="B1153" s="2">
        <v>45027</v>
      </c>
      <c r="C1153">
        <v>2023</v>
      </c>
      <c r="E1153" t="s">
        <v>10</v>
      </c>
      <c r="F1153">
        <v>122.5</v>
      </c>
    </row>
    <row r="1154" spans="1:6" x14ac:dyDescent="0.25">
      <c r="A1154" t="s">
        <v>25</v>
      </c>
      <c r="B1154" s="2">
        <v>45040</v>
      </c>
      <c r="C1154">
        <v>2023</v>
      </c>
      <c r="E1154" t="s">
        <v>10</v>
      </c>
      <c r="F1154">
        <v>126.6</v>
      </c>
    </row>
    <row r="1155" spans="1:6" x14ac:dyDescent="0.25">
      <c r="A1155" t="s">
        <v>25</v>
      </c>
      <c r="B1155" s="2">
        <v>45047</v>
      </c>
      <c r="C1155">
        <v>2023</v>
      </c>
      <c r="E1155" t="s">
        <v>10</v>
      </c>
      <c r="F1155">
        <v>126.7</v>
      </c>
    </row>
    <row r="1156" spans="1:6" x14ac:dyDescent="0.25">
      <c r="A1156" t="s">
        <v>25</v>
      </c>
      <c r="B1156" s="2">
        <v>45062</v>
      </c>
      <c r="C1156">
        <v>2023</v>
      </c>
      <c r="E1156" t="s">
        <v>10</v>
      </c>
      <c r="F1156">
        <v>129</v>
      </c>
    </row>
    <row r="1157" spans="1:6" x14ac:dyDescent="0.25">
      <c r="A1157" t="s">
        <v>25</v>
      </c>
      <c r="B1157" s="2">
        <v>45076</v>
      </c>
      <c r="C1157">
        <v>2023</v>
      </c>
      <c r="E1157" t="s">
        <v>10</v>
      </c>
      <c r="F1157">
        <v>129.19999999999999</v>
      </c>
    </row>
    <row r="1158" spans="1:6" x14ac:dyDescent="0.25">
      <c r="A1158" t="s">
        <v>25</v>
      </c>
      <c r="B1158" s="2">
        <v>45083</v>
      </c>
      <c r="C1158">
        <v>2023</v>
      </c>
      <c r="E1158" t="s">
        <v>10</v>
      </c>
      <c r="F1158">
        <v>126.5</v>
      </c>
    </row>
    <row r="1159" spans="1:6" x14ac:dyDescent="0.25">
      <c r="A1159" t="s">
        <v>21</v>
      </c>
      <c r="B1159" s="2">
        <v>45316</v>
      </c>
      <c r="C1159">
        <v>2024</v>
      </c>
      <c r="E1159" t="s">
        <v>6</v>
      </c>
      <c r="F1159">
        <v>58</v>
      </c>
    </row>
    <row r="1160" spans="1:6" x14ac:dyDescent="0.25">
      <c r="A1160" t="s">
        <v>21</v>
      </c>
      <c r="B1160" s="2">
        <v>45337</v>
      </c>
      <c r="C1160">
        <v>2024</v>
      </c>
      <c r="E1160" t="s">
        <v>6</v>
      </c>
      <c r="F1160">
        <v>70.2</v>
      </c>
    </row>
    <row r="1161" spans="1:6" x14ac:dyDescent="0.25">
      <c r="A1161" t="s">
        <v>21</v>
      </c>
      <c r="B1161" s="2">
        <v>45350</v>
      </c>
      <c r="C1161">
        <v>2024</v>
      </c>
      <c r="E1161" t="s">
        <v>6</v>
      </c>
      <c r="F1161">
        <v>77.8</v>
      </c>
    </row>
    <row r="1162" spans="1:6" x14ac:dyDescent="0.25">
      <c r="A1162" t="s">
        <v>21</v>
      </c>
      <c r="B1162" s="2">
        <v>45364</v>
      </c>
      <c r="C1162">
        <v>2024</v>
      </c>
      <c r="E1162" t="s">
        <v>6</v>
      </c>
      <c r="F1162">
        <v>83.2</v>
      </c>
    </row>
    <row r="1163" spans="1:6" x14ac:dyDescent="0.25">
      <c r="A1163" t="s">
        <v>21</v>
      </c>
      <c r="B1163" s="2">
        <v>45378</v>
      </c>
      <c r="C1163">
        <v>2024</v>
      </c>
      <c r="E1163" t="s">
        <v>6</v>
      </c>
      <c r="F1163">
        <v>87</v>
      </c>
    </row>
    <row r="1164" spans="1:6" x14ac:dyDescent="0.25">
      <c r="A1164" t="s">
        <v>21</v>
      </c>
      <c r="B1164" s="2">
        <v>45390</v>
      </c>
      <c r="C1164">
        <v>2024</v>
      </c>
      <c r="E1164" t="s">
        <v>6</v>
      </c>
      <c r="F1164">
        <v>83.7</v>
      </c>
    </row>
    <row r="1165" spans="1:6" x14ac:dyDescent="0.25">
      <c r="A1165" t="s">
        <v>21</v>
      </c>
      <c r="B1165" s="2">
        <v>45404</v>
      </c>
      <c r="C1165">
        <v>2024</v>
      </c>
      <c r="E1165" t="s">
        <v>6</v>
      </c>
      <c r="F1165">
        <v>87</v>
      </c>
    </row>
    <row r="1166" spans="1:6" x14ac:dyDescent="0.25">
      <c r="A1166" t="s">
        <v>21</v>
      </c>
      <c r="B1166" s="2">
        <v>45414</v>
      </c>
      <c r="C1166">
        <v>2024</v>
      </c>
      <c r="E1166" t="s">
        <v>6</v>
      </c>
      <c r="F1166">
        <v>93</v>
      </c>
    </row>
    <row r="1167" spans="1:6" x14ac:dyDescent="0.25">
      <c r="A1167" t="s">
        <v>21</v>
      </c>
      <c r="B1167" s="2">
        <v>45425</v>
      </c>
      <c r="C1167">
        <v>2024</v>
      </c>
      <c r="E1167" t="s">
        <v>6</v>
      </c>
      <c r="F1167">
        <v>91</v>
      </c>
    </row>
    <row r="1168" spans="1:6" x14ac:dyDescent="0.25">
      <c r="A1168" t="s">
        <v>21</v>
      </c>
      <c r="B1168" s="2">
        <v>45439</v>
      </c>
      <c r="C1168">
        <v>2024</v>
      </c>
      <c r="E1168" t="s">
        <v>6</v>
      </c>
      <c r="F1168">
        <v>98.4</v>
      </c>
    </row>
    <row r="1169" spans="1:6" x14ac:dyDescent="0.25">
      <c r="A1169" t="s">
        <v>21</v>
      </c>
      <c r="B1169" s="2">
        <v>45454</v>
      </c>
      <c r="C1169">
        <v>2024</v>
      </c>
      <c r="E1169" t="s">
        <v>6</v>
      </c>
      <c r="F1169">
        <v>84.8</v>
      </c>
    </row>
    <row r="1170" spans="1:6" x14ac:dyDescent="0.25">
      <c r="A1170" t="s">
        <v>21</v>
      </c>
      <c r="B1170" s="2">
        <v>45314</v>
      </c>
      <c r="C1170">
        <v>2024</v>
      </c>
      <c r="E1170" t="s">
        <v>6</v>
      </c>
      <c r="F1170">
        <v>65.2</v>
      </c>
    </row>
    <row r="1171" spans="1:6" x14ac:dyDescent="0.25">
      <c r="A1171" t="s">
        <v>21</v>
      </c>
      <c r="B1171" s="2">
        <v>45337</v>
      </c>
      <c r="C1171">
        <v>2024</v>
      </c>
      <c r="E1171" t="s">
        <v>6</v>
      </c>
      <c r="F1171">
        <v>83.2</v>
      </c>
    </row>
    <row r="1172" spans="1:6" x14ac:dyDescent="0.25">
      <c r="A1172" t="s">
        <v>21</v>
      </c>
      <c r="B1172" s="2">
        <v>45348</v>
      </c>
      <c r="C1172">
        <v>2024</v>
      </c>
      <c r="E1172" t="s">
        <v>6</v>
      </c>
      <c r="F1172">
        <v>84.1</v>
      </c>
    </row>
    <row r="1173" spans="1:6" x14ac:dyDescent="0.25">
      <c r="A1173" t="s">
        <v>21</v>
      </c>
      <c r="B1173" s="2">
        <v>45365</v>
      </c>
      <c r="C1173">
        <v>2024</v>
      </c>
      <c r="E1173" t="s">
        <v>6</v>
      </c>
      <c r="F1173">
        <v>93.8</v>
      </c>
    </row>
    <row r="1174" spans="1:6" x14ac:dyDescent="0.25">
      <c r="A1174" t="s">
        <v>21</v>
      </c>
      <c r="B1174" s="2">
        <v>45379</v>
      </c>
      <c r="C1174">
        <v>2024</v>
      </c>
      <c r="E1174" t="s">
        <v>6</v>
      </c>
      <c r="F1174">
        <v>99.2</v>
      </c>
    </row>
    <row r="1175" spans="1:6" x14ac:dyDescent="0.25">
      <c r="A1175" t="s">
        <v>21</v>
      </c>
      <c r="B1175" s="2">
        <v>45393</v>
      </c>
      <c r="C1175">
        <v>2024</v>
      </c>
      <c r="E1175" t="s">
        <v>6</v>
      </c>
      <c r="F1175">
        <v>103.7</v>
      </c>
    </row>
    <row r="1176" spans="1:6" x14ac:dyDescent="0.25">
      <c r="A1176" t="s">
        <v>21</v>
      </c>
      <c r="B1176" s="2">
        <v>45407</v>
      </c>
      <c r="C1176">
        <v>2024</v>
      </c>
      <c r="E1176" t="s">
        <v>6</v>
      </c>
      <c r="F1176">
        <v>108.9</v>
      </c>
    </row>
    <row r="1177" spans="1:6" x14ac:dyDescent="0.25">
      <c r="A1177" t="s">
        <v>21</v>
      </c>
      <c r="B1177" s="2">
        <v>45414</v>
      </c>
      <c r="C1177">
        <v>2024</v>
      </c>
      <c r="E1177" t="s">
        <v>6</v>
      </c>
      <c r="F1177">
        <v>117.1</v>
      </c>
    </row>
    <row r="1178" spans="1:6" x14ac:dyDescent="0.25">
      <c r="A1178" t="s">
        <v>21</v>
      </c>
      <c r="B1178" s="2">
        <v>45425</v>
      </c>
      <c r="C1178">
        <v>2024</v>
      </c>
      <c r="E1178" t="s">
        <v>6</v>
      </c>
      <c r="F1178">
        <v>113.1</v>
      </c>
    </row>
    <row r="1179" spans="1:6" x14ac:dyDescent="0.25">
      <c r="A1179" t="s">
        <v>21</v>
      </c>
      <c r="B1179" s="2">
        <v>45441</v>
      </c>
      <c r="C1179">
        <v>2024</v>
      </c>
      <c r="E1179" t="s">
        <v>6</v>
      </c>
      <c r="F1179">
        <v>115.1</v>
      </c>
    </row>
    <row r="1180" spans="1:6" x14ac:dyDescent="0.25">
      <c r="A1180" t="s">
        <v>21</v>
      </c>
      <c r="B1180" s="2">
        <v>45453</v>
      </c>
      <c r="C1180">
        <v>2024</v>
      </c>
      <c r="E1180" t="s">
        <v>6</v>
      </c>
      <c r="F1180">
        <v>114.5</v>
      </c>
    </row>
    <row r="1181" spans="1:6" x14ac:dyDescent="0.25">
      <c r="A1181" t="s">
        <v>21</v>
      </c>
      <c r="B1181" s="2">
        <v>45314</v>
      </c>
      <c r="C1181">
        <v>2024</v>
      </c>
      <c r="E1181" t="s">
        <v>6</v>
      </c>
      <c r="F1181">
        <v>59.9</v>
      </c>
    </row>
    <row r="1182" spans="1:6" x14ac:dyDescent="0.25">
      <c r="A1182" t="s">
        <v>21</v>
      </c>
      <c r="B1182" s="2">
        <v>45336</v>
      </c>
      <c r="C1182">
        <v>2024</v>
      </c>
      <c r="E1182" t="s">
        <v>6</v>
      </c>
      <c r="F1182">
        <v>66.7</v>
      </c>
    </row>
    <row r="1183" spans="1:6" x14ac:dyDescent="0.25">
      <c r="A1183" t="s">
        <v>21</v>
      </c>
      <c r="B1183" s="2">
        <v>45348</v>
      </c>
      <c r="C1183">
        <v>2024</v>
      </c>
      <c r="E1183" t="s">
        <v>6</v>
      </c>
      <c r="F1183">
        <v>74.900000000000006</v>
      </c>
    </row>
    <row r="1184" spans="1:6" x14ac:dyDescent="0.25">
      <c r="A1184" t="s">
        <v>21</v>
      </c>
      <c r="B1184" s="2">
        <v>45365</v>
      </c>
      <c r="C1184">
        <v>2024</v>
      </c>
      <c r="E1184" t="s">
        <v>6</v>
      </c>
      <c r="F1184">
        <v>85.1</v>
      </c>
    </row>
    <row r="1185" spans="1:6" x14ac:dyDescent="0.25">
      <c r="A1185" t="s">
        <v>21</v>
      </c>
      <c r="B1185" s="2">
        <v>45379</v>
      </c>
      <c r="C1185">
        <v>2024</v>
      </c>
      <c r="E1185" t="s">
        <v>6</v>
      </c>
      <c r="F1185">
        <v>90.7</v>
      </c>
    </row>
    <row r="1186" spans="1:6" x14ac:dyDescent="0.25">
      <c r="A1186" t="s">
        <v>21</v>
      </c>
      <c r="B1186" s="2">
        <v>45390</v>
      </c>
      <c r="C1186">
        <v>2024</v>
      </c>
      <c r="E1186" t="s">
        <v>6</v>
      </c>
      <c r="F1186">
        <v>91.8</v>
      </c>
    </row>
    <row r="1187" spans="1:6" x14ac:dyDescent="0.25">
      <c r="A1187" t="s">
        <v>21</v>
      </c>
      <c r="B1187" s="2">
        <v>45404</v>
      </c>
      <c r="C1187">
        <v>2024</v>
      </c>
      <c r="E1187" t="s">
        <v>6</v>
      </c>
      <c r="F1187">
        <v>98.2</v>
      </c>
    </row>
    <row r="1188" spans="1:6" x14ac:dyDescent="0.25">
      <c r="A1188" t="s">
        <v>21</v>
      </c>
      <c r="B1188" s="2">
        <v>45413</v>
      </c>
      <c r="C1188">
        <v>2024</v>
      </c>
      <c r="E1188" t="s">
        <v>6</v>
      </c>
      <c r="F1188">
        <v>101.7</v>
      </c>
    </row>
    <row r="1189" spans="1:6" x14ac:dyDescent="0.25">
      <c r="A1189" t="s">
        <v>21</v>
      </c>
      <c r="B1189" s="2">
        <v>45425</v>
      </c>
      <c r="C1189">
        <v>2024</v>
      </c>
      <c r="E1189" t="s">
        <v>6</v>
      </c>
      <c r="F1189">
        <v>103.3</v>
      </c>
    </row>
    <row r="1190" spans="1:6" x14ac:dyDescent="0.25">
      <c r="A1190" t="s">
        <v>21</v>
      </c>
      <c r="B1190" s="2">
        <v>45441</v>
      </c>
      <c r="C1190">
        <v>2024</v>
      </c>
      <c r="E1190" t="s">
        <v>6</v>
      </c>
      <c r="F1190">
        <v>99.2</v>
      </c>
    </row>
    <row r="1191" spans="1:6" x14ac:dyDescent="0.25">
      <c r="A1191" t="s">
        <v>21</v>
      </c>
      <c r="B1191" s="2">
        <v>45453</v>
      </c>
      <c r="C1191">
        <v>2024</v>
      </c>
      <c r="E1191" t="s">
        <v>6</v>
      </c>
      <c r="F1191">
        <v>99.8</v>
      </c>
    </row>
    <row r="1192" spans="1:6" x14ac:dyDescent="0.25">
      <c r="A1192" t="s">
        <v>21</v>
      </c>
      <c r="B1192" s="2">
        <v>45316</v>
      </c>
      <c r="C1192">
        <v>2024</v>
      </c>
      <c r="E1192" t="s">
        <v>6</v>
      </c>
      <c r="F1192">
        <v>57.1</v>
      </c>
    </row>
    <row r="1193" spans="1:6" x14ac:dyDescent="0.25">
      <c r="A1193" t="s">
        <v>21</v>
      </c>
      <c r="B1193" s="2">
        <v>45337</v>
      </c>
      <c r="C1193">
        <v>2024</v>
      </c>
      <c r="E1193" t="s">
        <v>6</v>
      </c>
      <c r="F1193">
        <v>71.099999999999994</v>
      </c>
    </row>
    <row r="1194" spans="1:6" x14ac:dyDescent="0.25">
      <c r="A1194" t="s">
        <v>21</v>
      </c>
      <c r="B1194" s="2">
        <v>45350</v>
      </c>
      <c r="C1194">
        <v>2024</v>
      </c>
      <c r="E1194" t="s">
        <v>6</v>
      </c>
      <c r="F1194">
        <v>77</v>
      </c>
    </row>
    <row r="1195" spans="1:6" x14ac:dyDescent="0.25">
      <c r="A1195" t="s">
        <v>21</v>
      </c>
      <c r="B1195" s="2">
        <v>45364</v>
      </c>
      <c r="C1195">
        <v>2024</v>
      </c>
      <c r="E1195" t="s">
        <v>6</v>
      </c>
      <c r="F1195">
        <v>83.1</v>
      </c>
    </row>
    <row r="1196" spans="1:6" x14ac:dyDescent="0.25">
      <c r="A1196" t="s">
        <v>21</v>
      </c>
      <c r="B1196" s="2">
        <v>45378</v>
      </c>
      <c r="C1196">
        <v>2024</v>
      </c>
      <c r="E1196" t="s">
        <v>6</v>
      </c>
      <c r="F1196">
        <v>87.3</v>
      </c>
    </row>
    <row r="1197" spans="1:6" x14ac:dyDescent="0.25">
      <c r="A1197" t="s">
        <v>21</v>
      </c>
      <c r="B1197" s="2">
        <v>45393</v>
      </c>
      <c r="C1197">
        <v>2024</v>
      </c>
      <c r="E1197" t="s">
        <v>6</v>
      </c>
      <c r="F1197">
        <v>86.6</v>
      </c>
    </row>
    <row r="1198" spans="1:6" x14ac:dyDescent="0.25">
      <c r="A1198" t="s">
        <v>21</v>
      </c>
      <c r="B1198" s="2">
        <v>45404</v>
      </c>
      <c r="C1198">
        <v>2024</v>
      </c>
      <c r="E1198" t="s">
        <v>6</v>
      </c>
      <c r="F1198">
        <v>90.1</v>
      </c>
    </row>
    <row r="1199" spans="1:6" x14ac:dyDescent="0.25">
      <c r="A1199" t="s">
        <v>21</v>
      </c>
      <c r="B1199" s="2">
        <v>45414</v>
      </c>
      <c r="C1199">
        <v>2024</v>
      </c>
      <c r="E1199" t="s">
        <v>6</v>
      </c>
      <c r="F1199">
        <v>99.7</v>
      </c>
    </row>
    <row r="1200" spans="1:6" x14ac:dyDescent="0.25">
      <c r="A1200" t="s">
        <v>21</v>
      </c>
      <c r="B1200" s="2">
        <v>45425</v>
      </c>
      <c r="C1200">
        <v>2024</v>
      </c>
      <c r="E1200" t="s">
        <v>6</v>
      </c>
      <c r="F1200">
        <v>101.1</v>
      </c>
    </row>
    <row r="1201" spans="1:6" x14ac:dyDescent="0.25">
      <c r="A1201" t="s">
        <v>21</v>
      </c>
      <c r="B1201" s="2">
        <v>45441</v>
      </c>
      <c r="C1201">
        <v>2024</v>
      </c>
      <c r="E1201" t="s">
        <v>6</v>
      </c>
      <c r="F1201">
        <v>100.3</v>
      </c>
    </row>
    <row r="1202" spans="1:6" x14ac:dyDescent="0.25">
      <c r="A1202" t="s">
        <v>21</v>
      </c>
      <c r="B1202" s="2">
        <v>45453</v>
      </c>
      <c r="C1202">
        <v>2024</v>
      </c>
      <c r="E1202" t="s">
        <v>6</v>
      </c>
      <c r="F1202">
        <v>97.4</v>
      </c>
    </row>
    <row r="1203" spans="1:6" x14ac:dyDescent="0.25">
      <c r="A1203" t="s">
        <v>21</v>
      </c>
      <c r="B1203" s="2">
        <v>45316</v>
      </c>
      <c r="C1203">
        <v>2024</v>
      </c>
      <c r="E1203" t="s">
        <v>6</v>
      </c>
      <c r="F1203">
        <v>64.400000000000006</v>
      </c>
    </row>
    <row r="1204" spans="1:6" x14ac:dyDescent="0.25">
      <c r="A1204" t="s">
        <v>21</v>
      </c>
      <c r="B1204" s="2">
        <v>45337</v>
      </c>
      <c r="C1204">
        <v>2024</v>
      </c>
      <c r="E1204" t="s">
        <v>6</v>
      </c>
      <c r="F1204">
        <v>68.599999999999994</v>
      </c>
    </row>
    <row r="1205" spans="1:6" x14ac:dyDescent="0.25">
      <c r="A1205" t="s">
        <v>21</v>
      </c>
      <c r="B1205" s="2">
        <v>45350</v>
      </c>
      <c r="C1205">
        <v>2024</v>
      </c>
      <c r="E1205" t="s">
        <v>6</v>
      </c>
      <c r="F1205">
        <v>86.5</v>
      </c>
    </row>
    <row r="1206" spans="1:6" x14ac:dyDescent="0.25">
      <c r="A1206" t="s">
        <v>21</v>
      </c>
      <c r="B1206" s="2">
        <v>45364</v>
      </c>
      <c r="C1206">
        <v>2024</v>
      </c>
      <c r="E1206" t="s">
        <v>6</v>
      </c>
      <c r="F1206">
        <v>90</v>
      </c>
    </row>
    <row r="1207" spans="1:6" x14ac:dyDescent="0.25">
      <c r="A1207" t="s">
        <v>21</v>
      </c>
      <c r="B1207" s="2">
        <v>45378</v>
      </c>
      <c r="C1207">
        <v>2024</v>
      </c>
      <c r="E1207" t="s">
        <v>6</v>
      </c>
      <c r="F1207">
        <v>98.4</v>
      </c>
    </row>
    <row r="1208" spans="1:6" x14ac:dyDescent="0.25">
      <c r="A1208" t="s">
        <v>21</v>
      </c>
      <c r="B1208" s="2">
        <v>45390</v>
      </c>
      <c r="C1208">
        <v>2024</v>
      </c>
      <c r="E1208" t="s">
        <v>6</v>
      </c>
      <c r="F1208">
        <v>102.7</v>
      </c>
    </row>
    <row r="1209" spans="1:6" x14ac:dyDescent="0.25">
      <c r="A1209" t="s">
        <v>21</v>
      </c>
      <c r="B1209" s="2">
        <v>45407</v>
      </c>
      <c r="C1209">
        <v>2024</v>
      </c>
      <c r="E1209" t="s">
        <v>6</v>
      </c>
      <c r="F1209">
        <v>102.3</v>
      </c>
    </row>
    <row r="1210" spans="1:6" x14ac:dyDescent="0.25">
      <c r="A1210" t="s">
        <v>21</v>
      </c>
      <c r="B1210" s="2">
        <v>45413</v>
      </c>
      <c r="C1210">
        <v>2024</v>
      </c>
      <c r="E1210" t="s">
        <v>6</v>
      </c>
      <c r="F1210">
        <v>103.9</v>
      </c>
    </row>
    <row r="1211" spans="1:6" x14ac:dyDescent="0.25">
      <c r="A1211" t="s">
        <v>21</v>
      </c>
      <c r="B1211" s="2">
        <v>45425</v>
      </c>
      <c r="C1211">
        <v>2024</v>
      </c>
      <c r="E1211" t="s">
        <v>6</v>
      </c>
      <c r="F1211">
        <v>100.2</v>
      </c>
    </row>
    <row r="1212" spans="1:6" x14ac:dyDescent="0.25">
      <c r="A1212" t="s">
        <v>21</v>
      </c>
      <c r="B1212" s="2">
        <v>45439</v>
      </c>
      <c r="C1212">
        <v>2024</v>
      </c>
      <c r="E1212" t="s">
        <v>6</v>
      </c>
      <c r="F1212">
        <v>103</v>
      </c>
    </row>
    <row r="1213" spans="1:6" x14ac:dyDescent="0.25">
      <c r="A1213" t="s">
        <v>21</v>
      </c>
      <c r="B1213" s="2">
        <v>45454</v>
      </c>
      <c r="C1213">
        <v>2024</v>
      </c>
      <c r="E1213" t="s">
        <v>6</v>
      </c>
      <c r="F1213">
        <v>101.2</v>
      </c>
    </row>
    <row r="1214" spans="1:6" x14ac:dyDescent="0.25">
      <c r="A1214" t="s">
        <v>26</v>
      </c>
      <c r="B1214" s="2">
        <v>45315</v>
      </c>
      <c r="C1214">
        <v>2024</v>
      </c>
      <c r="E1214" t="s">
        <v>10</v>
      </c>
      <c r="F1214">
        <v>67.5</v>
      </c>
    </row>
    <row r="1215" spans="1:6" x14ac:dyDescent="0.25">
      <c r="A1215" t="s">
        <v>26</v>
      </c>
      <c r="B1215" s="2">
        <v>45335</v>
      </c>
      <c r="C1215">
        <v>2024</v>
      </c>
      <c r="E1215" t="s">
        <v>10</v>
      </c>
      <c r="F1215">
        <v>78.2</v>
      </c>
    </row>
    <row r="1216" spans="1:6" x14ac:dyDescent="0.25">
      <c r="A1216" t="s">
        <v>26</v>
      </c>
      <c r="B1216" s="2">
        <v>45349</v>
      </c>
      <c r="C1216">
        <v>2024</v>
      </c>
      <c r="E1216" t="s">
        <v>10</v>
      </c>
      <c r="F1216">
        <v>86.7</v>
      </c>
    </row>
    <row r="1217" spans="1:6" x14ac:dyDescent="0.25">
      <c r="A1217" t="s">
        <v>26</v>
      </c>
      <c r="B1217" s="2">
        <v>45363</v>
      </c>
      <c r="C1217">
        <v>2024</v>
      </c>
      <c r="E1217" t="s">
        <v>10</v>
      </c>
      <c r="F1217">
        <v>92.6</v>
      </c>
    </row>
    <row r="1218" spans="1:6" x14ac:dyDescent="0.25">
      <c r="A1218" t="s">
        <v>26</v>
      </c>
      <c r="B1218" s="2">
        <v>45378</v>
      </c>
      <c r="C1218">
        <v>2024</v>
      </c>
      <c r="E1218" t="s">
        <v>10</v>
      </c>
      <c r="F1218">
        <v>99.8</v>
      </c>
    </row>
    <row r="1219" spans="1:6" x14ac:dyDescent="0.25">
      <c r="A1219" t="s">
        <v>26</v>
      </c>
      <c r="B1219" s="2">
        <v>45390</v>
      </c>
      <c r="C1219">
        <v>2024</v>
      </c>
      <c r="E1219" t="s">
        <v>10</v>
      </c>
      <c r="F1219">
        <v>103.5</v>
      </c>
    </row>
    <row r="1220" spans="1:6" x14ac:dyDescent="0.25">
      <c r="A1220" t="s">
        <v>26</v>
      </c>
      <c r="B1220" s="2">
        <v>45406</v>
      </c>
      <c r="C1220">
        <v>2024</v>
      </c>
      <c r="E1220" t="s">
        <v>10</v>
      </c>
      <c r="F1220">
        <v>113.8</v>
      </c>
    </row>
    <row r="1221" spans="1:6" x14ac:dyDescent="0.25">
      <c r="A1221" t="s">
        <v>26</v>
      </c>
      <c r="B1221" s="2">
        <v>45412</v>
      </c>
      <c r="C1221">
        <v>2024</v>
      </c>
      <c r="E1221" t="s">
        <v>10</v>
      </c>
      <c r="F1221">
        <v>87.9</v>
      </c>
    </row>
    <row r="1222" spans="1:6" x14ac:dyDescent="0.25">
      <c r="A1222" t="s">
        <v>26</v>
      </c>
      <c r="B1222" s="2">
        <v>45427</v>
      </c>
      <c r="C1222">
        <v>2024</v>
      </c>
      <c r="E1222" t="s">
        <v>10</v>
      </c>
      <c r="F1222">
        <v>105.6</v>
      </c>
    </row>
    <row r="1223" spans="1:6" x14ac:dyDescent="0.25">
      <c r="A1223" t="s">
        <v>26</v>
      </c>
      <c r="B1223" s="2">
        <v>45441</v>
      </c>
      <c r="C1223">
        <v>2024</v>
      </c>
      <c r="E1223" t="s">
        <v>10</v>
      </c>
      <c r="F1223">
        <v>99.6</v>
      </c>
    </row>
    <row r="1224" spans="1:6" x14ac:dyDescent="0.25">
      <c r="A1224" t="s">
        <v>26</v>
      </c>
      <c r="B1224" s="2">
        <v>45454</v>
      </c>
      <c r="C1224">
        <v>2024</v>
      </c>
      <c r="E1224" t="s">
        <v>10</v>
      </c>
      <c r="F1224">
        <v>104.6</v>
      </c>
    </row>
  </sheetData>
  <autoFilter ref="B1:B612" xr:uid="{00000000-0001-0000-0000-000000000000}"/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dimension ref="A1:G1224"/>
  <sheetViews>
    <sheetView topLeftCell="A597" zoomScale="60" zoomScaleNormal="60" workbookViewId="0">
      <selection activeCell="E1224" sqref="A614:E1224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33.140625" customWidth="1"/>
    <col min="7" max="7" width="36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</row>
    <row r="2" spans="1:7" x14ac:dyDescent="0.25">
      <c r="A2" t="s">
        <v>8</v>
      </c>
      <c r="B2" s="2">
        <v>44603</v>
      </c>
      <c r="C2">
        <v>2022</v>
      </c>
      <c r="D2" s="2"/>
      <c r="E2" t="s">
        <v>6</v>
      </c>
      <c r="F2">
        <v>7.4897999999999998</v>
      </c>
    </row>
    <row r="3" spans="1:7" x14ac:dyDescent="0.25">
      <c r="A3" t="s">
        <v>8</v>
      </c>
      <c r="B3" s="2">
        <v>44608</v>
      </c>
      <c r="C3">
        <v>2022</v>
      </c>
      <c r="E3" t="s">
        <v>6</v>
      </c>
      <c r="F3">
        <v>10.318</v>
      </c>
    </row>
    <row r="4" spans="1:7" x14ac:dyDescent="0.25">
      <c r="A4" t="s">
        <v>8</v>
      </c>
      <c r="B4" s="2">
        <v>44622</v>
      </c>
      <c r="C4">
        <v>2022</v>
      </c>
      <c r="E4" t="s">
        <v>6</v>
      </c>
      <c r="F4">
        <v>12.741299999999999</v>
      </c>
    </row>
    <row r="5" spans="1:7" x14ac:dyDescent="0.25">
      <c r="A5" t="s">
        <v>8</v>
      </c>
      <c r="B5" s="2">
        <v>44636</v>
      </c>
      <c r="C5">
        <v>2022</v>
      </c>
      <c r="E5" t="s">
        <v>6</v>
      </c>
      <c r="F5">
        <v>10.8872</v>
      </c>
    </row>
    <row r="6" spans="1:7" x14ac:dyDescent="0.25">
      <c r="A6" t="s">
        <v>8</v>
      </c>
      <c r="B6" s="2">
        <v>44650</v>
      </c>
      <c r="C6">
        <v>2022</v>
      </c>
      <c r="E6" t="s">
        <v>6</v>
      </c>
      <c r="F6">
        <v>13.892000000000001</v>
      </c>
    </row>
    <row r="7" spans="1:7" x14ac:dyDescent="0.25">
      <c r="A7" t="s">
        <v>8</v>
      </c>
      <c r="B7" s="2">
        <v>44664</v>
      </c>
      <c r="C7">
        <v>2022</v>
      </c>
      <c r="E7" t="s">
        <v>6</v>
      </c>
      <c r="F7">
        <v>15.2</v>
      </c>
    </row>
    <row r="8" spans="1:7" x14ac:dyDescent="0.25">
      <c r="A8" t="s">
        <v>8</v>
      </c>
      <c r="B8" s="2">
        <v>44672</v>
      </c>
      <c r="C8">
        <v>2022</v>
      </c>
      <c r="E8" t="s">
        <v>6</v>
      </c>
      <c r="F8">
        <v>16.432000000000002</v>
      </c>
    </row>
    <row r="9" spans="1:7" x14ac:dyDescent="0.25">
      <c r="A9" t="s">
        <v>8</v>
      </c>
      <c r="B9" s="2">
        <v>44680</v>
      </c>
      <c r="C9">
        <v>2022</v>
      </c>
      <c r="E9" t="s">
        <v>6</v>
      </c>
      <c r="F9">
        <v>16.502500000000001</v>
      </c>
    </row>
    <row r="10" spans="1:7" x14ac:dyDescent="0.25">
      <c r="A10" t="s">
        <v>8</v>
      </c>
      <c r="B10" s="2">
        <v>44685</v>
      </c>
      <c r="C10">
        <v>2022</v>
      </c>
      <c r="E10" t="s">
        <v>6</v>
      </c>
      <c r="F10">
        <v>16.732200000000002</v>
      </c>
    </row>
    <row r="11" spans="1:7" x14ac:dyDescent="0.25">
      <c r="A11" t="s">
        <v>8</v>
      </c>
      <c r="B11" s="2">
        <v>44699</v>
      </c>
      <c r="C11">
        <v>2022</v>
      </c>
      <c r="E11" t="s">
        <v>6</v>
      </c>
      <c r="F11">
        <v>17.0655</v>
      </c>
    </row>
    <row r="12" spans="1:7" x14ac:dyDescent="0.25">
      <c r="A12" t="s">
        <v>8</v>
      </c>
      <c r="B12" s="2">
        <v>44713</v>
      </c>
      <c r="C12">
        <v>2022</v>
      </c>
      <c r="E12" t="s">
        <v>6</v>
      </c>
      <c r="F12">
        <v>17.685500000000001</v>
      </c>
    </row>
    <row r="13" spans="1:7" x14ac:dyDescent="0.25">
      <c r="A13" t="s">
        <v>8</v>
      </c>
      <c r="B13" s="2">
        <v>44952</v>
      </c>
      <c r="C13">
        <v>2023</v>
      </c>
      <c r="E13" t="s">
        <v>6</v>
      </c>
      <c r="F13">
        <v>6.3356000000000003</v>
      </c>
    </row>
    <row r="14" spans="1:7" x14ac:dyDescent="0.25">
      <c r="A14" t="s">
        <v>8</v>
      </c>
      <c r="B14" s="2">
        <v>44973</v>
      </c>
      <c r="C14">
        <v>2023</v>
      </c>
      <c r="E14" t="s">
        <v>6</v>
      </c>
      <c r="F14">
        <v>9.4124999999999996</v>
      </c>
    </row>
    <row r="15" spans="1:7" x14ac:dyDescent="0.25">
      <c r="A15" t="s">
        <v>8</v>
      </c>
      <c r="B15" s="2">
        <v>44984</v>
      </c>
      <c r="C15">
        <v>2023</v>
      </c>
      <c r="E15" t="s">
        <v>6</v>
      </c>
      <c r="F15">
        <v>11.8299</v>
      </c>
    </row>
    <row r="16" spans="1:7" x14ac:dyDescent="0.25">
      <c r="A16" t="s">
        <v>8</v>
      </c>
      <c r="B16" s="2">
        <v>45000</v>
      </c>
      <c r="C16">
        <v>2023</v>
      </c>
      <c r="E16" t="s">
        <v>6</v>
      </c>
      <c r="F16">
        <v>14.16</v>
      </c>
    </row>
    <row r="17" spans="1:6" x14ac:dyDescent="0.25">
      <c r="A17" t="s">
        <v>8</v>
      </c>
      <c r="B17" s="2">
        <v>45015</v>
      </c>
      <c r="C17">
        <v>2023</v>
      </c>
      <c r="E17" t="s">
        <v>6</v>
      </c>
      <c r="F17">
        <v>15.593</v>
      </c>
    </row>
    <row r="18" spans="1:6" x14ac:dyDescent="0.25">
      <c r="A18" t="s">
        <v>8</v>
      </c>
      <c r="B18" s="2">
        <v>45029</v>
      </c>
      <c r="C18">
        <v>2023</v>
      </c>
      <c r="E18" t="s">
        <v>6</v>
      </c>
      <c r="F18">
        <v>16.170999999999999</v>
      </c>
    </row>
    <row r="19" spans="1:6" x14ac:dyDescent="0.25">
      <c r="A19" t="s">
        <v>8</v>
      </c>
      <c r="B19" s="2">
        <v>45041</v>
      </c>
      <c r="C19">
        <v>2023</v>
      </c>
      <c r="E19" t="s">
        <v>6</v>
      </c>
      <c r="F19">
        <v>18.248999999999999</v>
      </c>
    </row>
    <row r="20" spans="1:6" x14ac:dyDescent="0.25">
      <c r="A20" t="s">
        <v>8</v>
      </c>
      <c r="B20" s="2">
        <v>45049</v>
      </c>
      <c r="C20">
        <v>2023</v>
      </c>
      <c r="E20" t="s">
        <v>6</v>
      </c>
      <c r="F20">
        <v>18.7944</v>
      </c>
    </row>
    <row r="21" spans="1:6" x14ac:dyDescent="0.25">
      <c r="A21" t="s">
        <v>8</v>
      </c>
      <c r="B21" s="2">
        <v>45062</v>
      </c>
      <c r="C21">
        <v>2023</v>
      </c>
      <c r="E21" t="s">
        <v>6</v>
      </c>
      <c r="F21">
        <v>19.488899999999997</v>
      </c>
    </row>
    <row r="22" spans="1:6" x14ac:dyDescent="0.25">
      <c r="A22" t="s">
        <v>8</v>
      </c>
      <c r="B22" s="2">
        <v>45076</v>
      </c>
      <c r="C22">
        <v>2023</v>
      </c>
      <c r="E22" t="s">
        <v>6</v>
      </c>
      <c r="F22">
        <v>20.195999999999998</v>
      </c>
    </row>
    <row r="23" spans="1:6" x14ac:dyDescent="0.25">
      <c r="A23" t="s">
        <v>8</v>
      </c>
      <c r="B23" s="2">
        <v>45083</v>
      </c>
      <c r="C23">
        <v>2023</v>
      </c>
      <c r="E23" t="s">
        <v>6</v>
      </c>
      <c r="F23">
        <v>19.545300000000001</v>
      </c>
    </row>
    <row r="24" spans="1:6" x14ac:dyDescent="0.25">
      <c r="A24" t="s">
        <v>8</v>
      </c>
      <c r="B24" s="2">
        <v>45316</v>
      </c>
      <c r="C24">
        <v>2024</v>
      </c>
      <c r="E24" t="s">
        <v>6</v>
      </c>
      <c r="F24">
        <v>5.22</v>
      </c>
    </row>
    <row r="25" spans="1:6" x14ac:dyDescent="0.25">
      <c r="A25" t="s">
        <v>8</v>
      </c>
      <c r="B25" s="2">
        <v>45337</v>
      </c>
      <c r="C25">
        <v>2024</v>
      </c>
      <c r="E25" t="s">
        <v>6</v>
      </c>
      <c r="F25">
        <v>8.4240000000000013</v>
      </c>
    </row>
    <row r="26" spans="1:6" x14ac:dyDescent="0.25">
      <c r="A26" t="s">
        <v>8</v>
      </c>
      <c r="B26" s="2">
        <v>45350</v>
      </c>
      <c r="C26">
        <v>2024</v>
      </c>
      <c r="E26" t="s">
        <v>6</v>
      </c>
      <c r="F26">
        <v>10.503</v>
      </c>
    </row>
    <row r="27" spans="1:6" x14ac:dyDescent="0.25">
      <c r="A27" t="s">
        <v>8</v>
      </c>
      <c r="B27" s="2">
        <v>45364</v>
      </c>
      <c r="C27">
        <v>2024</v>
      </c>
      <c r="E27" t="s">
        <v>6</v>
      </c>
      <c r="F27">
        <v>12.1472</v>
      </c>
    </row>
    <row r="28" spans="1:6" x14ac:dyDescent="0.25">
      <c r="A28" t="s">
        <v>8</v>
      </c>
      <c r="B28" s="2">
        <v>45378</v>
      </c>
      <c r="C28">
        <v>2024</v>
      </c>
      <c r="E28" t="s">
        <v>6</v>
      </c>
      <c r="F28">
        <v>13.311000000000002</v>
      </c>
    </row>
    <row r="29" spans="1:6" x14ac:dyDescent="0.25">
      <c r="A29" t="s">
        <v>8</v>
      </c>
      <c r="B29" s="2">
        <v>45390</v>
      </c>
      <c r="C29">
        <v>2024</v>
      </c>
      <c r="E29" t="s">
        <v>6</v>
      </c>
      <c r="F29">
        <v>12.973500000000001</v>
      </c>
    </row>
    <row r="30" spans="1:6" x14ac:dyDescent="0.25">
      <c r="A30" t="s">
        <v>8</v>
      </c>
      <c r="B30" s="2">
        <v>45404</v>
      </c>
      <c r="C30">
        <v>2024</v>
      </c>
      <c r="E30" t="s">
        <v>6</v>
      </c>
      <c r="F30">
        <v>14.267999999999999</v>
      </c>
    </row>
    <row r="31" spans="1:6" x14ac:dyDescent="0.25">
      <c r="A31" t="s">
        <v>8</v>
      </c>
      <c r="B31" s="2">
        <v>45414</v>
      </c>
      <c r="C31">
        <v>2024</v>
      </c>
      <c r="E31" t="s">
        <v>6</v>
      </c>
      <c r="F31">
        <v>15.624000000000001</v>
      </c>
    </row>
    <row r="32" spans="1:6" x14ac:dyDescent="0.25">
      <c r="A32" t="s">
        <v>8</v>
      </c>
      <c r="B32" s="2">
        <v>45425</v>
      </c>
      <c r="C32">
        <v>2024</v>
      </c>
      <c r="E32" t="s">
        <v>6</v>
      </c>
      <c r="F32">
        <v>15.652000000000001</v>
      </c>
    </row>
    <row r="33" spans="1:6" x14ac:dyDescent="0.25">
      <c r="A33" t="s">
        <v>8</v>
      </c>
      <c r="B33" s="2">
        <v>45439</v>
      </c>
      <c r="C33">
        <v>2024</v>
      </c>
      <c r="E33" t="s">
        <v>6</v>
      </c>
      <c r="F33">
        <v>14.858400000000001</v>
      </c>
    </row>
    <row r="34" spans="1:6" x14ac:dyDescent="0.25">
      <c r="A34" t="s">
        <v>8</v>
      </c>
      <c r="B34" s="2">
        <v>45454</v>
      </c>
      <c r="C34">
        <v>2024</v>
      </c>
      <c r="E34" t="s">
        <v>6</v>
      </c>
      <c r="F34">
        <v>14.500800000000002</v>
      </c>
    </row>
    <row r="35" spans="1:6" x14ac:dyDescent="0.25">
      <c r="A35" t="s">
        <v>8</v>
      </c>
      <c r="B35" s="2">
        <v>44595</v>
      </c>
      <c r="C35">
        <v>2022</v>
      </c>
      <c r="E35" t="s">
        <v>6</v>
      </c>
      <c r="F35">
        <v>9.6047999999999991</v>
      </c>
    </row>
    <row r="36" spans="1:6" x14ac:dyDescent="0.25">
      <c r="A36" t="s">
        <v>8</v>
      </c>
      <c r="B36" s="2">
        <v>44608</v>
      </c>
      <c r="C36">
        <v>2022</v>
      </c>
      <c r="E36" t="s">
        <v>6</v>
      </c>
      <c r="F36">
        <v>12.738</v>
      </c>
    </row>
    <row r="37" spans="1:6" x14ac:dyDescent="0.25">
      <c r="A37" t="s">
        <v>8</v>
      </c>
      <c r="B37" s="2">
        <v>44622</v>
      </c>
      <c r="C37">
        <v>2022</v>
      </c>
      <c r="E37" t="s">
        <v>6</v>
      </c>
      <c r="F37">
        <v>14.497</v>
      </c>
    </row>
    <row r="38" spans="1:6" x14ac:dyDescent="0.25">
      <c r="A38" t="s">
        <v>8</v>
      </c>
      <c r="B38" s="2">
        <v>44636</v>
      </c>
      <c r="C38">
        <v>2022</v>
      </c>
      <c r="E38" t="s">
        <v>6</v>
      </c>
      <c r="F38">
        <v>17.078399999999998</v>
      </c>
    </row>
    <row r="39" spans="1:6" x14ac:dyDescent="0.25">
      <c r="A39" t="s">
        <v>8</v>
      </c>
      <c r="B39" s="2">
        <v>44650</v>
      </c>
      <c r="C39">
        <v>2022</v>
      </c>
      <c r="E39" t="s">
        <v>6</v>
      </c>
      <c r="F39">
        <v>20.495999999999999</v>
      </c>
    </row>
    <row r="40" spans="1:6" x14ac:dyDescent="0.25">
      <c r="A40" t="s">
        <v>8</v>
      </c>
      <c r="B40" s="2">
        <v>44664</v>
      </c>
      <c r="C40">
        <v>2022</v>
      </c>
      <c r="E40" t="s">
        <v>6</v>
      </c>
      <c r="F40">
        <v>22.349699999999999</v>
      </c>
    </row>
    <row r="41" spans="1:6" x14ac:dyDescent="0.25">
      <c r="A41" t="s">
        <v>8</v>
      </c>
      <c r="B41" s="2">
        <v>44672</v>
      </c>
      <c r="C41">
        <v>2022</v>
      </c>
      <c r="E41" t="s">
        <v>6</v>
      </c>
      <c r="F41">
        <v>23.020800000000005</v>
      </c>
    </row>
    <row r="42" spans="1:6" x14ac:dyDescent="0.25">
      <c r="A42" t="s">
        <v>8</v>
      </c>
      <c r="B42" s="2">
        <v>44680</v>
      </c>
      <c r="C42">
        <v>2022</v>
      </c>
      <c r="E42" t="s">
        <v>6</v>
      </c>
      <c r="F42">
        <v>23.687999999999999</v>
      </c>
    </row>
    <row r="43" spans="1:6" x14ac:dyDescent="0.25">
      <c r="A43" t="s">
        <v>8</v>
      </c>
      <c r="B43" s="2">
        <v>44685</v>
      </c>
      <c r="C43">
        <v>2022</v>
      </c>
      <c r="E43" t="s">
        <v>6</v>
      </c>
      <c r="F43">
        <v>24.631799999999998</v>
      </c>
    </row>
    <row r="44" spans="1:6" x14ac:dyDescent="0.25">
      <c r="A44" t="s">
        <v>8</v>
      </c>
      <c r="B44" s="2">
        <v>44699</v>
      </c>
      <c r="C44">
        <v>2022</v>
      </c>
      <c r="E44" t="s">
        <v>6</v>
      </c>
      <c r="F44">
        <v>25.207600000000003</v>
      </c>
    </row>
    <row r="45" spans="1:6" x14ac:dyDescent="0.25">
      <c r="A45" t="s">
        <v>8</v>
      </c>
      <c r="B45" s="2">
        <v>44713</v>
      </c>
      <c r="C45">
        <v>2022</v>
      </c>
      <c r="E45" t="s">
        <v>6</v>
      </c>
      <c r="F45">
        <v>24.039699999999996</v>
      </c>
    </row>
    <row r="46" spans="1:6" x14ac:dyDescent="0.25">
      <c r="A46" t="s">
        <v>8</v>
      </c>
      <c r="B46" s="2">
        <v>44952</v>
      </c>
      <c r="C46">
        <v>2023</v>
      </c>
      <c r="E46" t="s">
        <v>6</v>
      </c>
      <c r="F46">
        <v>7.68</v>
      </c>
    </row>
    <row r="47" spans="1:6" x14ac:dyDescent="0.25">
      <c r="A47" t="s">
        <v>8</v>
      </c>
      <c r="B47" s="2">
        <v>44974</v>
      </c>
      <c r="C47">
        <v>2023</v>
      </c>
      <c r="E47" t="s">
        <v>6</v>
      </c>
      <c r="F47">
        <v>11.2468</v>
      </c>
    </row>
    <row r="48" spans="1:6" x14ac:dyDescent="0.25">
      <c r="A48" t="s">
        <v>8</v>
      </c>
      <c r="B48" s="2">
        <v>44984</v>
      </c>
      <c r="C48">
        <v>2023</v>
      </c>
      <c r="E48" t="s">
        <v>6</v>
      </c>
      <c r="F48">
        <v>14.643999999999998</v>
      </c>
    </row>
    <row r="49" spans="1:6" x14ac:dyDescent="0.25">
      <c r="A49" t="s">
        <v>8</v>
      </c>
      <c r="B49" s="2">
        <v>45000</v>
      </c>
      <c r="C49">
        <v>2023</v>
      </c>
      <c r="E49" t="s">
        <v>6</v>
      </c>
      <c r="F49">
        <v>18.2835</v>
      </c>
    </row>
    <row r="50" spans="1:6" x14ac:dyDescent="0.25">
      <c r="A50" t="s">
        <v>8</v>
      </c>
      <c r="B50" s="2">
        <v>45015</v>
      </c>
      <c r="C50">
        <v>2023</v>
      </c>
      <c r="E50" t="s">
        <v>6</v>
      </c>
      <c r="F50">
        <v>20.590500000000002</v>
      </c>
    </row>
    <row r="51" spans="1:6" x14ac:dyDescent="0.25">
      <c r="A51" t="s">
        <v>8</v>
      </c>
      <c r="B51" s="2">
        <v>45029</v>
      </c>
      <c r="C51">
        <v>2023</v>
      </c>
      <c r="E51" t="s">
        <v>6</v>
      </c>
      <c r="F51">
        <v>22.845600000000001</v>
      </c>
    </row>
    <row r="52" spans="1:6" x14ac:dyDescent="0.25">
      <c r="A52" t="s">
        <v>8</v>
      </c>
      <c r="B52" s="2">
        <v>45041</v>
      </c>
      <c r="C52">
        <v>2023</v>
      </c>
      <c r="E52" t="s">
        <v>6</v>
      </c>
      <c r="F52">
        <v>23.795200000000001</v>
      </c>
    </row>
    <row r="53" spans="1:6" x14ac:dyDescent="0.25">
      <c r="A53" t="s">
        <v>8</v>
      </c>
      <c r="B53" s="2">
        <v>45049</v>
      </c>
      <c r="C53">
        <v>2023</v>
      </c>
      <c r="E53" t="s">
        <v>6</v>
      </c>
      <c r="F53">
        <v>24.320799999999998</v>
      </c>
    </row>
    <row r="54" spans="1:6" x14ac:dyDescent="0.25">
      <c r="A54" t="s">
        <v>8</v>
      </c>
      <c r="B54" s="2">
        <v>45062</v>
      </c>
      <c r="C54">
        <v>2023</v>
      </c>
      <c r="E54" t="s">
        <v>6</v>
      </c>
      <c r="F54">
        <v>24.446999999999999</v>
      </c>
    </row>
    <row r="55" spans="1:6" x14ac:dyDescent="0.25">
      <c r="A55" t="s">
        <v>8</v>
      </c>
      <c r="B55" s="2">
        <v>45077</v>
      </c>
      <c r="C55">
        <v>2023</v>
      </c>
      <c r="E55" t="s">
        <v>6</v>
      </c>
      <c r="F55">
        <v>24.847199999999997</v>
      </c>
    </row>
    <row r="56" spans="1:6" x14ac:dyDescent="0.25">
      <c r="A56" t="s">
        <v>8</v>
      </c>
      <c r="B56" s="2">
        <v>45083</v>
      </c>
      <c r="C56">
        <v>2023</v>
      </c>
      <c r="E56" t="s">
        <v>6</v>
      </c>
      <c r="F56">
        <v>22.531999999999996</v>
      </c>
    </row>
    <row r="57" spans="1:6" x14ac:dyDescent="0.25">
      <c r="A57" t="s">
        <v>8</v>
      </c>
      <c r="B57" s="2">
        <v>44595</v>
      </c>
      <c r="C57">
        <v>2022</v>
      </c>
      <c r="D57" s="2"/>
      <c r="E57" t="s">
        <v>6</v>
      </c>
      <c r="F57">
        <v>7.4561999999999991</v>
      </c>
    </row>
    <row r="58" spans="1:6" x14ac:dyDescent="0.25">
      <c r="A58" t="s">
        <v>8</v>
      </c>
      <c r="B58" s="2">
        <v>44608</v>
      </c>
      <c r="C58">
        <v>2022</v>
      </c>
      <c r="E58" t="s">
        <v>6</v>
      </c>
      <c r="F58">
        <v>11.081100000000001</v>
      </c>
    </row>
    <row r="59" spans="1:6" x14ac:dyDescent="0.25">
      <c r="A59" t="s">
        <v>8</v>
      </c>
      <c r="B59" s="2">
        <v>44622</v>
      </c>
      <c r="C59">
        <v>2022</v>
      </c>
      <c r="E59" t="s">
        <v>6</v>
      </c>
      <c r="F59">
        <v>12.922000000000001</v>
      </c>
    </row>
    <row r="60" spans="1:6" x14ac:dyDescent="0.25">
      <c r="A60" t="s">
        <v>8</v>
      </c>
      <c r="B60" s="2">
        <v>44636</v>
      </c>
      <c r="C60">
        <v>2022</v>
      </c>
      <c r="E60" t="s">
        <v>6</v>
      </c>
      <c r="F60">
        <v>16.5564</v>
      </c>
    </row>
    <row r="61" spans="1:6" x14ac:dyDescent="0.25">
      <c r="A61" t="s">
        <v>8</v>
      </c>
      <c r="B61" s="2">
        <v>44650</v>
      </c>
      <c r="C61">
        <v>2022</v>
      </c>
      <c r="E61" t="s">
        <v>6</v>
      </c>
      <c r="F61">
        <v>17.243100000000002</v>
      </c>
    </row>
    <row r="62" spans="1:6" x14ac:dyDescent="0.25">
      <c r="A62" t="s">
        <v>8</v>
      </c>
      <c r="B62" s="2">
        <v>44664</v>
      </c>
      <c r="C62">
        <v>2022</v>
      </c>
      <c r="E62" t="s">
        <v>6</v>
      </c>
      <c r="F62">
        <v>18.874200000000002</v>
      </c>
    </row>
    <row r="63" spans="1:6" x14ac:dyDescent="0.25">
      <c r="A63" t="s">
        <v>8</v>
      </c>
      <c r="B63" s="2">
        <v>44673</v>
      </c>
      <c r="C63">
        <v>2022</v>
      </c>
      <c r="E63" t="s">
        <v>6</v>
      </c>
      <c r="F63">
        <v>19.495000000000001</v>
      </c>
    </row>
    <row r="64" spans="1:6" x14ac:dyDescent="0.25">
      <c r="A64" t="s">
        <v>8</v>
      </c>
      <c r="B64" s="2">
        <v>44680</v>
      </c>
      <c r="C64">
        <v>2022</v>
      </c>
      <c r="E64" t="s">
        <v>6</v>
      </c>
      <c r="F64">
        <v>20.399199999999997</v>
      </c>
    </row>
    <row r="65" spans="1:6" x14ac:dyDescent="0.25">
      <c r="A65" t="s">
        <v>8</v>
      </c>
      <c r="B65" s="2">
        <v>44685</v>
      </c>
      <c r="C65">
        <v>2022</v>
      </c>
      <c r="E65" t="s">
        <v>6</v>
      </c>
      <c r="F65">
        <v>22.8123</v>
      </c>
    </row>
    <row r="66" spans="1:6" x14ac:dyDescent="0.25">
      <c r="A66" t="s">
        <v>8</v>
      </c>
      <c r="B66" s="2">
        <v>44699</v>
      </c>
      <c r="C66">
        <v>2022</v>
      </c>
      <c r="E66" t="s">
        <v>6</v>
      </c>
      <c r="F66">
        <v>22.352000000000004</v>
      </c>
    </row>
    <row r="67" spans="1:6" x14ac:dyDescent="0.25">
      <c r="A67" t="s">
        <v>8</v>
      </c>
      <c r="B67" s="2">
        <v>44713</v>
      </c>
      <c r="C67">
        <v>2022</v>
      </c>
      <c r="E67" t="s">
        <v>6</v>
      </c>
      <c r="F67">
        <v>22.697199999999999</v>
      </c>
    </row>
    <row r="68" spans="1:6" x14ac:dyDescent="0.25">
      <c r="A68" t="s">
        <v>8</v>
      </c>
      <c r="B68" s="2">
        <v>44952</v>
      </c>
      <c r="C68">
        <v>2023</v>
      </c>
      <c r="E68" t="s">
        <v>6</v>
      </c>
      <c r="F68">
        <v>7.3137999999999996</v>
      </c>
    </row>
    <row r="69" spans="1:6" x14ac:dyDescent="0.25">
      <c r="A69" t="s">
        <v>8</v>
      </c>
      <c r="B69" s="2">
        <v>44973</v>
      </c>
      <c r="C69">
        <v>2023</v>
      </c>
      <c r="E69" t="s">
        <v>6</v>
      </c>
      <c r="F69">
        <v>11.023599999999998</v>
      </c>
    </row>
    <row r="70" spans="1:6" x14ac:dyDescent="0.25">
      <c r="A70" t="s">
        <v>8</v>
      </c>
      <c r="B70" s="2">
        <v>44987</v>
      </c>
      <c r="C70">
        <v>2023</v>
      </c>
      <c r="E70" t="s">
        <v>6</v>
      </c>
      <c r="F70">
        <v>13.492799999999999</v>
      </c>
    </row>
    <row r="71" spans="1:6" x14ac:dyDescent="0.25">
      <c r="A71" t="s">
        <v>8</v>
      </c>
      <c r="B71" s="2">
        <v>45001</v>
      </c>
      <c r="C71">
        <v>2023</v>
      </c>
      <c r="E71" t="s">
        <v>6</v>
      </c>
      <c r="F71">
        <v>16.840599999999998</v>
      </c>
    </row>
    <row r="72" spans="1:6" x14ac:dyDescent="0.25">
      <c r="A72" t="s">
        <v>8</v>
      </c>
      <c r="B72" s="2">
        <v>45014</v>
      </c>
      <c r="C72">
        <v>2023</v>
      </c>
      <c r="E72" t="s">
        <v>6</v>
      </c>
      <c r="F72">
        <v>19.481999999999999</v>
      </c>
    </row>
    <row r="73" spans="1:6" x14ac:dyDescent="0.25">
      <c r="A73" t="s">
        <v>8</v>
      </c>
      <c r="B73" s="2">
        <v>45029</v>
      </c>
      <c r="C73">
        <v>2023</v>
      </c>
      <c r="E73" t="s">
        <v>6</v>
      </c>
      <c r="F73">
        <v>22.633600000000001</v>
      </c>
    </row>
    <row r="74" spans="1:6" x14ac:dyDescent="0.25">
      <c r="A74" t="s">
        <v>8</v>
      </c>
      <c r="B74" s="2">
        <v>45041</v>
      </c>
      <c r="C74">
        <v>2023</v>
      </c>
      <c r="E74" t="s">
        <v>6</v>
      </c>
      <c r="F74">
        <v>24.105599999999999</v>
      </c>
    </row>
    <row r="75" spans="1:6" x14ac:dyDescent="0.25">
      <c r="A75" t="s">
        <v>8</v>
      </c>
      <c r="B75" s="2">
        <v>45049</v>
      </c>
      <c r="C75">
        <v>2023</v>
      </c>
      <c r="E75" t="s">
        <v>6</v>
      </c>
      <c r="F75">
        <v>25.936899999999994</v>
      </c>
    </row>
    <row r="76" spans="1:6" x14ac:dyDescent="0.25">
      <c r="A76" t="s">
        <v>8</v>
      </c>
      <c r="B76" s="2">
        <v>45062</v>
      </c>
      <c r="C76">
        <v>2023</v>
      </c>
      <c r="E76" t="s">
        <v>6</v>
      </c>
      <c r="F76">
        <v>24.915800000000001</v>
      </c>
    </row>
    <row r="77" spans="1:6" x14ac:dyDescent="0.25">
      <c r="A77" t="s">
        <v>8</v>
      </c>
      <c r="B77" s="2">
        <v>45076</v>
      </c>
      <c r="C77">
        <v>2023</v>
      </c>
      <c r="E77" t="s">
        <v>6</v>
      </c>
      <c r="F77">
        <v>24.590499999999999</v>
      </c>
    </row>
    <row r="78" spans="1:6" x14ac:dyDescent="0.25">
      <c r="A78" t="s">
        <v>8</v>
      </c>
      <c r="B78" s="2">
        <v>45083</v>
      </c>
      <c r="C78">
        <v>2023</v>
      </c>
      <c r="E78" t="s">
        <v>6</v>
      </c>
      <c r="F78">
        <v>25.136999999999997</v>
      </c>
    </row>
    <row r="79" spans="1:6" x14ac:dyDescent="0.25">
      <c r="A79" t="s">
        <v>8</v>
      </c>
      <c r="B79" s="2">
        <v>45314</v>
      </c>
      <c r="C79">
        <v>2024</v>
      </c>
      <c r="E79" t="s">
        <v>6</v>
      </c>
      <c r="F79">
        <v>5.7376000000000014</v>
      </c>
    </row>
    <row r="80" spans="1:6" x14ac:dyDescent="0.25">
      <c r="A80" t="s">
        <v>8</v>
      </c>
      <c r="B80" s="2">
        <v>45337</v>
      </c>
      <c r="C80">
        <v>2024</v>
      </c>
      <c r="E80" t="s">
        <v>6</v>
      </c>
      <c r="F80">
        <v>10.566399999999998</v>
      </c>
    </row>
    <row r="81" spans="1:6" x14ac:dyDescent="0.25">
      <c r="A81" t="s">
        <v>8</v>
      </c>
      <c r="B81" s="2">
        <v>45348</v>
      </c>
      <c r="C81">
        <v>2024</v>
      </c>
      <c r="E81" t="s">
        <v>6</v>
      </c>
      <c r="F81">
        <v>11.4376</v>
      </c>
    </row>
    <row r="82" spans="1:6" x14ac:dyDescent="0.25">
      <c r="A82" t="s">
        <v>8</v>
      </c>
      <c r="B82" s="2">
        <v>45365</v>
      </c>
      <c r="C82">
        <v>2024</v>
      </c>
      <c r="E82" t="s">
        <v>6</v>
      </c>
      <c r="F82">
        <v>14.351400000000002</v>
      </c>
    </row>
    <row r="83" spans="1:6" x14ac:dyDescent="0.25">
      <c r="A83" t="s">
        <v>8</v>
      </c>
      <c r="B83" s="2">
        <v>45379</v>
      </c>
      <c r="C83">
        <v>2024</v>
      </c>
      <c r="E83" t="s">
        <v>6</v>
      </c>
      <c r="F83">
        <v>16.467200000000002</v>
      </c>
    </row>
    <row r="84" spans="1:6" x14ac:dyDescent="0.25">
      <c r="A84" t="s">
        <v>8</v>
      </c>
      <c r="B84" s="2">
        <v>45393</v>
      </c>
      <c r="C84">
        <v>2024</v>
      </c>
      <c r="E84" t="s">
        <v>6</v>
      </c>
      <c r="F84">
        <v>17.629000000000001</v>
      </c>
    </row>
    <row r="85" spans="1:6" x14ac:dyDescent="0.25">
      <c r="A85" t="s">
        <v>8</v>
      </c>
      <c r="B85" s="2">
        <v>45407</v>
      </c>
      <c r="C85">
        <v>2024</v>
      </c>
      <c r="E85" t="s">
        <v>6</v>
      </c>
      <c r="F85">
        <v>18.948599999999999</v>
      </c>
    </row>
    <row r="86" spans="1:6" x14ac:dyDescent="0.25">
      <c r="A86" t="s">
        <v>8</v>
      </c>
      <c r="B86" s="2">
        <v>45414</v>
      </c>
      <c r="C86">
        <v>2024</v>
      </c>
      <c r="E86" t="s">
        <v>6</v>
      </c>
      <c r="F86">
        <v>20.6096</v>
      </c>
    </row>
    <row r="87" spans="1:6" x14ac:dyDescent="0.25">
      <c r="A87" t="s">
        <v>8</v>
      </c>
      <c r="B87" s="2">
        <v>45425</v>
      </c>
      <c r="C87">
        <v>2024</v>
      </c>
      <c r="E87" t="s">
        <v>6</v>
      </c>
      <c r="F87">
        <v>20.810399999999994</v>
      </c>
    </row>
    <row r="88" spans="1:6" x14ac:dyDescent="0.25">
      <c r="A88" t="s">
        <v>8</v>
      </c>
      <c r="B88" s="2">
        <v>45441</v>
      </c>
      <c r="C88">
        <v>2024</v>
      </c>
      <c r="E88" t="s">
        <v>6</v>
      </c>
      <c r="F88">
        <v>20.833099999999998</v>
      </c>
    </row>
    <row r="89" spans="1:6" x14ac:dyDescent="0.25">
      <c r="A89" t="s">
        <v>8</v>
      </c>
      <c r="B89" s="2">
        <v>45453</v>
      </c>
      <c r="C89">
        <v>2024</v>
      </c>
      <c r="E89" t="s">
        <v>6</v>
      </c>
      <c r="F89">
        <v>20.495499999999996</v>
      </c>
    </row>
    <row r="90" spans="1:6" x14ac:dyDescent="0.25">
      <c r="A90" t="s">
        <v>8</v>
      </c>
      <c r="B90" s="2">
        <v>44595</v>
      </c>
      <c r="C90">
        <f>YEAR((B90))</f>
        <v>2022</v>
      </c>
      <c r="E90" t="s">
        <v>6</v>
      </c>
      <c r="F90">
        <v>6.96</v>
      </c>
    </row>
    <row r="91" spans="1:6" x14ac:dyDescent="0.25">
      <c r="A91" t="s">
        <v>8</v>
      </c>
      <c r="B91" s="2">
        <v>44608</v>
      </c>
      <c r="C91">
        <f t="shared" ref="C91:C122" si="0">YEAR((B91))</f>
        <v>2022</v>
      </c>
      <c r="E91" t="s">
        <v>6</v>
      </c>
      <c r="F91">
        <v>9.7843999999999998</v>
      </c>
    </row>
    <row r="92" spans="1:6" x14ac:dyDescent="0.25">
      <c r="A92" t="s">
        <v>8</v>
      </c>
      <c r="B92" s="2">
        <v>44622</v>
      </c>
      <c r="C92">
        <f t="shared" si="0"/>
        <v>2022</v>
      </c>
      <c r="E92" t="s">
        <v>6</v>
      </c>
      <c r="F92">
        <v>12.097799999999999</v>
      </c>
    </row>
    <row r="93" spans="1:6" x14ac:dyDescent="0.25">
      <c r="A93" t="s">
        <v>8</v>
      </c>
      <c r="B93" s="2">
        <v>44636</v>
      </c>
      <c r="C93">
        <f t="shared" si="0"/>
        <v>2022</v>
      </c>
      <c r="E93" t="s">
        <v>6</v>
      </c>
      <c r="F93">
        <v>13.3996</v>
      </c>
    </row>
    <row r="94" spans="1:6" x14ac:dyDescent="0.25">
      <c r="A94" t="s">
        <v>8</v>
      </c>
      <c r="B94" s="2">
        <v>44650</v>
      </c>
      <c r="C94">
        <f t="shared" si="0"/>
        <v>2022</v>
      </c>
      <c r="E94" t="s">
        <v>6</v>
      </c>
      <c r="F94">
        <v>18.352399999999999</v>
      </c>
    </row>
    <row r="95" spans="1:6" x14ac:dyDescent="0.25">
      <c r="A95" t="s">
        <v>8</v>
      </c>
      <c r="B95" s="2">
        <v>44664</v>
      </c>
      <c r="C95">
        <f t="shared" si="0"/>
        <v>2022</v>
      </c>
      <c r="E95" t="s">
        <v>6</v>
      </c>
      <c r="F95">
        <v>17.783999999999999</v>
      </c>
    </row>
    <row r="96" spans="1:6" x14ac:dyDescent="0.25">
      <c r="A96" t="s">
        <v>8</v>
      </c>
      <c r="B96" s="2">
        <v>44673</v>
      </c>
      <c r="C96">
        <f t="shared" si="0"/>
        <v>2022</v>
      </c>
      <c r="E96" t="s">
        <v>6</v>
      </c>
      <c r="F96">
        <v>17.6967</v>
      </c>
    </row>
    <row r="97" spans="1:6" x14ac:dyDescent="0.25">
      <c r="A97" t="s">
        <v>8</v>
      </c>
      <c r="B97" s="2">
        <v>44680</v>
      </c>
      <c r="C97">
        <f t="shared" si="0"/>
        <v>2022</v>
      </c>
      <c r="E97" t="s">
        <v>6</v>
      </c>
      <c r="F97">
        <v>19.3248</v>
      </c>
    </row>
    <row r="98" spans="1:6" x14ac:dyDescent="0.25">
      <c r="A98" t="s">
        <v>8</v>
      </c>
      <c r="B98" s="2">
        <v>44685</v>
      </c>
      <c r="C98">
        <f>YEAR((B98))</f>
        <v>2022</v>
      </c>
      <c r="E98" t="s">
        <v>6</v>
      </c>
      <c r="F98">
        <v>20.511399999999998</v>
      </c>
    </row>
    <row r="99" spans="1:6" x14ac:dyDescent="0.25">
      <c r="A99" t="s">
        <v>8</v>
      </c>
      <c r="B99" s="2">
        <v>44699</v>
      </c>
      <c r="C99">
        <f t="shared" si="0"/>
        <v>2022</v>
      </c>
      <c r="E99" t="s">
        <v>6</v>
      </c>
      <c r="F99">
        <v>20.461199999999998</v>
      </c>
    </row>
    <row r="100" spans="1:6" x14ac:dyDescent="0.25">
      <c r="A100" t="s">
        <v>8</v>
      </c>
      <c r="B100" s="2">
        <v>44713</v>
      </c>
      <c r="C100">
        <f t="shared" si="0"/>
        <v>2022</v>
      </c>
      <c r="E100" t="s">
        <v>6</v>
      </c>
      <c r="F100">
        <v>21.339900000000004</v>
      </c>
    </row>
    <row r="101" spans="1:6" x14ac:dyDescent="0.25">
      <c r="A101" t="s">
        <v>8</v>
      </c>
      <c r="B101" s="2">
        <v>44950</v>
      </c>
      <c r="C101">
        <f t="shared" si="0"/>
        <v>2023</v>
      </c>
      <c r="E101" t="s">
        <v>6</v>
      </c>
      <c r="F101">
        <v>5.7330000000000005</v>
      </c>
    </row>
    <row r="102" spans="1:6" x14ac:dyDescent="0.25">
      <c r="A102" t="s">
        <v>8</v>
      </c>
      <c r="B102" s="2">
        <v>44974</v>
      </c>
      <c r="C102">
        <f t="shared" si="0"/>
        <v>2023</v>
      </c>
      <c r="E102" t="s">
        <v>6</v>
      </c>
      <c r="F102">
        <v>8.2151000000000014</v>
      </c>
    </row>
    <row r="103" spans="1:6" x14ac:dyDescent="0.25">
      <c r="A103" t="s">
        <v>8</v>
      </c>
      <c r="B103" s="2">
        <v>44987</v>
      </c>
      <c r="C103">
        <f t="shared" si="0"/>
        <v>2023</v>
      </c>
      <c r="E103" t="s">
        <v>6</v>
      </c>
      <c r="F103">
        <v>10.610999999999999</v>
      </c>
    </row>
    <row r="104" spans="1:6" x14ac:dyDescent="0.25">
      <c r="A104" t="s">
        <v>8</v>
      </c>
      <c r="B104" s="2">
        <v>45001</v>
      </c>
      <c r="C104">
        <f t="shared" si="0"/>
        <v>2023</v>
      </c>
      <c r="E104" t="s">
        <v>6</v>
      </c>
      <c r="F104">
        <v>13.234500000000001</v>
      </c>
    </row>
    <row r="105" spans="1:6" x14ac:dyDescent="0.25">
      <c r="A105" t="s">
        <v>8</v>
      </c>
      <c r="B105" s="2">
        <v>45014</v>
      </c>
      <c r="C105">
        <f t="shared" si="0"/>
        <v>2023</v>
      </c>
      <c r="E105" t="s">
        <v>6</v>
      </c>
      <c r="F105">
        <v>15.264000000000001</v>
      </c>
    </row>
    <row r="106" spans="1:6" x14ac:dyDescent="0.25">
      <c r="A106" t="s">
        <v>8</v>
      </c>
      <c r="B106" s="2">
        <v>45031</v>
      </c>
      <c r="C106">
        <f t="shared" si="0"/>
        <v>2023</v>
      </c>
      <c r="E106" t="s">
        <v>6</v>
      </c>
      <c r="F106">
        <v>16.933800000000002</v>
      </c>
    </row>
    <row r="107" spans="1:6" x14ac:dyDescent="0.25">
      <c r="A107" t="s">
        <v>8</v>
      </c>
      <c r="B107" s="2">
        <v>45041</v>
      </c>
      <c r="C107">
        <f t="shared" si="0"/>
        <v>2023</v>
      </c>
      <c r="E107" t="s">
        <v>6</v>
      </c>
      <c r="F107">
        <v>18.791999999999998</v>
      </c>
    </row>
    <row r="108" spans="1:6" x14ac:dyDescent="0.25">
      <c r="A108" t="s">
        <v>8</v>
      </c>
      <c r="B108" s="2">
        <v>45049</v>
      </c>
      <c r="C108">
        <f t="shared" si="0"/>
        <v>2023</v>
      </c>
      <c r="E108" t="s">
        <v>6</v>
      </c>
      <c r="F108">
        <v>19.670000000000002</v>
      </c>
    </row>
    <row r="109" spans="1:6" x14ac:dyDescent="0.25">
      <c r="A109" t="s">
        <v>8</v>
      </c>
      <c r="B109" s="2">
        <v>45062</v>
      </c>
      <c r="C109">
        <f t="shared" si="0"/>
        <v>2023</v>
      </c>
      <c r="E109" t="s">
        <v>6</v>
      </c>
      <c r="F109">
        <v>20.914999999999999</v>
      </c>
    </row>
    <row r="110" spans="1:6" x14ac:dyDescent="0.25">
      <c r="A110" t="s">
        <v>8</v>
      </c>
      <c r="B110" s="2">
        <v>45077</v>
      </c>
      <c r="C110">
        <f t="shared" si="0"/>
        <v>2023</v>
      </c>
      <c r="E110" t="s">
        <v>6</v>
      </c>
      <c r="F110">
        <v>20.790399999999998</v>
      </c>
    </row>
    <row r="111" spans="1:6" x14ac:dyDescent="0.25">
      <c r="A111" t="s">
        <v>8</v>
      </c>
      <c r="B111" s="2">
        <v>45083</v>
      </c>
      <c r="C111">
        <f t="shared" si="0"/>
        <v>2023</v>
      </c>
      <c r="E111" t="s">
        <v>6</v>
      </c>
      <c r="F111">
        <v>20.262799999999999</v>
      </c>
    </row>
    <row r="112" spans="1:6" x14ac:dyDescent="0.25">
      <c r="A112" t="s">
        <v>8</v>
      </c>
      <c r="B112" s="2">
        <v>45314</v>
      </c>
      <c r="C112">
        <f t="shared" si="0"/>
        <v>2024</v>
      </c>
      <c r="E112" t="s">
        <v>6</v>
      </c>
      <c r="F112">
        <v>4.9717000000000002</v>
      </c>
    </row>
    <row r="113" spans="1:6" x14ac:dyDescent="0.25">
      <c r="A113" t="s">
        <v>8</v>
      </c>
      <c r="B113" s="2">
        <v>45336</v>
      </c>
      <c r="C113">
        <f t="shared" si="0"/>
        <v>2024</v>
      </c>
      <c r="E113" t="s">
        <v>6</v>
      </c>
      <c r="F113">
        <v>7.9373000000000005</v>
      </c>
    </row>
    <row r="114" spans="1:6" x14ac:dyDescent="0.25">
      <c r="A114" t="s">
        <v>8</v>
      </c>
      <c r="B114" s="2">
        <v>45348</v>
      </c>
      <c r="C114">
        <f t="shared" si="0"/>
        <v>2024</v>
      </c>
      <c r="E114" t="s">
        <v>6</v>
      </c>
      <c r="F114">
        <v>10.111500000000001</v>
      </c>
    </row>
    <row r="115" spans="1:6" x14ac:dyDescent="0.25">
      <c r="A115" t="s">
        <v>8</v>
      </c>
      <c r="B115" s="2">
        <v>45365</v>
      </c>
      <c r="C115">
        <f t="shared" si="0"/>
        <v>2024</v>
      </c>
      <c r="E115" t="s">
        <v>6</v>
      </c>
      <c r="F115">
        <v>12.935199999999998</v>
      </c>
    </row>
    <row r="116" spans="1:6" x14ac:dyDescent="0.25">
      <c r="A116" t="s">
        <v>8</v>
      </c>
      <c r="B116" s="2">
        <v>45379</v>
      </c>
      <c r="C116">
        <f t="shared" si="0"/>
        <v>2024</v>
      </c>
      <c r="E116" t="s">
        <v>6</v>
      </c>
      <c r="F116">
        <v>14.8748</v>
      </c>
    </row>
    <row r="117" spans="1:6" x14ac:dyDescent="0.25">
      <c r="A117" t="s">
        <v>8</v>
      </c>
      <c r="B117" s="2">
        <v>45390</v>
      </c>
      <c r="C117">
        <f t="shared" si="0"/>
        <v>2024</v>
      </c>
      <c r="E117" t="s">
        <v>6</v>
      </c>
      <c r="F117">
        <v>15.4224</v>
      </c>
    </row>
    <row r="118" spans="1:6" x14ac:dyDescent="0.25">
      <c r="A118" t="s">
        <v>8</v>
      </c>
      <c r="B118" s="2">
        <v>45404</v>
      </c>
      <c r="C118">
        <f t="shared" si="0"/>
        <v>2024</v>
      </c>
      <c r="E118" t="s">
        <v>6</v>
      </c>
      <c r="F118">
        <v>16.8904</v>
      </c>
    </row>
    <row r="119" spans="1:6" x14ac:dyDescent="0.25">
      <c r="A119" t="s">
        <v>8</v>
      </c>
      <c r="B119" s="2">
        <v>45413</v>
      </c>
      <c r="C119">
        <f t="shared" si="0"/>
        <v>2024</v>
      </c>
      <c r="E119" t="s">
        <v>6</v>
      </c>
      <c r="F119">
        <v>18.000899999999998</v>
      </c>
    </row>
    <row r="120" spans="1:6" x14ac:dyDescent="0.25">
      <c r="A120" t="s">
        <v>8</v>
      </c>
      <c r="B120" s="2">
        <v>45425</v>
      </c>
      <c r="C120">
        <f t="shared" si="0"/>
        <v>2024</v>
      </c>
      <c r="E120" t="s">
        <v>6</v>
      </c>
      <c r="F120">
        <v>19.007199999999997</v>
      </c>
    </row>
    <row r="121" spans="1:6" x14ac:dyDescent="0.25">
      <c r="A121" t="s">
        <v>8</v>
      </c>
      <c r="B121" s="2">
        <v>45441</v>
      </c>
      <c r="C121">
        <f t="shared" si="0"/>
        <v>2024</v>
      </c>
      <c r="E121" t="s">
        <v>6</v>
      </c>
      <c r="F121">
        <v>17.756799999999998</v>
      </c>
    </row>
    <row r="122" spans="1:6" x14ac:dyDescent="0.25">
      <c r="A122" t="s">
        <v>8</v>
      </c>
      <c r="B122" s="2">
        <v>45453</v>
      </c>
      <c r="C122">
        <f t="shared" si="0"/>
        <v>2024</v>
      </c>
      <c r="E122" t="s">
        <v>6</v>
      </c>
      <c r="F122">
        <v>17.963999999999999</v>
      </c>
    </row>
    <row r="123" spans="1:6" x14ac:dyDescent="0.25">
      <c r="A123" t="s">
        <v>8</v>
      </c>
      <c r="B123" s="2">
        <v>44595</v>
      </c>
      <c r="C123">
        <f>YEAR(B123)</f>
        <v>2022</v>
      </c>
      <c r="E123" t="s">
        <v>6</v>
      </c>
      <c r="F123">
        <v>8.0898000000000003</v>
      </c>
    </row>
    <row r="124" spans="1:6" x14ac:dyDescent="0.25">
      <c r="A124" t="s">
        <v>8</v>
      </c>
      <c r="B124" s="2">
        <v>44608</v>
      </c>
      <c r="C124">
        <f t="shared" ref="C124:C187" si="1">YEAR(B124)</f>
        <v>2022</v>
      </c>
      <c r="E124" t="s">
        <v>6</v>
      </c>
      <c r="F124">
        <v>10.7502</v>
      </c>
    </row>
    <row r="125" spans="1:6" x14ac:dyDescent="0.25">
      <c r="A125" t="s">
        <v>8</v>
      </c>
      <c r="B125" s="2">
        <v>44622</v>
      </c>
      <c r="C125">
        <f t="shared" si="1"/>
        <v>2022</v>
      </c>
      <c r="E125" t="s">
        <v>6</v>
      </c>
      <c r="F125">
        <v>13.171200000000001</v>
      </c>
    </row>
    <row r="126" spans="1:6" x14ac:dyDescent="0.25">
      <c r="A126" t="s">
        <v>8</v>
      </c>
      <c r="B126" s="2">
        <v>44636</v>
      </c>
      <c r="C126">
        <f t="shared" si="1"/>
        <v>2022</v>
      </c>
      <c r="E126" t="s">
        <v>6</v>
      </c>
      <c r="F126">
        <v>12.583999999999998</v>
      </c>
    </row>
    <row r="127" spans="1:6" x14ac:dyDescent="0.25">
      <c r="A127" t="s">
        <v>8</v>
      </c>
      <c r="B127" s="2">
        <v>44650</v>
      </c>
      <c r="C127">
        <f t="shared" si="1"/>
        <v>2022</v>
      </c>
      <c r="E127" t="s">
        <v>6</v>
      </c>
      <c r="F127">
        <v>16.5564</v>
      </c>
    </row>
    <row r="128" spans="1:6" x14ac:dyDescent="0.25">
      <c r="A128" t="s">
        <v>8</v>
      </c>
      <c r="B128" s="2">
        <v>44664</v>
      </c>
      <c r="C128">
        <f t="shared" si="1"/>
        <v>2022</v>
      </c>
      <c r="E128" t="s">
        <v>6</v>
      </c>
      <c r="F128">
        <v>18.115200000000002</v>
      </c>
    </row>
    <row r="129" spans="1:6" x14ac:dyDescent="0.25">
      <c r="A129" t="s">
        <v>8</v>
      </c>
      <c r="B129" s="2">
        <v>44672</v>
      </c>
      <c r="C129">
        <f t="shared" si="1"/>
        <v>2022</v>
      </c>
      <c r="E129" t="s">
        <v>6</v>
      </c>
      <c r="F129">
        <v>19.6692</v>
      </c>
    </row>
    <row r="130" spans="1:6" x14ac:dyDescent="0.25">
      <c r="A130" t="s">
        <v>8</v>
      </c>
      <c r="B130" s="2">
        <v>44680</v>
      </c>
      <c r="C130">
        <f t="shared" si="1"/>
        <v>2022</v>
      </c>
      <c r="E130" t="s">
        <v>6</v>
      </c>
      <c r="F130">
        <v>20.550599999999999</v>
      </c>
    </row>
    <row r="131" spans="1:6" x14ac:dyDescent="0.25">
      <c r="A131" t="s">
        <v>8</v>
      </c>
      <c r="B131" s="2">
        <v>44685</v>
      </c>
      <c r="C131">
        <f t="shared" si="1"/>
        <v>2022</v>
      </c>
      <c r="E131" t="s">
        <v>6</v>
      </c>
      <c r="F131">
        <v>19.724599999999999</v>
      </c>
    </row>
    <row r="132" spans="1:6" x14ac:dyDescent="0.25">
      <c r="A132" t="s">
        <v>8</v>
      </c>
      <c r="B132" s="2">
        <v>44699</v>
      </c>
      <c r="C132">
        <f t="shared" si="1"/>
        <v>2022</v>
      </c>
      <c r="E132" t="s">
        <v>6</v>
      </c>
      <c r="F132">
        <v>21.819800000000001</v>
      </c>
    </row>
    <row r="133" spans="1:6" x14ac:dyDescent="0.25">
      <c r="A133" t="s">
        <v>8</v>
      </c>
      <c r="B133" s="2">
        <v>44713</v>
      </c>
      <c r="C133">
        <f t="shared" si="1"/>
        <v>2022</v>
      </c>
      <c r="E133" t="s">
        <v>6</v>
      </c>
      <c r="F133">
        <v>22.72</v>
      </c>
    </row>
    <row r="134" spans="1:6" x14ac:dyDescent="0.25">
      <c r="A134" t="s">
        <v>8</v>
      </c>
      <c r="B134" s="2">
        <v>44952</v>
      </c>
      <c r="C134">
        <f t="shared" si="1"/>
        <v>2023</v>
      </c>
      <c r="E134" t="s">
        <v>6</v>
      </c>
      <c r="F134">
        <v>5.0961999999999996</v>
      </c>
    </row>
    <row r="135" spans="1:6" x14ac:dyDescent="0.25">
      <c r="A135" t="s">
        <v>8</v>
      </c>
      <c r="B135" s="2">
        <v>44974</v>
      </c>
      <c r="C135">
        <f t="shared" si="1"/>
        <v>2023</v>
      </c>
      <c r="E135" t="s">
        <v>6</v>
      </c>
      <c r="F135">
        <v>7.1189999999999998</v>
      </c>
    </row>
    <row r="136" spans="1:6" x14ac:dyDescent="0.25">
      <c r="A136" t="s">
        <v>8</v>
      </c>
      <c r="B136" s="2">
        <v>44984</v>
      </c>
      <c r="C136">
        <f t="shared" si="1"/>
        <v>2023</v>
      </c>
      <c r="E136" t="s">
        <v>6</v>
      </c>
      <c r="F136">
        <v>9.0643999999999991</v>
      </c>
    </row>
    <row r="137" spans="1:6" x14ac:dyDescent="0.25">
      <c r="A137" t="s">
        <v>8</v>
      </c>
      <c r="B137" s="2">
        <v>45000</v>
      </c>
      <c r="C137">
        <f t="shared" si="1"/>
        <v>2023</v>
      </c>
      <c r="E137" t="s">
        <v>6</v>
      </c>
      <c r="F137">
        <v>11.168299999999999</v>
      </c>
    </row>
    <row r="138" spans="1:6" x14ac:dyDescent="0.25">
      <c r="A138" t="s">
        <v>8</v>
      </c>
      <c r="B138" s="2">
        <v>45015</v>
      </c>
      <c r="C138">
        <f t="shared" si="1"/>
        <v>2023</v>
      </c>
      <c r="E138" t="s">
        <v>6</v>
      </c>
      <c r="F138">
        <v>12.615</v>
      </c>
    </row>
    <row r="139" spans="1:6" x14ac:dyDescent="0.25">
      <c r="A139" t="s">
        <v>8</v>
      </c>
      <c r="B139" s="2">
        <v>45029</v>
      </c>
      <c r="C139">
        <f t="shared" si="1"/>
        <v>2023</v>
      </c>
      <c r="E139" t="s">
        <v>6</v>
      </c>
      <c r="F139">
        <v>13.9345</v>
      </c>
    </row>
    <row r="140" spans="1:6" x14ac:dyDescent="0.25">
      <c r="A140" t="s">
        <v>8</v>
      </c>
      <c r="B140" s="2">
        <v>45041</v>
      </c>
      <c r="C140">
        <f t="shared" si="1"/>
        <v>2023</v>
      </c>
      <c r="E140" t="s">
        <v>6</v>
      </c>
      <c r="F140">
        <v>15.344000000000001</v>
      </c>
    </row>
    <row r="141" spans="1:6" x14ac:dyDescent="0.25">
      <c r="A141" t="s">
        <v>8</v>
      </c>
      <c r="B141" s="2">
        <v>45049</v>
      </c>
      <c r="C141">
        <f t="shared" si="1"/>
        <v>2023</v>
      </c>
      <c r="E141" t="s">
        <v>6</v>
      </c>
      <c r="F141">
        <v>15.1944</v>
      </c>
    </row>
    <row r="142" spans="1:6" x14ac:dyDescent="0.25">
      <c r="A142" t="s">
        <v>8</v>
      </c>
      <c r="B142" s="2">
        <v>45062</v>
      </c>
      <c r="C142">
        <f t="shared" si="1"/>
        <v>2023</v>
      </c>
      <c r="E142" t="s">
        <v>6</v>
      </c>
      <c r="F142">
        <v>15.061199999999999</v>
      </c>
    </row>
    <row r="143" spans="1:6" x14ac:dyDescent="0.25">
      <c r="A143" t="s">
        <v>8</v>
      </c>
      <c r="B143" s="2">
        <v>45076</v>
      </c>
      <c r="C143">
        <f t="shared" si="1"/>
        <v>2023</v>
      </c>
      <c r="E143" t="s">
        <v>6</v>
      </c>
      <c r="F143">
        <v>15.968</v>
      </c>
    </row>
    <row r="144" spans="1:6" x14ac:dyDescent="0.25">
      <c r="A144" t="s">
        <v>8</v>
      </c>
      <c r="B144" s="2">
        <v>45083</v>
      </c>
      <c r="C144">
        <f t="shared" si="1"/>
        <v>2023</v>
      </c>
      <c r="E144" t="s">
        <v>6</v>
      </c>
      <c r="F144">
        <v>18.631999999999998</v>
      </c>
    </row>
    <row r="145" spans="1:6" x14ac:dyDescent="0.25">
      <c r="A145" t="s">
        <v>8</v>
      </c>
      <c r="B145" s="2">
        <v>45316</v>
      </c>
      <c r="C145">
        <f t="shared" si="1"/>
        <v>2024</v>
      </c>
      <c r="E145" t="s">
        <v>6</v>
      </c>
      <c r="F145">
        <v>4.739300000000001</v>
      </c>
    </row>
    <row r="146" spans="1:6" x14ac:dyDescent="0.25">
      <c r="A146" t="s">
        <v>8</v>
      </c>
      <c r="B146" s="2">
        <v>45337</v>
      </c>
      <c r="C146">
        <f t="shared" si="1"/>
        <v>2024</v>
      </c>
      <c r="E146" t="s">
        <v>6</v>
      </c>
      <c r="F146">
        <v>8.3186999999999998</v>
      </c>
    </row>
    <row r="147" spans="1:6" x14ac:dyDescent="0.25">
      <c r="A147" t="s">
        <v>8</v>
      </c>
      <c r="B147" s="2">
        <v>45350</v>
      </c>
      <c r="C147">
        <f t="shared" si="1"/>
        <v>2024</v>
      </c>
      <c r="E147" t="s">
        <v>6</v>
      </c>
      <c r="F147">
        <v>10.472000000000001</v>
      </c>
    </row>
    <row r="148" spans="1:6" x14ac:dyDescent="0.25">
      <c r="A148" t="s">
        <v>8</v>
      </c>
      <c r="B148" s="2">
        <v>45364</v>
      </c>
      <c r="C148">
        <f t="shared" si="1"/>
        <v>2024</v>
      </c>
      <c r="E148" t="s">
        <v>6</v>
      </c>
      <c r="F148">
        <v>12.465</v>
      </c>
    </row>
    <row r="149" spans="1:6" x14ac:dyDescent="0.25">
      <c r="A149" t="s">
        <v>8</v>
      </c>
      <c r="B149" s="2">
        <v>45378</v>
      </c>
      <c r="C149">
        <f t="shared" si="1"/>
        <v>2024</v>
      </c>
      <c r="E149" t="s">
        <v>6</v>
      </c>
      <c r="F149">
        <v>13.880699999999999</v>
      </c>
    </row>
    <row r="150" spans="1:6" x14ac:dyDescent="0.25">
      <c r="A150" t="s">
        <v>8</v>
      </c>
      <c r="B150" s="2">
        <v>45393</v>
      </c>
      <c r="C150">
        <f t="shared" si="1"/>
        <v>2024</v>
      </c>
      <c r="E150" t="s">
        <v>6</v>
      </c>
      <c r="F150">
        <v>14.1158</v>
      </c>
    </row>
    <row r="151" spans="1:6" x14ac:dyDescent="0.25">
      <c r="A151" t="s">
        <v>8</v>
      </c>
      <c r="B151" s="2">
        <v>45404</v>
      </c>
      <c r="C151">
        <f t="shared" si="1"/>
        <v>2024</v>
      </c>
      <c r="E151" t="s">
        <v>6</v>
      </c>
      <c r="F151">
        <v>14.5962</v>
      </c>
    </row>
    <row r="152" spans="1:6" x14ac:dyDescent="0.25">
      <c r="A152" t="s">
        <v>8</v>
      </c>
      <c r="B152" s="2">
        <v>45414</v>
      </c>
      <c r="C152">
        <f t="shared" si="1"/>
        <v>2024</v>
      </c>
      <c r="E152" t="s">
        <v>6</v>
      </c>
      <c r="F152">
        <v>17.0487</v>
      </c>
    </row>
    <row r="153" spans="1:6" x14ac:dyDescent="0.25">
      <c r="A153" t="s">
        <v>8</v>
      </c>
      <c r="B153" s="2">
        <v>45425</v>
      </c>
      <c r="C153">
        <f t="shared" si="1"/>
        <v>2024</v>
      </c>
      <c r="E153" t="s">
        <v>6</v>
      </c>
      <c r="F153">
        <v>17.490300000000001</v>
      </c>
    </row>
    <row r="154" spans="1:6" x14ac:dyDescent="0.25">
      <c r="A154" t="s">
        <v>8</v>
      </c>
      <c r="B154" s="2">
        <v>45441</v>
      </c>
      <c r="C154">
        <f t="shared" si="1"/>
        <v>2024</v>
      </c>
      <c r="E154" t="s">
        <v>6</v>
      </c>
      <c r="F154">
        <v>17.7531</v>
      </c>
    </row>
    <row r="155" spans="1:6" x14ac:dyDescent="0.25">
      <c r="A155" t="s">
        <v>8</v>
      </c>
      <c r="B155" s="2">
        <v>45453</v>
      </c>
      <c r="C155">
        <f t="shared" si="1"/>
        <v>2024</v>
      </c>
      <c r="E155" t="s">
        <v>6</v>
      </c>
      <c r="F155">
        <v>17.337200000000003</v>
      </c>
    </row>
    <row r="156" spans="1:6" x14ac:dyDescent="0.25">
      <c r="A156" t="s">
        <v>8</v>
      </c>
      <c r="B156" s="2">
        <v>45316</v>
      </c>
      <c r="C156">
        <f t="shared" si="1"/>
        <v>2024</v>
      </c>
      <c r="E156" t="s">
        <v>6</v>
      </c>
      <c r="F156">
        <v>5.6027999999999993</v>
      </c>
    </row>
    <row r="157" spans="1:6" x14ac:dyDescent="0.25">
      <c r="A157" t="s">
        <v>8</v>
      </c>
      <c r="B157" s="2">
        <v>45337</v>
      </c>
      <c r="C157">
        <f t="shared" si="1"/>
        <v>2024</v>
      </c>
      <c r="E157" t="s">
        <v>6</v>
      </c>
      <c r="F157">
        <v>8.3005999999999993</v>
      </c>
    </row>
    <row r="158" spans="1:6" x14ac:dyDescent="0.25">
      <c r="A158" t="s">
        <v>8</v>
      </c>
      <c r="B158" s="2">
        <v>45350</v>
      </c>
      <c r="C158">
        <f t="shared" si="1"/>
        <v>2024</v>
      </c>
      <c r="E158" t="s">
        <v>6</v>
      </c>
      <c r="F158">
        <v>11.6775</v>
      </c>
    </row>
    <row r="159" spans="1:6" x14ac:dyDescent="0.25">
      <c r="A159" t="s">
        <v>8</v>
      </c>
      <c r="B159" s="2">
        <v>45364</v>
      </c>
      <c r="C159">
        <f t="shared" si="1"/>
        <v>2024</v>
      </c>
      <c r="E159" t="s">
        <v>6</v>
      </c>
      <c r="F159">
        <v>13.23</v>
      </c>
    </row>
    <row r="160" spans="1:6" x14ac:dyDescent="0.25">
      <c r="A160" t="s">
        <v>8</v>
      </c>
      <c r="B160" s="2">
        <v>45378</v>
      </c>
      <c r="C160">
        <f t="shared" si="1"/>
        <v>2024</v>
      </c>
      <c r="E160" t="s">
        <v>6</v>
      </c>
      <c r="F160">
        <v>15.4488</v>
      </c>
    </row>
    <row r="161" spans="1:6" x14ac:dyDescent="0.25">
      <c r="A161" t="s">
        <v>8</v>
      </c>
      <c r="B161" s="2">
        <v>45390</v>
      </c>
      <c r="C161">
        <f t="shared" si="1"/>
        <v>2024</v>
      </c>
      <c r="E161" t="s">
        <v>6</v>
      </c>
      <c r="F161">
        <v>16.945499999999999</v>
      </c>
    </row>
    <row r="162" spans="1:6" x14ac:dyDescent="0.25">
      <c r="A162" t="s">
        <v>8</v>
      </c>
      <c r="B162" s="2">
        <v>45407</v>
      </c>
      <c r="C162">
        <f t="shared" si="1"/>
        <v>2024</v>
      </c>
      <c r="E162" t="s">
        <v>6</v>
      </c>
      <c r="F162">
        <v>16.8795</v>
      </c>
    </row>
    <row r="163" spans="1:6" x14ac:dyDescent="0.25">
      <c r="A163" t="s">
        <v>8</v>
      </c>
      <c r="B163" s="2">
        <v>45413</v>
      </c>
      <c r="C163">
        <f t="shared" si="1"/>
        <v>2024</v>
      </c>
      <c r="E163" t="s">
        <v>6</v>
      </c>
      <c r="F163">
        <v>17.455200000000001</v>
      </c>
    </row>
    <row r="164" spans="1:6" x14ac:dyDescent="0.25">
      <c r="A164" t="s">
        <v>8</v>
      </c>
      <c r="B164" s="2">
        <v>45425</v>
      </c>
      <c r="C164">
        <f t="shared" si="1"/>
        <v>2024</v>
      </c>
      <c r="E164" t="s">
        <v>6</v>
      </c>
      <c r="F164">
        <v>17.835600000000003</v>
      </c>
    </row>
    <row r="165" spans="1:6" x14ac:dyDescent="0.25">
      <c r="A165" t="s">
        <v>8</v>
      </c>
      <c r="B165" s="2">
        <v>45439</v>
      </c>
      <c r="C165">
        <f t="shared" si="1"/>
        <v>2024</v>
      </c>
      <c r="E165" t="s">
        <v>6</v>
      </c>
      <c r="F165">
        <v>15.45</v>
      </c>
    </row>
    <row r="166" spans="1:6" x14ac:dyDescent="0.25">
      <c r="A166" t="s">
        <v>8</v>
      </c>
      <c r="B166" s="2">
        <v>45454</v>
      </c>
      <c r="C166">
        <f t="shared" si="1"/>
        <v>2024</v>
      </c>
      <c r="E166" t="s">
        <v>6</v>
      </c>
      <c r="F166">
        <v>17.71</v>
      </c>
    </row>
    <row r="167" spans="1:6" x14ac:dyDescent="0.25">
      <c r="A167" t="s">
        <v>8</v>
      </c>
      <c r="B167" s="2">
        <v>42387</v>
      </c>
      <c r="C167">
        <f t="shared" si="1"/>
        <v>2016</v>
      </c>
      <c r="E167" t="s">
        <v>6</v>
      </c>
      <c r="F167">
        <v>4.4104000000000001</v>
      </c>
    </row>
    <row r="168" spans="1:6" x14ac:dyDescent="0.25">
      <c r="A168" t="s">
        <v>8</v>
      </c>
      <c r="B168" s="2">
        <v>42387</v>
      </c>
      <c r="C168">
        <f t="shared" si="1"/>
        <v>2016</v>
      </c>
      <c r="E168" t="s">
        <v>6</v>
      </c>
      <c r="F168">
        <v>4.0226999999999995</v>
      </c>
    </row>
    <row r="169" spans="1:6" x14ac:dyDescent="0.25">
      <c r="A169" t="s">
        <v>8</v>
      </c>
      <c r="B169" s="2">
        <v>42423</v>
      </c>
      <c r="C169">
        <f t="shared" si="1"/>
        <v>2016</v>
      </c>
      <c r="E169" t="s">
        <v>6</v>
      </c>
      <c r="F169">
        <v>8.7792000000000012</v>
      </c>
    </row>
    <row r="170" spans="1:6" x14ac:dyDescent="0.25">
      <c r="A170" t="s">
        <v>8</v>
      </c>
      <c r="B170" s="2">
        <v>42423</v>
      </c>
      <c r="C170">
        <f t="shared" si="1"/>
        <v>2016</v>
      </c>
      <c r="E170" t="s">
        <v>6</v>
      </c>
      <c r="F170">
        <v>10.1983</v>
      </c>
    </row>
    <row r="171" spans="1:6" x14ac:dyDescent="0.25">
      <c r="A171" t="s">
        <v>8</v>
      </c>
      <c r="B171" s="2">
        <v>42437</v>
      </c>
      <c r="C171">
        <f t="shared" si="1"/>
        <v>2016</v>
      </c>
      <c r="E171" t="s">
        <v>6</v>
      </c>
      <c r="F171">
        <v>10.6396</v>
      </c>
    </row>
    <row r="172" spans="1:6" x14ac:dyDescent="0.25">
      <c r="A172" t="s">
        <v>8</v>
      </c>
      <c r="B172" s="2">
        <v>42437</v>
      </c>
      <c r="C172">
        <f t="shared" si="1"/>
        <v>2016</v>
      </c>
      <c r="E172" t="s">
        <v>6</v>
      </c>
      <c r="F172">
        <v>12.566400000000002</v>
      </c>
    </row>
    <row r="173" spans="1:6" x14ac:dyDescent="0.25">
      <c r="A173" t="s">
        <v>8</v>
      </c>
      <c r="B173" s="2">
        <v>42451</v>
      </c>
      <c r="C173">
        <f t="shared" si="1"/>
        <v>2016</v>
      </c>
      <c r="E173" t="s">
        <v>6</v>
      </c>
      <c r="F173">
        <v>13.1417</v>
      </c>
    </row>
    <row r="174" spans="1:6" x14ac:dyDescent="0.25">
      <c r="A174" t="s">
        <v>8</v>
      </c>
      <c r="B174" s="2">
        <v>42451</v>
      </c>
      <c r="C174">
        <f t="shared" si="1"/>
        <v>2016</v>
      </c>
      <c r="E174" t="s">
        <v>6</v>
      </c>
      <c r="F174">
        <v>15.063899999999999</v>
      </c>
    </row>
    <row r="175" spans="1:6" x14ac:dyDescent="0.25">
      <c r="A175" t="s">
        <v>8</v>
      </c>
      <c r="B175" s="2">
        <v>42466</v>
      </c>
      <c r="C175">
        <f t="shared" si="1"/>
        <v>2016</v>
      </c>
      <c r="E175" t="s">
        <v>6</v>
      </c>
      <c r="F175">
        <v>13.760500000000002</v>
      </c>
    </row>
    <row r="176" spans="1:6" x14ac:dyDescent="0.25">
      <c r="A176" t="s">
        <v>8</v>
      </c>
      <c r="B176" s="2">
        <v>42467</v>
      </c>
      <c r="C176">
        <f t="shared" si="1"/>
        <v>2016</v>
      </c>
      <c r="E176" t="s">
        <v>6</v>
      </c>
      <c r="F176">
        <v>17.350200000000001</v>
      </c>
    </row>
    <row r="177" spans="1:6" x14ac:dyDescent="0.25">
      <c r="A177" t="s">
        <v>8</v>
      </c>
      <c r="B177" s="2">
        <v>42474</v>
      </c>
      <c r="C177">
        <f t="shared" si="1"/>
        <v>2016</v>
      </c>
      <c r="E177" t="s">
        <v>6</v>
      </c>
      <c r="F177">
        <v>17.640900000000002</v>
      </c>
    </row>
    <row r="178" spans="1:6" x14ac:dyDescent="0.25">
      <c r="A178" t="s">
        <v>8</v>
      </c>
      <c r="B178" s="2">
        <v>42475</v>
      </c>
      <c r="C178">
        <f t="shared" si="1"/>
        <v>2016</v>
      </c>
      <c r="E178" t="s">
        <v>6</v>
      </c>
      <c r="F178">
        <v>15.382400000000001</v>
      </c>
    </row>
    <row r="179" spans="1:6" x14ac:dyDescent="0.25">
      <c r="A179" t="s">
        <v>8</v>
      </c>
      <c r="B179" s="2">
        <v>42482</v>
      </c>
      <c r="C179">
        <f t="shared" si="1"/>
        <v>2016</v>
      </c>
      <c r="E179" t="s">
        <v>6</v>
      </c>
      <c r="F179">
        <v>15.494999999999999</v>
      </c>
    </row>
    <row r="180" spans="1:6" x14ac:dyDescent="0.25">
      <c r="A180" t="s">
        <v>8</v>
      </c>
      <c r="B180" s="2">
        <v>42482</v>
      </c>
      <c r="C180">
        <f t="shared" si="1"/>
        <v>2016</v>
      </c>
      <c r="E180" t="s">
        <v>6</v>
      </c>
      <c r="F180">
        <v>18.595199999999998</v>
      </c>
    </row>
    <row r="181" spans="1:6" x14ac:dyDescent="0.25">
      <c r="A181" t="s">
        <v>8</v>
      </c>
      <c r="B181" s="2">
        <v>42486</v>
      </c>
      <c r="C181">
        <f t="shared" si="1"/>
        <v>2016</v>
      </c>
      <c r="E181" t="s">
        <v>6</v>
      </c>
      <c r="F181">
        <v>16.027000000000001</v>
      </c>
    </row>
    <row r="182" spans="1:6" x14ac:dyDescent="0.25">
      <c r="A182" t="s">
        <v>8</v>
      </c>
      <c r="B182" s="2">
        <v>42486</v>
      </c>
      <c r="C182">
        <f t="shared" si="1"/>
        <v>2016</v>
      </c>
      <c r="E182" t="s">
        <v>6</v>
      </c>
      <c r="F182">
        <v>17.986799999999999</v>
      </c>
    </row>
    <row r="183" spans="1:6" x14ac:dyDescent="0.25">
      <c r="A183" t="s">
        <v>8</v>
      </c>
      <c r="B183" s="2">
        <v>42493</v>
      </c>
      <c r="C183">
        <f t="shared" si="1"/>
        <v>2016</v>
      </c>
      <c r="E183" t="s">
        <v>6</v>
      </c>
      <c r="F183">
        <v>16.594899999999999</v>
      </c>
    </row>
    <row r="184" spans="1:6" x14ac:dyDescent="0.25">
      <c r="A184" t="s">
        <v>8</v>
      </c>
      <c r="B184" s="2">
        <v>42493</v>
      </c>
      <c r="C184">
        <f t="shared" si="1"/>
        <v>2016</v>
      </c>
      <c r="E184" t="s">
        <v>6</v>
      </c>
      <c r="F184">
        <v>20.163</v>
      </c>
    </row>
    <row r="185" spans="1:6" x14ac:dyDescent="0.25">
      <c r="A185" t="s">
        <v>8</v>
      </c>
      <c r="B185" s="2">
        <v>42510</v>
      </c>
      <c r="C185">
        <f t="shared" si="1"/>
        <v>2016</v>
      </c>
      <c r="E185" t="s">
        <v>6</v>
      </c>
      <c r="F185">
        <v>16.858600000000003</v>
      </c>
    </row>
    <row r="186" spans="1:6" x14ac:dyDescent="0.25">
      <c r="A186" t="s">
        <v>8</v>
      </c>
      <c r="B186" s="2">
        <v>42510</v>
      </c>
      <c r="C186">
        <f t="shared" si="1"/>
        <v>2016</v>
      </c>
      <c r="E186" t="s">
        <v>6</v>
      </c>
      <c r="F186">
        <v>20.4678</v>
      </c>
    </row>
    <row r="187" spans="1:6" x14ac:dyDescent="0.25">
      <c r="A187" t="s">
        <v>8</v>
      </c>
      <c r="B187" s="2">
        <v>42521</v>
      </c>
      <c r="C187">
        <f t="shared" si="1"/>
        <v>2016</v>
      </c>
      <c r="E187" t="s">
        <v>6</v>
      </c>
      <c r="F187">
        <v>16.424700000000001</v>
      </c>
    </row>
    <row r="188" spans="1:6" x14ac:dyDescent="0.25">
      <c r="A188" t="s">
        <v>8</v>
      </c>
      <c r="B188" s="2">
        <v>42521</v>
      </c>
      <c r="C188">
        <f t="shared" ref="C188:C251" si="2">YEAR(B188)</f>
        <v>2016</v>
      </c>
      <c r="E188" t="s">
        <v>6</v>
      </c>
      <c r="F188">
        <v>20.351600000000001</v>
      </c>
    </row>
    <row r="189" spans="1:6" x14ac:dyDescent="0.25">
      <c r="A189" t="s">
        <v>8</v>
      </c>
      <c r="B189" s="2">
        <v>42535</v>
      </c>
      <c r="C189">
        <f t="shared" si="2"/>
        <v>2016</v>
      </c>
      <c r="E189" t="s">
        <v>6</v>
      </c>
      <c r="F189">
        <v>18.032299999999999</v>
      </c>
    </row>
    <row r="190" spans="1:6" x14ac:dyDescent="0.25">
      <c r="A190" t="s">
        <v>8</v>
      </c>
      <c r="B190" s="2">
        <v>42535</v>
      </c>
      <c r="C190">
        <f t="shared" si="2"/>
        <v>2016</v>
      </c>
      <c r="E190" t="s">
        <v>6</v>
      </c>
      <c r="F190">
        <v>20.246400000000005</v>
      </c>
    </row>
    <row r="191" spans="1:6" x14ac:dyDescent="0.25">
      <c r="A191" t="s">
        <v>8</v>
      </c>
      <c r="B191" s="2">
        <v>42752</v>
      </c>
      <c r="C191">
        <f t="shared" si="2"/>
        <v>2017</v>
      </c>
      <c r="E191" t="s">
        <v>6</v>
      </c>
      <c r="F191">
        <v>5.5297999999999989</v>
      </c>
    </row>
    <row r="192" spans="1:6" x14ac:dyDescent="0.25">
      <c r="A192" t="s">
        <v>8</v>
      </c>
      <c r="B192" s="2">
        <v>42752</v>
      </c>
      <c r="C192">
        <f t="shared" si="2"/>
        <v>2017</v>
      </c>
      <c r="E192" t="s">
        <v>6</v>
      </c>
      <c r="F192">
        <v>3.9312</v>
      </c>
    </row>
    <row r="193" spans="1:6" x14ac:dyDescent="0.25">
      <c r="A193" t="s">
        <v>8</v>
      </c>
      <c r="B193" s="2">
        <v>42787</v>
      </c>
      <c r="C193">
        <f t="shared" si="2"/>
        <v>2017</v>
      </c>
      <c r="E193" t="s">
        <v>6</v>
      </c>
      <c r="F193">
        <v>11.007999999999999</v>
      </c>
    </row>
    <row r="194" spans="1:6" x14ac:dyDescent="0.25">
      <c r="A194" t="s">
        <v>8</v>
      </c>
      <c r="B194" s="2">
        <v>42787</v>
      </c>
      <c r="C194">
        <f t="shared" si="2"/>
        <v>2017</v>
      </c>
      <c r="E194" t="s">
        <v>6</v>
      </c>
      <c r="F194">
        <v>9.4163999999999994</v>
      </c>
    </row>
    <row r="195" spans="1:6" x14ac:dyDescent="0.25">
      <c r="A195" t="s">
        <v>8</v>
      </c>
      <c r="B195" s="2">
        <v>42801</v>
      </c>
      <c r="C195">
        <f t="shared" si="2"/>
        <v>2017</v>
      </c>
      <c r="E195" t="s">
        <v>6</v>
      </c>
      <c r="F195">
        <v>13.7995</v>
      </c>
    </row>
    <row r="196" spans="1:6" x14ac:dyDescent="0.25">
      <c r="A196" t="s">
        <v>8</v>
      </c>
      <c r="B196" s="2">
        <v>42801</v>
      </c>
      <c r="C196">
        <f t="shared" si="2"/>
        <v>2017</v>
      </c>
      <c r="E196" t="s">
        <v>6</v>
      </c>
      <c r="F196">
        <v>11.226800000000001</v>
      </c>
    </row>
    <row r="197" spans="1:6" x14ac:dyDescent="0.25">
      <c r="A197" t="s">
        <v>8</v>
      </c>
      <c r="B197" s="2">
        <v>42815</v>
      </c>
      <c r="C197">
        <f t="shared" si="2"/>
        <v>2017</v>
      </c>
      <c r="E197" t="s">
        <v>6</v>
      </c>
      <c r="F197">
        <v>15.111599999999999</v>
      </c>
    </row>
    <row r="198" spans="1:6" x14ac:dyDescent="0.25">
      <c r="A198" t="s">
        <v>8</v>
      </c>
      <c r="B198" s="2">
        <v>42815</v>
      </c>
      <c r="C198">
        <f t="shared" si="2"/>
        <v>2017</v>
      </c>
      <c r="E198" t="s">
        <v>6</v>
      </c>
      <c r="F198">
        <v>12.8232</v>
      </c>
    </row>
    <row r="199" spans="1:6" x14ac:dyDescent="0.25">
      <c r="A199" t="s">
        <v>8</v>
      </c>
      <c r="B199" s="2">
        <v>42829</v>
      </c>
      <c r="C199">
        <f t="shared" si="2"/>
        <v>2017</v>
      </c>
      <c r="E199" t="s">
        <v>6</v>
      </c>
      <c r="F199">
        <v>17.962200000000003</v>
      </c>
    </row>
    <row r="200" spans="1:6" x14ac:dyDescent="0.25">
      <c r="A200" t="s">
        <v>8</v>
      </c>
      <c r="B200" s="2">
        <v>42829</v>
      </c>
      <c r="C200">
        <f t="shared" si="2"/>
        <v>2017</v>
      </c>
      <c r="E200" t="s">
        <v>6</v>
      </c>
      <c r="F200">
        <v>14.860800000000001</v>
      </c>
    </row>
    <row r="201" spans="1:6" x14ac:dyDescent="0.25">
      <c r="A201" t="s">
        <v>8</v>
      </c>
      <c r="B201" s="2">
        <v>42839</v>
      </c>
      <c r="C201">
        <f t="shared" si="2"/>
        <v>2017</v>
      </c>
      <c r="E201" t="s">
        <v>6</v>
      </c>
      <c r="F201">
        <v>17.060500000000001</v>
      </c>
    </row>
    <row r="202" spans="1:6" x14ac:dyDescent="0.25">
      <c r="A202" t="s">
        <v>8</v>
      </c>
      <c r="B202" s="2">
        <v>42839</v>
      </c>
      <c r="C202">
        <f t="shared" si="2"/>
        <v>2017</v>
      </c>
      <c r="E202" t="s">
        <v>6</v>
      </c>
      <c r="F202">
        <v>15.463800000000001</v>
      </c>
    </row>
    <row r="203" spans="1:6" x14ac:dyDescent="0.25">
      <c r="A203" t="s">
        <v>8</v>
      </c>
      <c r="B203" s="2">
        <v>42844</v>
      </c>
      <c r="C203">
        <f t="shared" si="2"/>
        <v>2017</v>
      </c>
      <c r="E203" t="s">
        <v>6</v>
      </c>
      <c r="F203">
        <v>18.667300000000001</v>
      </c>
    </row>
    <row r="204" spans="1:6" x14ac:dyDescent="0.25">
      <c r="A204" t="s">
        <v>8</v>
      </c>
      <c r="B204" s="2">
        <v>42844</v>
      </c>
      <c r="C204">
        <f t="shared" si="2"/>
        <v>2017</v>
      </c>
      <c r="E204" t="s">
        <v>6</v>
      </c>
      <c r="F204">
        <v>16.658200000000001</v>
      </c>
    </row>
    <row r="205" spans="1:6" x14ac:dyDescent="0.25">
      <c r="A205" t="s">
        <v>8</v>
      </c>
      <c r="B205" s="2">
        <v>42850</v>
      </c>
      <c r="C205">
        <f t="shared" si="2"/>
        <v>2017</v>
      </c>
      <c r="E205" t="s">
        <v>6</v>
      </c>
      <c r="F205">
        <v>16.6402</v>
      </c>
    </row>
    <row r="206" spans="1:6" x14ac:dyDescent="0.25">
      <c r="A206" t="s">
        <v>8</v>
      </c>
      <c r="B206" s="2">
        <v>42853</v>
      </c>
      <c r="C206">
        <f t="shared" si="2"/>
        <v>2017</v>
      </c>
      <c r="E206" t="s">
        <v>6</v>
      </c>
      <c r="F206">
        <v>19.811399999999999</v>
      </c>
    </row>
    <row r="207" spans="1:6" x14ac:dyDescent="0.25">
      <c r="A207" t="s">
        <v>8</v>
      </c>
      <c r="B207" s="2">
        <v>42858</v>
      </c>
      <c r="C207">
        <f t="shared" si="2"/>
        <v>2017</v>
      </c>
      <c r="E207" t="s">
        <v>6</v>
      </c>
      <c r="F207">
        <v>19.400500000000001</v>
      </c>
    </row>
    <row r="208" spans="1:6" x14ac:dyDescent="0.25">
      <c r="A208" t="s">
        <v>8</v>
      </c>
      <c r="B208" s="2">
        <v>42858</v>
      </c>
      <c r="C208">
        <f t="shared" si="2"/>
        <v>2017</v>
      </c>
      <c r="E208" t="s">
        <v>6</v>
      </c>
      <c r="F208">
        <v>16.364999999999998</v>
      </c>
    </row>
    <row r="209" spans="1:6" x14ac:dyDescent="0.25">
      <c r="A209" t="s">
        <v>8</v>
      </c>
      <c r="B209" s="2">
        <v>42871</v>
      </c>
      <c r="C209">
        <f t="shared" si="2"/>
        <v>2017</v>
      </c>
      <c r="E209" t="s">
        <v>6</v>
      </c>
      <c r="F209">
        <v>20.764800000000001</v>
      </c>
    </row>
    <row r="210" spans="1:6" x14ac:dyDescent="0.25">
      <c r="A210" t="s">
        <v>8</v>
      </c>
      <c r="B210" s="2">
        <v>42871</v>
      </c>
      <c r="C210">
        <f t="shared" si="2"/>
        <v>2017</v>
      </c>
      <c r="E210" t="s">
        <v>6</v>
      </c>
      <c r="F210">
        <v>19.067399999999999</v>
      </c>
    </row>
    <row r="211" spans="1:6" x14ac:dyDescent="0.25">
      <c r="A211" t="s">
        <v>8</v>
      </c>
      <c r="B211" s="2">
        <v>42885</v>
      </c>
      <c r="C211">
        <f t="shared" si="2"/>
        <v>2017</v>
      </c>
      <c r="E211" t="s">
        <v>6</v>
      </c>
      <c r="F211">
        <v>20.5335</v>
      </c>
    </row>
    <row r="212" spans="1:6" x14ac:dyDescent="0.25">
      <c r="A212" t="s">
        <v>8</v>
      </c>
      <c r="B212" s="2">
        <v>42885</v>
      </c>
      <c r="C212">
        <f t="shared" si="2"/>
        <v>2017</v>
      </c>
      <c r="E212" t="s">
        <v>6</v>
      </c>
      <c r="F212">
        <v>19.3644</v>
      </c>
    </row>
    <row r="213" spans="1:6" x14ac:dyDescent="0.25">
      <c r="A213" t="s">
        <v>8</v>
      </c>
      <c r="B213" s="2">
        <v>42893</v>
      </c>
      <c r="C213">
        <f t="shared" si="2"/>
        <v>2017</v>
      </c>
      <c r="E213" t="s">
        <v>6</v>
      </c>
      <c r="F213">
        <v>20.930400000000006</v>
      </c>
    </row>
    <row r="214" spans="1:6" x14ac:dyDescent="0.25">
      <c r="A214" t="s">
        <v>8</v>
      </c>
      <c r="B214" s="2">
        <v>42893</v>
      </c>
      <c r="C214">
        <f t="shared" si="2"/>
        <v>2017</v>
      </c>
      <c r="E214" t="s">
        <v>6</v>
      </c>
      <c r="F214">
        <v>18.645</v>
      </c>
    </row>
    <row r="215" spans="1:6" x14ac:dyDescent="0.25">
      <c r="A215" t="s">
        <v>8</v>
      </c>
      <c r="B215" s="2">
        <v>42907</v>
      </c>
      <c r="C215">
        <f t="shared" si="2"/>
        <v>2017</v>
      </c>
      <c r="E215" t="s">
        <v>6</v>
      </c>
      <c r="F215">
        <v>20.050700000000003</v>
      </c>
    </row>
    <row r="216" spans="1:6" x14ac:dyDescent="0.25">
      <c r="A216" t="s">
        <v>8</v>
      </c>
      <c r="B216" s="2">
        <v>42907</v>
      </c>
      <c r="C216">
        <f t="shared" si="2"/>
        <v>2017</v>
      </c>
      <c r="E216" t="s">
        <v>6</v>
      </c>
      <c r="F216">
        <v>19.302800000000001</v>
      </c>
    </row>
    <row r="217" spans="1:6" x14ac:dyDescent="0.25">
      <c r="A217" t="s">
        <v>8</v>
      </c>
      <c r="B217" s="2">
        <v>43116</v>
      </c>
      <c r="C217">
        <f t="shared" si="2"/>
        <v>2018</v>
      </c>
      <c r="E217" t="s">
        <v>6</v>
      </c>
      <c r="F217">
        <v>4.8048000000000002</v>
      </c>
    </row>
    <row r="218" spans="1:6" x14ac:dyDescent="0.25">
      <c r="A218" t="s">
        <v>8</v>
      </c>
      <c r="B218" s="2">
        <v>43116</v>
      </c>
      <c r="C218">
        <f t="shared" si="2"/>
        <v>2018</v>
      </c>
      <c r="E218" t="s">
        <v>6</v>
      </c>
      <c r="F218">
        <v>3.8827999999999996</v>
      </c>
    </row>
    <row r="219" spans="1:6" x14ac:dyDescent="0.25">
      <c r="A219" t="s">
        <v>8</v>
      </c>
      <c r="B219" s="2">
        <v>43151</v>
      </c>
      <c r="C219">
        <f t="shared" si="2"/>
        <v>2018</v>
      </c>
      <c r="E219" t="s">
        <v>6</v>
      </c>
      <c r="F219">
        <v>10.344599999999998</v>
      </c>
    </row>
    <row r="220" spans="1:6" x14ac:dyDescent="0.25">
      <c r="A220" t="s">
        <v>8</v>
      </c>
      <c r="B220" s="2">
        <v>43151</v>
      </c>
      <c r="C220">
        <f t="shared" si="2"/>
        <v>2018</v>
      </c>
      <c r="E220" t="s">
        <v>6</v>
      </c>
      <c r="F220">
        <v>9.0858000000000008</v>
      </c>
    </row>
    <row r="221" spans="1:6" x14ac:dyDescent="0.25">
      <c r="A221" t="s">
        <v>8</v>
      </c>
      <c r="B221" s="2">
        <v>43165</v>
      </c>
      <c r="C221">
        <f t="shared" si="2"/>
        <v>2018</v>
      </c>
      <c r="E221" t="s">
        <v>6</v>
      </c>
      <c r="F221">
        <v>12.855700000000002</v>
      </c>
    </row>
    <row r="222" spans="1:6" x14ac:dyDescent="0.25">
      <c r="A222" t="s">
        <v>8</v>
      </c>
      <c r="B222" s="2">
        <v>43165</v>
      </c>
      <c r="C222">
        <f t="shared" si="2"/>
        <v>2018</v>
      </c>
      <c r="E222" t="s">
        <v>6</v>
      </c>
      <c r="F222">
        <v>11.650799999999998</v>
      </c>
    </row>
    <row r="223" spans="1:6" x14ac:dyDescent="0.25">
      <c r="A223" t="s">
        <v>8</v>
      </c>
      <c r="B223" s="2">
        <v>43179</v>
      </c>
      <c r="C223">
        <f t="shared" si="2"/>
        <v>2018</v>
      </c>
      <c r="E223" t="s">
        <v>6</v>
      </c>
      <c r="F223">
        <v>14.632400000000001</v>
      </c>
    </row>
    <row r="224" spans="1:6" x14ac:dyDescent="0.25">
      <c r="A224" t="s">
        <v>8</v>
      </c>
      <c r="B224" s="2">
        <v>43179</v>
      </c>
      <c r="C224">
        <f t="shared" si="2"/>
        <v>2018</v>
      </c>
      <c r="E224" t="s">
        <v>6</v>
      </c>
      <c r="F224">
        <v>13.244699999999998</v>
      </c>
    </row>
    <row r="225" spans="1:6" x14ac:dyDescent="0.25">
      <c r="A225" t="s">
        <v>8</v>
      </c>
      <c r="B225" s="2">
        <v>43195</v>
      </c>
      <c r="C225">
        <f t="shared" si="2"/>
        <v>2018</v>
      </c>
      <c r="E225" t="s">
        <v>6</v>
      </c>
      <c r="F225">
        <v>16.777199999999997</v>
      </c>
    </row>
    <row r="226" spans="1:6" x14ac:dyDescent="0.25">
      <c r="A226" t="s">
        <v>8</v>
      </c>
      <c r="B226" s="2">
        <v>43195</v>
      </c>
      <c r="C226">
        <f t="shared" si="2"/>
        <v>2018</v>
      </c>
      <c r="E226" t="s">
        <v>6</v>
      </c>
      <c r="F226">
        <v>15.1228</v>
      </c>
    </row>
    <row r="227" spans="1:6" x14ac:dyDescent="0.25">
      <c r="A227" t="s">
        <v>8</v>
      </c>
      <c r="B227" s="2">
        <v>43201</v>
      </c>
      <c r="C227">
        <f t="shared" si="2"/>
        <v>2018</v>
      </c>
      <c r="E227" t="s">
        <v>6</v>
      </c>
      <c r="F227">
        <v>17.513000000000002</v>
      </c>
    </row>
    <row r="228" spans="1:6" x14ac:dyDescent="0.25">
      <c r="A228" t="s">
        <v>8</v>
      </c>
      <c r="B228" s="2">
        <v>43201</v>
      </c>
      <c r="C228">
        <f t="shared" si="2"/>
        <v>2018</v>
      </c>
      <c r="E228" t="s">
        <v>6</v>
      </c>
      <c r="F228">
        <v>15.6104</v>
      </c>
    </row>
    <row r="229" spans="1:6" x14ac:dyDescent="0.25">
      <c r="A229" t="s">
        <v>8</v>
      </c>
      <c r="B229" s="2">
        <v>43209</v>
      </c>
      <c r="C229">
        <f t="shared" si="2"/>
        <v>2018</v>
      </c>
      <c r="E229" t="s">
        <v>6</v>
      </c>
      <c r="F229">
        <v>18.920000000000002</v>
      </c>
    </row>
    <row r="230" spans="1:6" x14ac:dyDescent="0.25">
      <c r="A230" t="s">
        <v>8</v>
      </c>
      <c r="B230" s="2">
        <v>43209</v>
      </c>
      <c r="C230">
        <f t="shared" si="2"/>
        <v>2018</v>
      </c>
      <c r="E230" t="s">
        <v>6</v>
      </c>
      <c r="F230">
        <v>15.888</v>
      </c>
    </row>
    <row r="231" spans="1:6" x14ac:dyDescent="0.25">
      <c r="A231" t="s">
        <v>8</v>
      </c>
      <c r="B231" s="2">
        <v>43215</v>
      </c>
      <c r="C231">
        <f t="shared" si="2"/>
        <v>2018</v>
      </c>
      <c r="E231" t="s">
        <v>6</v>
      </c>
      <c r="F231">
        <v>19.357200000000002</v>
      </c>
    </row>
    <row r="232" spans="1:6" x14ac:dyDescent="0.25">
      <c r="A232" t="s">
        <v>8</v>
      </c>
      <c r="B232" s="2">
        <v>43215</v>
      </c>
      <c r="C232">
        <f t="shared" si="2"/>
        <v>2018</v>
      </c>
      <c r="E232" t="s">
        <v>6</v>
      </c>
      <c r="F232">
        <v>17.024000000000001</v>
      </c>
    </row>
    <row r="233" spans="1:6" x14ac:dyDescent="0.25">
      <c r="A233" t="s">
        <v>8</v>
      </c>
      <c r="B233" s="2">
        <v>43221</v>
      </c>
      <c r="C233">
        <f t="shared" si="2"/>
        <v>2018</v>
      </c>
      <c r="E233" t="s">
        <v>6</v>
      </c>
      <c r="F233">
        <v>20.462399999999999</v>
      </c>
    </row>
    <row r="234" spans="1:6" x14ac:dyDescent="0.25">
      <c r="A234" t="s">
        <v>8</v>
      </c>
      <c r="B234" s="2">
        <v>43221</v>
      </c>
      <c r="C234">
        <f t="shared" si="2"/>
        <v>2018</v>
      </c>
      <c r="E234" t="s">
        <v>6</v>
      </c>
      <c r="F234">
        <v>18.094000000000001</v>
      </c>
    </row>
    <row r="235" spans="1:6" x14ac:dyDescent="0.25">
      <c r="A235" t="s">
        <v>8</v>
      </c>
      <c r="B235" s="2">
        <v>43235</v>
      </c>
      <c r="C235">
        <f t="shared" si="2"/>
        <v>2018</v>
      </c>
      <c r="E235" t="s">
        <v>6</v>
      </c>
      <c r="F235">
        <v>20.833099999999998</v>
      </c>
    </row>
    <row r="236" spans="1:6" x14ac:dyDescent="0.25">
      <c r="A236" t="s">
        <v>8</v>
      </c>
      <c r="B236" s="2">
        <v>43235</v>
      </c>
      <c r="C236">
        <f t="shared" si="2"/>
        <v>2018</v>
      </c>
      <c r="E236" t="s">
        <v>6</v>
      </c>
      <c r="F236">
        <v>17.977800000000002</v>
      </c>
    </row>
    <row r="237" spans="1:6" x14ac:dyDescent="0.25">
      <c r="A237" t="s">
        <v>8</v>
      </c>
      <c r="B237" s="2">
        <v>43249</v>
      </c>
      <c r="C237">
        <f t="shared" si="2"/>
        <v>2018</v>
      </c>
      <c r="E237" t="s">
        <v>6</v>
      </c>
      <c r="F237">
        <v>20.935199999999998</v>
      </c>
    </row>
    <row r="238" spans="1:6" x14ac:dyDescent="0.25">
      <c r="A238" t="s">
        <v>8</v>
      </c>
      <c r="B238" s="2">
        <v>43249</v>
      </c>
      <c r="C238">
        <f t="shared" si="2"/>
        <v>2018</v>
      </c>
      <c r="E238" t="s">
        <v>6</v>
      </c>
      <c r="F238">
        <v>18.2515</v>
      </c>
    </row>
    <row r="239" spans="1:6" x14ac:dyDescent="0.25">
      <c r="A239" t="s">
        <v>8</v>
      </c>
      <c r="B239" s="2">
        <v>43479</v>
      </c>
      <c r="C239">
        <f t="shared" si="2"/>
        <v>2019</v>
      </c>
      <c r="E239" t="s">
        <v>6</v>
      </c>
      <c r="F239">
        <v>3.7132999999999998</v>
      </c>
    </row>
    <row r="240" spans="1:6" x14ac:dyDescent="0.25">
      <c r="A240" t="s">
        <v>8</v>
      </c>
      <c r="B240" s="2">
        <v>43515</v>
      </c>
      <c r="C240">
        <f t="shared" si="2"/>
        <v>2019</v>
      </c>
      <c r="E240" t="s">
        <v>6</v>
      </c>
      <c r="F240">
        <v>9.0846</v>
      </c>
    </row>
    <row r="241" spans="1:6" x14ac:dyDescent="0.25">
      <c r="A241" t="s">
        <v>8</v>
      </c>
      <c r="B241" s="2">
        <v>43529</v>
      </c>
      <c r="C241">
        <f t="shared" si="2"/>
        <v>2019</v>
      </c>
      <c r="E241" t="s">
        <v>6</v>
      </c>
      <c r="F241">
        <v>11.282700000000002</v>
      </c>
    </row>
    <row r="242" spans="1:6" x14ac:dyDescent="0.25">
      <c r="A242" t="s">
        <v>8</v>
      </c>
      <c r="B242" s="2">
        <v>43543</v>
      </c>
      <c r="C242">
        <f t="shared" si="2"/>
        <v>2019</v>
      </c>
      <c r="E242" t="s">
        <v>6</v>
      </c>
      <c r="F242">
        <v>14.1492</v>
      </c>
    </row>
    <row r="243" spans="1:6" x14ac:dyDescent="0.25">
      <c r="A243" t="s">
        <v>8</v>
      </c>
      <c r="B243" s="2">
        <v>43557</v>
      </c>
      <c r="C243">
        <f t="shared" si="2"/>
        <v>2019</v>
      </c>
      <c r="E243" t="s">
        <v>6</v>
      </c>
      <c r="F243">
        <v>15.68</v>
      </c>
    </row>
    <row r="244" spans="1:6" x14ac:dyDescent="0.25">
      <c r="A244" t="s">
        <v>8</v>
      </c>
      <c r="B244" s="2">
        <v>43564</v>
      </c>
      <c r="C244">
        <f t="shared" si="2"/>
        <v>2019</v>
      </c>
      <c r="E244" t="s">
        <v>6</v>
      </c>
      <c r="F244">
        <v>16.533000000000001</v>
      </c>
    </row>
    <row r="245" spans="1:6" x14ac:dyDescent="0.25">
      <c r="A245" t="s">
        <v>8</v>
      </c>
      <c r="B245" s="2">
        <v>43570</v>
      </c>
      <c r="C245">
        <f t="shared" si="2"/>
        <v>2019</v>
      </c>
      <c r="E245" t="s">
        <v>6</v>
      </c>
      <c r="F245">
        <v>17.297200000000004</v>
      </c>
    </row>
    <row r="246" spans="1:6" x14ac:dyDescent="0.25">
      <c r="A246" t="s">
        <v>8</v>
      </c>
      <c r="B246" s="2">
        <v>43577</v>
      </c>
      <c r="C246">
        <f t="shared" si="2"/>
        <v>2019</v>
      </c>
      <c r="E246" t="s">
        <v>6</v>
      </c>
      <c r="F246">
        <v>16.7501</v>
      </c>
    </row>
    <row r="247" spans="1:6" x14ac:dyDescent="0.25">
      <c r="A247" t="s">
        <v>8</v>
      </c>
      <c r="B247" s="2">
        <v>43584</v>
      </c>
      <c r="C247">
        <f t="shared" si="2"/>
        <v>2019</v>
      </c>
      <c r="E247" t="s">
        <v>6</v>
      </c>
      <c r="F247">
        <v>16.0398</v>
      </c>
    </row>
    <row r="248" spans="1:6" x14ac:dyDescent="0.25">
      <c r="A248" t="s">
        <v>8</v>
      </c>
      <c r="B248" s="2">
        <v>43613</v>
      </c>
      <c r="C248">
        <f t="shared" si="2"/>
        <v>2019</v>
      </c>
      <c r="E248" t="s">
        <v>6</v>
      </c>
      <c r="F248">
        <v>18.956099999999999</v>
      </c>
    </row>
    <row r="249" spans="1:6" x14ac:dyDescent="0.25">
      <c r="A249" t="s">
        <v>8</v>
      </c>
      <c r="B249" s="2">
        <v>43850</v>
      </c>
      <c r="C249">
        <f t="shared" si="2"/>
        <v>2020</v>
      </c>
      <c r="E249" t="s">
        <v>6</v>
      </c>
      <c r="F249">
        <v>4.7547000000000006</v>
      </c>
    </row>
    <row r="250" spans="1:6" x14ac:dyDescent="0.25">
      <c r="A250" t="s">
        <v>8</v>
      </c>
      <c r="B250" s="2">
        <v>43880</v>
      </c>
      <c r="C250">
        <f t="shared" si="2"/>
        <v>2020</v>
      </c>
      <c r="E250" t="s">
        <v>6</v>
      </c>
      <c r="F250">
        <v>9.8704000000000001</v>
      </c>
    </row>
    <row r="251" spans="1:6" x14ac:dyDescent="0.25">
      <c r="A251" t="s">
        <v>8</v>
      </c>
      <c r="B251" s="2">
        <v>43892</v>
      </c>
      <c r="C251">
        <f t="shared" si="2"/>
        <v>2020</v>
      </c>
      <c r="E251" t="s">
        <v>6</v>
      </c>
      <c r="F251">
        <v>10.906000000000001</v>
      </c>
    </row>
    <row r="252" spans="1:6" x14ac:dyDescent="0.25">
      <c r="A252" t="s">
        <v>8</v>
      </c>
      <c r="B252" s="2">
        <v>43906</v>
      </c>
      <c r="C252">
        <f t="shared" ref="C252:C314" si="3">YEAR(B252)</f>
        <v>2020</v>
      </c>
      <c r="E252" t="s">
        <v>6</v>
      </c>
      <c r="F252">
        <v>13.64</v>
      </c>
    </row>
    <row r="253" spans="1:6" x14ac:dyDescent="0.25">
      <c r="A253" t="s">
        <v>8</v>
      </c>
      <c r="B253" s="2">
        <v>43950</v>
      </c>
      <c r="C253">
        <f t="shared" si="3"/>
        <v>2020</v>
      </c>
      <c r="E253" t="s">
        <v>6</v>
      </c>
      <c r="F253">
        <v>18.305</v>
      </c>
    </row>
    <row r="254" spans="1:6" x14ac:dyDescent="0.25">
      <c r="A254" t="s">
        <v>8</v>
      </c>
      <c r="B254" s="2">
        <v>43963</v>
      </c>
      <c r="C254">
        <f t="shared" si="3"/>
        <v>2020</v>
      </c>
      <c r="E254" t="s">
        <v>6</v>
      </c>
      <c r="F254">
        <v>18.266399999999997</v>
      </c>
    </row>
    <row r="255" spans="1:6" x14ac:dyDescent="0.25">
      <c r="A255" t="s">
        <v>8</v>
      </c>
      <c r="B255" s="2">
        <v>43977</v>
      </c>
      <c r="C255">
        <f t="shared" si="3"/>
        <v>2020</v>
      </c>
      <c r="E255" t="s">
        <v>6</v>
      </c>
      <c r="F255">
        <v>17.912400000000002</v>
      </c>
    </row>
    <row r="256" spans="1:6" x14ac:dyDescent="0.25">
      <c r="A256" t="s">
        <v>8</v>
      </c>
      <c r="B256" s="2">
        <v>44223</v>
      </c>
      <c r="C256">
        <f t="shared" si="3"/>
        <v>2021</v>
      </c>
      <c r="E256" t="s">
        <v>6</v>
      </c>
      <c r="F256">
        <v>6.2172349019108983</v>
      </c>
    </row>
    <row r="257" spans="1:6" x14ac:dyDescent="0.25">
      <c r="A257" t="s">
        <v>8</v>
      </c>
      <c r="B257" s="2">
        <v>44244</v>
      </c>
      <c r="C257">
        <f t="shared" si="3"/>
        <v>2021</v>
      </c>
      <c r="E257" t="s">
        <v>6</v>
      </c>
      <c r="F257">
        <v>8.8543295541579354</v>
      </c>
    </row>
    <row r="258" spans="1:6" x14ac:dyDescent="0.25">
      <c r="A258" t="s">
        <v>8</v>
      </c>
      <c r="B258" s="2">
        <v>44258</v>
      </c>
      <c r="C258">
        <f t="shared" si="3"/>
        <v>2021</v>
      </c>
      <c r="E258" t="s">
        <v>6</v>
      </c>
      <c r="F258">
        <v>11.907888730774177</v>
      </c>
    </row>
    <row r="259" spans="1:6" x14ac:dyDescent="0.25">
      <c r="A259" t="s">
        <v>8</v>
      </c>
      <c r="B259" s="2">
        <v>44272</v>
      </c>
      <c r="C259">
        <f t="shared" si="3"/>
        <v>2021</v>
      </c>
      <c r="E259" t="s">
        <v>6</v>
      </c>
      <c r="F259">
        <v>13.959946145677179</v>
      </c>
    </row>
    <row r="260" spans="1:6" x14ac:dyDescent="0.25">
      <c r="A260" t="s">
        <v>8</v>
      </c>
      <c r="B260" s="2">
        <v>44286</v>
      </c>
      <c r="C260">
        <f t="shared" si="3"/>
        <v>2021</v>
      </c>
      <c r="E260" t="s">
        <v>6</v>
      </c>
      <c r="F260">
        <v>15.94766682715896</v>
      </c>
    </row>
    <row r="261" spans="1:6" x14ac:dyDescent="0.25">
      <c r="A261" t="s">
        <v>8</v>
      </c>
      <c r="B261" s="2">
        <v>44300</v>
      </c>
      <c r="C261">
        <f t="shared" si="3"/>
        <v>2021</v>
      </c>
      <c r="E261" t="s">
        <v>6</v>
      </c>
      <c r="F261">
        <v>16.847079172988892</v>
      </c>
    </row>
    <row r="262" spans="1:6" x14ac:dyDescent="0.25">
      <c r="A262" t="s">
        <v>8</v>
      </c>
      <c r="B262" s="2">
        <v>44307</v>
      </c>
      <c r="C262">
        <f t="shared" si="3"/>
        <v>2021</v>
      </c>
      <c r="E262" t="s">
        <v>6</v>
      </c>
      <c r="F262">
        <v>17.673615128971232</v>
      </c>
    </row>
    <row r="263" spans="1:6" x14ac:dyDescent="0.25">
      <c r="A263" t="s">
        <v>8</v>
      </c>
      <c r="B263" s="2">
        <v>44315</v>
      </c>
      <c r="C263">
        <f t="shared" si="3"/>
        <v>2021</v>
      </c>
      <c r="E263" t="s">
        <v>6</v>
      </c>
      <c r="F263">
        <v>17.494817081223879</v>
      </c>
    </row>
    <row r="264" spans="1:6" x14ac:dyDescent="0.25">
      <c r="A264" t="s">
        <v>8</v>
      </c>
      <c r="B264" s="2">
        <v>44321</v>
      </c>
      <c r="C264">
        <f t="shared" si="3"/>
        <v>2021</v>
      </c>
      <c r="E264" t="s">
        <v>6</v>
      </c>
      <c r="F264">
        <v>19.714894814967227</v>
      </c>
    </row>
    <row r="265" spans="1:6" x14ac:dyDescent="0.25">
      <c r="A265" t="s">
        <v>8</v>
      </c>
      <c r="B265" s="2">
        <v>44335</v>
      </c>
      <c r="C265">
        <f t="shared" si="3"/>
        <v>2021</v>
      </c>
      <c r="E265" t="s">
        <v>6</v>
      </c>
      <c r="F265">
        <v>19.764897653038307</v>
      </c>
    </row>
    <row r="266" spans="1:6" x14ac:dyDescent="0.25">
      <c r="A266" t="s">
        <v>8</v>
      </c>
      <c r="B266" s="2">
        <v>44348</v>
      </c>
      <c r="C266">
        <f t="shared" si="3"/>
        <v>2021</v>
      </c>
      <c r="E266" t="s">
        <v>6</v>
      </c>
      <c r="F266">
        <v>20.837102416927618</v>
      </c>
    </row>
    <row r="267" spans="1:6" x14ac:dyDescent="0.25">
      <c r="A267" t="s">
        <v>8</v>
      </c>
      <c r="B267" s="2">
        <v>42386</v>
      </c>
      <c r="C267">
        <f t="shared" si="3"/>
        <v>2016</v>
      </c>
      <c r="E267" t="s">
        <v>6</v>
      </c>
      <c r="F267">
        <v>4.0968</v>
      </c>
    </row>
    <row r="268" spans="1:6" x14ac:dyDescent="0.25">
      <c r="A268" t="s">
        <v>8</v>
      </c>
      <c r="B268" s="2">
        <v>42424</v>
      </c>
      <c r="C268">
        <f t="shared" si="3"/>
        <v>2016</v>
      </c>
      <c r="E268" t="s">
        <v>6</v>
      </c>
      <c r="F268">
        <v>10.3124</v>
      </c>
    </row>
    <row r="269" spans="1:6" x14ac:dyDescent="0.25">
      <c r="A269" t="s">
        <v>8</v>
      </c>
      <c r="B269" s="2">
        <v>42439</v>
      </c>
      <c r="C269">
        <f t="shared" si="3"/>
        <v>2016</v>
      </c>
      <c r="E269" t="s">
        <v>6</v>
      </c>
      <c r="F269">
        <v>13.636800000000001</v>
      </c>
    </row>
    <row r="270" spans="1:6" x14ac:dyDescent="0.25">
      <c r="A270" t="s">
        <v>8</v>
      </c>
      <c r="B270" s="2">
        <v>42452</v>
      </c>
      <c r="C270">
        <f t="shared" si="3"/>
        <v>2016</v>
      </c>
      <c r="E270" t="s">
        <v>6</v>
      </c>
      <c r="F270">
        <v>15.061199999999999</v>
      </c>
    </row>
    <row r="271" spans="1:6" x14ac:dyDescent="0.25">
      <c r="A271" t="s">
        <v>8</v>
      </c>
      <c r="B271" s="2">
        <v>42467</v>
      </c>
      <c r="C271">
        <f t="shared" si="3"/>
        <v>2016</v>
      </c>
      <c r="E271" t="s">
        <v>6</v>
      </c>
      <c r="F271">
        <v>17.472000000000001</v>
      </c>
    </row>
    <row r="272" spans="1:6" x14ac:dyDescent="0.25">
      <c r="A272" t="s">
        <v>8</v>
      </c>
      <c r="B272" s="2">
        <v>42474</v>
      </c>
      <c r="C272">
        <f t="shared" si="3"/>
        <v>2016</v>
      </c>
      <c r="E272" t="s">
        <v>6</v>
      </c>
      <c r="F272">
        <v>17.167999999999999</v>
      </c>
    </row>
    <row r="273" spans="1:6" x14ac:dyDescent="0.25">
      <c r="A273" t="s">
        <v>8</v>
      </c>
      <c r="B273" s="2">
        <v>42482</v>
      </c>
      <c r="C273">
        <f t="shared" si="3"/>
        <v>2016</v>
      </c>
      <c r="E273" t="s">
        <v>6</v>
      </c>
      <c r="F273">
        <v>18.612000000000002</v>
      </c>
    </row>
    <row r="274" spans="1:6" x14ac:dyDescent="0.25">
      <c r="A274" t="s">
        <v>8</v>
      </c>
      <c r="B274" s="2">
        <v>42489</v>
      </c>
      <c r="C274">
        <f t="shared" si="3"/>
        <v>2016</v>
      </c>
      <c r="E274" t="s">
        <v>6</v>
      </c>
      <c r="F274">
        <v>18.392800000000001</v>
      </c>
    </row>
    <row r="275" spans="1:6" x14ac:dyDescent="0.25">
      <c r="A275" t="s">
        <v>8</v>
      </c>
      <c r="B275" s="2">
        <v>42496</v>
      </c>
      <c r="C275">
        <f t="shared" si="3"/>
        <v>2016</v>
      </c>
      <c r="E275" t="s">
        <v>6</v>
      </c>
      <c r="F275">
        <v>19.4208</v>
      </c>
    </row>
    <row r="276" spans="1:6" x14ac:dyDescent="0.25">
      <c r="A276" t="s">
        <v>8</v>
      </c>
      <c r="B276" s="2">
        <v>42510</v>
      </c>
      <c r="C276">
        <f t="shared" si="3"/>
        <v>2016</v>
      </c>
      <c r="E276" t="s">
        <v>6</v>
      </c>
      <c r="F276">
        <v>20.248800000000003</v>
      </c>
    </row>
    <row r="277" spans="1:6" x14ac:dyDescent="0.25">
      <c r="A277" t="s">
        <v>8</v>
      </c>
      <c r="B277" s="2">
        <v>42523</v>
      </c>
      <c r="C277">
        <f t="shared" si="3"/>
        <v>2016</v>
      </c>
      <c r="E277" t="s">
        <v>6</v>
      </c>
      <c r="F277">
        <v>20.370199999999997</v>
      </c>
    </row>
    <row r="278" spans="1:6" x14ac:dyDescent="0.25">
      <c r="A278" t="s">
        <v>8</v>
      </c>
      <c r="B278" s="2">
        <v>42535</v>
      </c>
      <c r="C278">
        <f t="shared" si="3"/>
        <v>2016</v>
      </c>
      <c r="E278" t="s">
        <v>6</v>
      </c>
      <c r="F278">
        <v>21.318899999999999</v>
      </c>
    </row>
    <row r="279" spans="1:6" x14ac:dyDescent="0.25">
      <c r="A279" t="s">
        <v>8</v>
      </c>
      <c r="B279" s="2">
        <v>42753</v>
      </c>
      <c r="C279">
        <f t="shared" si="3"/>
        <v>2017</v>
      </c>
      <c r="E279" t="s">
        <v>6</v>
      </c>
      <c r="F279">
        <v>5.1040000000000001</v>
      </c>
    </row>
    <row r="280" spans="1:6" x14ac:dyDescent="0.25">
      <c r="A280" t="s">
        <v>8</v>
      </c>
      <c r="B280" s="2">
        <v>42789</v>
      </c>
      <c r="C280">
        <f t="shared" si="3"/>
        <v>2017</v>
      </c>
      <c r="E280" t="s">
        <v>6</v>
      </c>
      <c r="F280">
        <v>11.519600000000001</v>
      </c>
    </row>
    <row r="281" spans="1:6" x14ac:dyDescent="0.25">
      <c r="A281" t="s">
        <v>8</v>
      </c>
      <c r="B281" s="2">
        <v>42804</v>
      </c>
      <c r="C281">
        <f t="shared" si="3"/>
        <v>2017</v>
      </c>
      <c r="E281" t="s">
        <v>6</v>
      </c>
      <c r="F281">
        <v>15.008799999999999</v>
      </c>
    </row>
    <row r="282" spans="1:6" x14ac:dyDescent="0.25">
      <c r="A282" t="s">
        <v>8</v>
      </c>
      <c r="B282" s="2">
        <v>42817</v>
      </c>
      <c r="C282">
        <f t="shared" si="3"/>
        <v>2017</v>
      </c>
      <c r="E282" t="s">
        <v>6</v>
      </c>
      <c r="F282">
        <v>17.391000000000002</v>
      </c>
    </row>
    <row r="283" spans="1:6" x14ac:dyDescent="0.25">
      <c r="A283" t="s">
        <v>8</v>
      </c>
      <c r="B283" s="2">
        <v>42832</v>
      </c>
      <c r="C283">
        <f t="shared" si="3"/>
        <v>2017</v>
      </c>
      <c r="E283" t="s">
        <v>6</v>
      </c>
      <c r="F283">
        <v>19.684200000000001</v>
      </c>
    </row>
    <row r="284" spans="1:6" x14ac:dyDescent="0.25">
      <c r="A284" t="s">
        <v>8</v>
      </c>
      <c r="B284" s="2">
        <v>42838</v>
      </c>
      <c r="C284">
        <f t="shared" si="3"/>
        <v>2017</v>
      </c>
      <c r="E284" t="s">
        <v>6</v>
      </c>
      <c r="F284">
        <v>20.144000000000002</v>
      </c>
    </row>
    <row r="285" spans="1:6" x14ac:dyDescent="0.25">
      <c r="A285" t="s">
        <v>8</v>
      </c>
      <c r="B285" s="2">
        <v>42845</v>
      </c>
      <c r="C285">
        <f t="shared" si="3"/>
        <v>2017</v>
      </c>
      <c r="E285" t="s">
        <v>6</v>
      </c>
      <c r="F285">
        <v>21.559699999999999</v>
      </c>
    </row>
    <row r="286" spans="1:6" x14ac:dyDescent="0.25">
      <c r="A286" t="s">
        <v>8</v>
      </c>
      <c r="B286" s="2">
        <v>42853</v>
      </c>
      <c r="C286">
        <f t="shared" si="3"/>
        <v>2017</v>
      </c>
      <c r="E286" t="s">
        <v>6</v>
      </c>
      <c r="F286">
        <v>22.3249</v>
      </c>
    </row>
    <row r="287" spans="1:6" x14ac:dyDescent="0.25">
      <c r="A287" t="s">
        <v>8</v>
      </c>
      <c r="B287" s="2">
        <v>42859</v>
      </c>
      <c r="C287">
        <f t="shared" si="3"/>
        <v>2017</v>
      </c>
      <c r="E287" t="s">
        <v>6</v>
      </c>
      <c r="F287">
        <v>22.423000000000002</v>
      </c>
    </row>
    <row r="288" spans="1:6" x14ac:dyDescent="0.25">
      <c r="A288" t="s">
        <v>8</v>
      </c>
      <c r="B288" s="2">
        <v>42873</v>
      </c>
      <c r="C288">
        <f t="shared" si="3"/>
        <v>2017</v>
      </c>
      <c r="E288" t="s">
        <v>6</v>
      </c>
      <c r="F288">
        <v>23.824199999999998</v>
      </c>
    </row>
    <row r="289" spans="1:6" x14ac:dyDescent="0.25">
      <c r="A289" t="s">
        <v>8</v>
      </c>
      <c r="B289" s="2">
        <v>42887</v>
      </c>
      <c r="C289">
        <f t="shared" si="3"/>
        <v>2017</v>
      </c>
      <c r="E289" t="s">
        <v>6</v>
      </c>
      <c r="F289">
        <v>23.8596</v>
      </c>
    </row>
    <row r="290" spans="1:6" x14ac:dyDescent="0.25">
      <c r="A290" t="s">
        <v>8</v>
      </c>
      <c r="B290" s="2">
        <v>42894</v>
      </c>
      <c r="C290">
        <f t="shared" si="3"/>
        <v>2017</v>
      </c>
      <c r="E290" t="s">
        <v>6</v>
      </c>
      <c r="F290">
        <v>23.692900000000005</v>
      </c>
    </row>
    <row r="291" spans="1:6" x14ac:dyDescent="0.25">
      <c r="A291" t="s">
        <v>8</v>
      </c>
      <c r="B291" s="2">
        <v>42908</v>
      </c>
      <c r="C291">
        <f t="shared" si="3"/>
        <v>2017</v>
      </c>
      <c r="E291" t="s">
        <v>6</v>
      </c>
      <c r="F291">
        <v>22.8583</v>
      </c>
    </row>
    <row r="292" spans="1:6" x14ac:dyDescent="0.25">
      <c r="A292" t="s">
        <v>8</v>
      </c>
      <c r="B292" s="2">
        <v>43116</v>
      </c>
      <c r="C292">
        <f t="shared" si="3"/>
        <v>2018</v>
      </c>
      <c r="E292" t="s">
        <v>6</v>
      </c>
      <c r="F292">
        <v>4.3664999999999994</v>
      </c>
    </row>
    <row r="293" spans="1:6" x14ac:dyDescent="0.25">
      <c r="A293" t="s">
        <v>8</v>
      </c>
      <c r="B293" s="2">
        <v>43151</v>
      </c>
      <c r="C293">
        <f t="shared" si="3"/>
        <v>2018</v>
      </c>
      <c r="E293" t="s">
        <v>6</v>
      </c>
      <c r="F293">
        <v>9.3225000000000016</v>
      </c>
    </row>
    <row r="294" spans="1:6" x14ac:dyDescent="0.25">
      <c r="A294" t="s">
        <v>8</v>
      </c>
      <c r="B294" s="2">
        <v>43165</v>
      </c>
      <c r="C294">
        <f t="shared" si="3"/>
        <v>2018</v>
      </c>
      <c r="E294" t="s">
        <v>6</v>
      </c>
      <c r="F294">
        <v>12.8369</v>
      </c>
    </row>
    <row r="295" spans="1:6" x14ac:dyDescent="0.25">
      <c r="A295" t="s">
        <v>8</v>
      </c>
      <c r="B295" s="2">
        <v>43179</v>
      </c>
      <c r="C295">
        <f t="shared" si="3"/>
        <v>2018</v>
      </c>
      <c r="E295" t="s">
        <v>6</v>
      </c>
      <c r="F295">
        <v>14.657400000000001</v>
      </c>
    </row>
    <row r="296" spans="1:6" x14ac:dyDescent="0.25">
      <c r="A296" t="s">
        <v>8</v>
      </c>
      <c r="B296" s="2">
        <v>43194</v>
      </c>
      <c r="C296">
        <f t="shared" si="3"/>
        <v>2018</v>
      </c>
      <c r="E296" t="s">
        <v>6</v>
      </c>
      <c r="F296">
        <v>16.758600000000001</v>
      </c>
    </row>
    <row r="297" spans="1:6" x14ac:dyDescent="0.25">
      <c r="A297" t="s">
        <v>8</v>
      </c>
      <c r="B297" s="2">
        <v>43201</v>
      </c>
      <c r="C297">
        <f t="shared" si="3"/>
        <v>2018</v>
      </c>
      <c r="E297" t="s">
        <v>6</v>
      </c>
      <c r="F297">
        <v>17.236800000000002</v>
      </c>
    </row>
    <row r="298" spans="1:6" x14ac:dyDescent="0.25">
      <c r="A298" t="s">
        <v>8</v>
      </c>
      <c r="B298" s="2">
        <v>43209</v>
      </c>
      <c r="C298">
        <f t="shared" si="3"/>
        <v>2018</v>
      </c>
      <c r="E298" t="s">
        <v>6</v>
      </c>
      <c r="F298">
        <v>17.750700000000002</v>
      </c>
    </row>
    <row r="299" spans="1:6" x14ac:dyDescent="0.25">
      <c r="A299" t="s">
        <v>8</v>
      </c>
      <c r="B299" s="2">
        <v>43215</v>
      </c>
      <c r="C299">
        <f t="shared" si="3"/>
        <v>2018</v>
      </c>
      <c r="E299" t="s">
        <v>6</v>
      </c>
      <c r="F299">
        <v>18.916800000000002</v>
      </c>
    </row>
    <row r="300" spans="1:6" x14ac:dyDescent="0.25">
      <c r="A300" t="s">
        <v>8</v>
      </c>
      <c r="B300" s="2">
        <v>43221</v>
      </c>
      <c r="C300">
        <f t="shared" si="3"/>
        <v>2018</v>
      </c>
      <c r="E300" t="s">
        <v>6</v>
      </c>
      <c r="F300">
        <v>19.771000000000001</v>
      </c>
    </row>
    <row r="301" spans="1:6" x14ac:dyDescent="0.25">
      <c r="A301" t="s">
        <v>8</v>
      </c>
      <c r="B301" s="2">
        <v>43235</v>
      </c>
      <c r="C301">
        <f t="shared" si="3"/>
        <v>2018</v>
      </c>
      <c r="E301" t="s">
        <v>6</v>
      </c>
      <c r="F301">
        <v>19.929600000000001</v>
      </c>
    </row>
    <row r="302" spans="1:6" x14ac:dyDescent="0.25">
      <c r="A302" t="s">
        <v>8</v>
      </c>
      <c r="B302" s="2">
        <v>43249</v>
      </c>
      <c r="C302">
        <f t="shared" si="3"/>
        <v>2018</v>
      </c>
      <c r="E302" t="s">
        <v>6</v>
      </c>
      <c r="F302">
        <v>20.310400000000001</v>
      </c>
    </row>
    <row r="303" spans="1:6" x14ac:dyDescent="0.25">
      <c r="A303" t="s">
        <v>8</v>
      </c>
      <c r="B303" s="2">
        <v>43479</v>
      </c>
      <c r="C303">
        <f t="shared" si="3"/>
        <v>2019</v>
      </c>
      <c r="E303" t="s">
        <v>6</v>
      </c>
      <c r="F303">
        <v>4.1318000000000001</v>
      </c>
    </row>
    <row r="304" spans="1:6" x14ac:dyDescent="0.25">
      <c r="A304" t="s">
        <v>8</v>
      </c>
      <c r="B304" s="2">
        <v>43515</v>
      </c>
      <c r="C304">
        <f t="shared" si="3"/>
        <v>2019</v>
      </c>
      <c r="E304" t="s">
        <v>6</v>
      </c>
      <c r="F304">
        <v>9.7136999999999993</v>
      </c>
    </row>
    <row r="305" spans="1:6" x14ac:dyDescent="0.25">
      <c r="A305" t="s">
        <v>8</v>
      </c>
      <c r="B305" s="2">
        <v>43529</v>
      </c>
      <c r="C305">
        <f t="shared" si="3"/>
        <v>2019</v>
      </c>
      <c r="E305" t="s">
        <v>6</v>
      </c>
      <c r="F305">
        <v>12.059599999999998</v>
      </c>
    </row>
    <row r="306" spans="1:6" x14ac:dyDescent="0.25">
      <c r="A306" t="s">
        <v>8</v>
      </c>
      <c r="B306" s="2">
        <v>43543</v>
      </c>
      <c r="C306">
        <f t="shared" si="3"/>
        <v>2019</v>
      </c>
      <c r="E306" t="s">
        <v>6</v>
      </c>
      <c r="F306">
        <v>14.828099999999999</v>
      </c>
    </row>
    <row r="307" spans="1:6" x14ac:dyDescent="0.25">
      <c r="A307" t="s">
        <v>8</v>
      </c>
      <c r="B307" s="2">
        <v>43557</v>
      </c>
      <c r="C307">
        <f t="shared" si="3"/>
        <v>2019</v>
      </c>
      <c r="E307" t="s">
        <v>6</v>
      </c>
      <c r="F307">
        <v>17.16</v>
      </c>
    </row>
    <row r="308" spans="1:6" x14ac:dyDescent="0.25">
      <c r="A308" t="s">
        <v>8</v>
      </c>
      <c r="B308" s="2">
        <v>43564</v>
      </c>
      <c r="C308">
        <f t="shared" si="3"/>
        <v>2019</v>
      </c>
      <c r="E308" t="s">
        <v>6</v>
      </c>
      <c r="F308">
        <v>17.0183</v>
      </c>
    </row>
    <row r="309" spans="1:6" x14ac:dyDescent="0.25">
      <c r="A309" t="s">
        <v>8</v>
      </c>
      <c r="B309" s="2">
        <v>43570</v>
      </c>
      <c r="C309">
        <f t="shared" si="3"/>
        <v>2019</v>
      </c>
      <c r="E309" t="s">
        <v>6</v>
      </c>
      <c r="F309">
        <v>17.153000000000002</v>
      </c>
    </row>
    <row r="310" spans="1:6" x14ac:dyDescent="0.25">
      <c r="A310" t="s">
        <v>8</v>
      </c>
      <c r="B310" s="2">
        <v>43577</v>
      </c>
      <c r="C310">
        <f t="shared" si="3"/>
        <v>2019</v>
      </c>
      <c r="E310" t="s">
        <v>6</v>
      </c>
      <c r="F310">
        <v>18.1996</v>
      </c>
    </row>
    <row r="311" spans="1:6" x14ac:dyDescent="0.25">
      <c r="A311" t="s">
        <v>8</v>
      </c>
      <c r="B311" s="2">
        <v>43584</v>
      </c>
      <c r="C311">
        <f t="shared" si="3"/>
        <v>2019</v>
      </c>
      <c r="E311" t="s">
        <v>6</v>
      </c>
      <c r="F311">
        <v>16.344999999999999</v>
      </c>
    </row>
    <row r="312" spans="1:6" x14ac:dyDescent="0.25">
      <c r="A312" t="s">
        <v>8</v>
      </c>
      <c r="B312" s="2">
        <v>43613</v>
      </c>
      <c r="C312">
        <f t="shared" si="3"/>
        <v>2019</v>
      </c>
      <c r="E312" t="s">
        <v>6</v>
      </c>
      <c r="F312">
        <v>20.093399999999999</v>
      </c>
    </row>
    <row r="313" spans="1:6" x14ac:dyDescent="0.25">
      <c r="A313" t="s">
        <v>8</v>
      </c>
      <c r="B313" s="2">
        <v>43851</v>
      </c>
      <c r="C313">
        <f t="shared" si="3"/>
        <v>2020</v>
      </c>
      <c r="E313" t="s">
        <v>6</v>
      </c>
      <c r="F313">
        <v>5.3330999999999991</v>
      </c>
    </row>
    <row r="314" spans="1:6" x14ac:dyDescent="0.25">
      <c r="A314" t="s">
        <v>8</v>
      </c>
      <c r="B314" s="2">
        <v>43880</v>
      </c>
      <c r="C314">
        <f t="shared" si="3"/>
        <v>2020</v>
      </c>
      <c r="E314" t="s">
        <v>6</v>
      </c>
      <c r="F314">
        <v>11.4168</v>
      </c>
    </row>
    <row r="315" spans="1:6" x14ac:dyDescent="0.25">
      <c r="A315" t="s">
        <v>8</v>
      </c>
      <c r="B315" s="2">
        <v>43894</v>
      </c>
      <c r="C315">
        <f t="shared" ref="C315:C378" si="4">YEAR(B315)</f>
        <v>2020</v>
      </c>
      <c r="E315" t="s">
        <v>6</v>
      </c>
      <c r="F315">
        <v>12.3223</v>
      </c>
    </row>
    <row r="316" spans="1:6" x14ac:dyDescent="0.25">
      <c r="A316" t="s">
        <v>8</v>
      </c>
      <c r="B316" s="2">
        <v>43907</v>
      </c>
      <c r="C316">
        <f t="shared" si="4"/>
        <v>2020</v>
      </c>
      <c r="E316" t="s">
        <v>6</v>
      </c>
      <c r="F316">
        <v>15.345000000000001</v>
      </c>
    </row>
    <row r="317" spans="1:6" x14ac:dyDescent="0.25">
      <c r="A317" t="s">
        <v>8</v>
      </c>
      <c r="B317" s="2">
        <v>43951</v>
      </c>
      <c r="C317">
        <f t="shared" si="4"/>
        <v>2020</v>
      </c>
      <c r="E317" t="s">
        <v>6</v>
      </c>
      <c r="F317">
        <v>20.304000000000002</v>
      </c>
    </row>
    <row r="318" spans="1:6" x14ac:dyDescent="0.25">
      <c r="A318" t="s">
        <v>8</v>
      </c>
      <c r="B318" s="2">
        <v>43963</v>
      </c>
      <c r="C318">
        <f t="shared" si="4"/>
        <v>2020</v>
      </c>
      <c r="E318" t="s">
        <v>6</v>
      </c>
      <c r="F318">
        <v>20.374199999999998</v>
      </c>
    </row>
    <row r="319" spans="1:6" x14ac:dyDescent="0.25">
      <c r="A319" t="s">
        <v>8</v>
      </c>
      <c r="B319" s="2">
        <v>43979</v>
      </c>
      <c r="C319">
        <f t="shared" si="4"/>
        <v>2020</v>
      </c>
      <c r="E319" t="s">
        <v>6</v>
      </c>
      <c r="F319">
        <v>21.040500000000002</v>
      </c>
    </row>
    <row r="320" spans="1:6" x14ac:dyDescent="0.25">
      <c r="A320" t="s">
        <v>8</v>
      </c>
      <c r="B320" s="2">
        <v>44223</v>
      </c>
      <c r="C320">
        <f t="shared" si="4"/>
        <v>2021</v>
      </c>
      <c r="E320" t="s">
        <v>6</v>
      </c>
      <c r="F320">
        <v>6.9319183664277553</v>
      </c>
    </row>
    <row r="321" spans="1:6" x14ac:dyDescent="0.25">
      <c r="A321" t="s">
        <v>8</v>
      </c>
      <c r="B321" s="2">
        <v>44258</v>
      </c>
      <c r="C321">
        <f t="shared" si="4"/>
        <v>2021</v>
      </c>
      <c r="E321" t="s">
        <v>6</v>
      </c>
      <c r="F321">
        <v>13.780894783470638</v>
      </c>
    </row>
    <row r="322" spans="1:6" x14ac:dyDescent="0.25">
      <c r="A322" t="s">
        <v>8</v>
      </c>
      <c r="B322" s="2">
        <v>44272</v>
      </c>
      <c r="C322">
        <f t="shared" si="4"/>
        <v>2021</v>
      </c>
      <c r="E322" t="s">
        <v>6</v>
      </c>
      <c r="F322">
        <v>16.191051188890199</v>
      </c>
    </row>
    <row r="323" spans="1:6" x14ac:dyDescent="0.25">
      <c r="A323" t="s">
        <v>8</v>
      </c>
      <c r="B323" s="2">
        <v>44286</v>
      </c>
      <c r="C323">
        <f t="shared" si="4"/>
        <v>2021</v>
      </c>
      <c r="E323" t="s">
        <v>6</v>
      </c>
      <c r="F323">
        <v>17.405492056011052</v>
      </c>
    </row>
    <row r="324" spans="1:6" x14ac:dyDescent="0.25">
      <c r="A324" t="s">
        <v>8</v>
      </c>
      <c r="B324" s="2">
        <v>44300</v>
      </c>
      <c r="C324">
        <f t="shared" si="4"/>
        <v>2021</v>
      </c>
      <c r="E324" t="s">
        <v>6</v>
      </c>
      <c r="F324">
        <v>18.476749288753865</v>
      </c>
    </row>
    <row r="325" spans="1:6" x14ac:dyDescent="0.25">
      <c r="A325" t="s">
        <v>8</v>
      </c>
      <c r="B325" s="2">
        <v>44307</v>
      </c>
      <c r="C325">
        <f t="shared" si="4"/>
        <v>2021</v>
      </c>
      <c r="E325" t="s">
        <v>6</v>
      </c>
      <c r="F325">
        <v>18.760523213785294</v>
      </c>
    </row>
    <row r="326" spans="1:6" x14ac:dyDescent="0.25">
      <c r="A326" t="s">
        <v>8</v>
      </c>
      <c r="B326" s="2">
        <v>44315</v>
      </c>
      <c r="C326">
        <f t="shared" si="4"/>
        <v>2021</v>
      </c>
      <c r="E326" t="s">
        <v>6</v>
      </c>
      <c r="F326">
        <v>19.48157763281246</v>
      </c>
    </row>
    <row r="327" spans="1:6" x14ac:dyDescent="0.25">
      <c r="A327" t="s">
        <v>8</v>
      </c>
      <c r="B327" s="2">
        <v>44321</v>
      </c>
      <c r="C327">
        <f t="shared" si="4"/>
        <v>2021</v>
      </c>
      <c r="E327" t="s">
        <v>6</v>
      </c>
      <c r="F327">
        <v>17.781141937861513</v>
      </c>
    </row>
    <row r="328" spans="1:6" x14ac:dyDescent="0.25">
      <c r="A328" t="s">
        <v>8</v>
      </c>
      <c r="B328" s="2">
        <v>44335</v>
      </c>
      <c r="C328">
        <f t="shared" si="4"/>
        <v>2021</v>
      </c>
      <c r="E328" t="s">
        <v>6</v>
      </c>
      <c r="F328">
        <v>20.557990280205107</v>
      </c>
    </row>
    <row r="329" spans="1:6" x14ac:dyDescent="0.25">
      <c r="A329" t="s">
        <v>8</v>
      </c>
      <c r="B329" s="2">
        <v>44348</v>
      </c>
      <c r="C329">
        <f t="shared" si="4"/>
        <v>2021</v>
      </c>
      <c r="E329" t="s">
        <v>6</v>
      </c>
      <c r="F329">
        <v>19.39898301327348</v>
      </c>
    </row>
    <row r="330" spans="1:6" x14ac:dyDescent="0.25">
      <c r="A330" t="s">
        <v>8</v>
      </c>
      <c r="B330" s="2">
        <v>42386</v>
      </c>
      <c r="C330">
        <f t="shared" si="4"/>
        <v>2016</v>
      </c>
      <c r="E330" t="s">
        <v>6</v>
      </c>
      <c r="F330">
        <v>5.0204000000000004</v>
      </c>
    </row>
    <row r="331" spans="1:6" x14ac:dyDescent="0.25">
      <c r="A331" t="s">
        <v>8</v>
      </c>
      <c r="B331" s="2">
        <v>42386</v>
      </c>
      <c r="C331">
        <f t="shared" si="4"/>
        <v>2016</v>
      </c>
      <c r="E331" t="s">
        <v>6</v>
      </c>
      <c r="F331">
        <v>4.4855999999999998</v>
      </c>
    </row>
    <row r="332" spans="1:6" x14ac:dyDescent="0.25">
      <c r="A332" t="s">
        <v>8</v>
      </c>
      <c r="B332" s="2">
        <v>42386</v>
      </c>
      <c r="C332">
        <f t="shared" si="4"/>
        <v>2016</v>
      </c>
      <c r="E332" t="s">
        <v>6</v>
      </c>
      <c r="F332">
        <v>4.4676</v>
      </c>
    </row>
    <row r="333" spans="1:6" x14ac:dyDescent="0.25">
      <c r="A333" t="s">
        <v>8</v>
      </c>
      <c r="B333" s="2">
        <v>42389</v>
      </c>
      <c r="C333">
        <f t="shared" si="4"/>
        <v>2016</v>
      </c>
      <c r="E333" t="s">
        <v>6</v>
      </c>
      <c r="F333">
        <v>4.758</v>
      </c>
    </row>
    <row r="334" spans="1:6" x14ac:dyDescent="0.25">
      <c r="A334" t="s">
        <v>8</v>
      </c>
      <c r="B334" s="2">
        <v>42424</v>
      </c>
      <c r="C334">
        <f t="shared" si="4"/>
        <v>2016</v>
      </c>
      <c r="E334" t="s">
        <v>6</v>
      </c>
      <c r="F334">
        <v>12.196100000000001</v>
      </c>
    </row>
    <row r="335" spans="1:6" x14ac:dyDescent="0.25">
      <c r="A335" t="s">
        <v>8</v>
      </c>
      <c r="B335" s="2">
        <v>42424</v>
      </c>
      <c r="C335">
        <f t="shared" si="4"/>
        <v>2016</v>
      </c>
      <c r="E335" t="s">
        <v>6</v>
      </c>
      <c r="F335">
        <v>11.2395</v>
      </c>
    </row>
    <row r="336" spans="1:6" x14ac:dyDescent="0.25">
      <c r="A336" t="s">
        <v>8</v>
      </c>
      <c r="B336" s="2">
        <v>42424</v>
      </c>
      <c r="C336">
        <f t="shared" si="4"/>
        <v>2016</v>
      </c>
      <c r="E336" t="s">
        <v>6</v>
      </c>
      <c r="F336">
        <v>9.4307999999999996</v>
      </c>
    </row>
    <row r="337" spans="1:6" x14ac:dyDescent="0.25">
      <c r="A337" t="s">
        <v>8</v>
      </c>
      <c r="B337" s="2">
        <v>42424</v>
      </c>
      <c r="C337">
        <f t="shared" si="4"/>
        <v>2016</v>
      </c>
      <c r="E337" t="s">
        <v>6</v>
      </c>
      <c r="F337">
        <v>9.2748000000000008</v>
      </c>
    </row>
    <row r="338" spans="1:6" x14ac:dyDescent="0.25">
      <c r="A338" t="s">
        <v>8</v>
      </c>
      <c r="B338" s="2">
        <v>42438</v>
      </c>
      <c r="C338">
        <f t="shared" si="4"/>
        <v>2016</v>
      </c>
      <c r="E338" t="s">
        <v>6</v>
      </c>
      <c r="F338">
        <v>11.587200000000001</v>
      </c>
    </row>
    <row r="339" spans="1:6" x14ac:dyDescent="0.25">
      <c r="A339" t="s">
        <v>8</v>
      </c>
      <c r="B339" s="2">
        <v>42439</v>
      </c>
      <c r="C339">
        <f t="shared" si="4"/>
        <v>2016</v>
      </c>
      <c r="E339" t="s">
        <v>6</v>
      </c>
      <c r="F339">
        <v>15.09</v>
      </c>
    </row>
    <row r="340" spans="1:6" x14ac:dyDescent="0.25">
      <c r="A340" t="s">
        <v>8</v>
      </c>
      <c r="B340" s="2">
        <v>42439</v>
      </c>
      <c r="C340">
        <f t="shared" si="4"/>
        <v>2016</v>
      </c>
      <c r="E340" t="s">
        <v>6</v>
      </c>
      <c r="F340">
        <v>14.128999999999998</v>
      </c>
    </row>
    <row r="341" spans="1:6" x14ac:dyDescent="0.25">
      <c r="A341" t="s">
        <v>8</v>
      </c>
      <c r="B341" s="2">
        <v>42439</v>
      </c>
      <c r="C341">
        <f t="shared" si="4"/>
        <v>2016</v>
      </c>
      <c r="E341" t="s">
        <v>6</v>
      </c>
      <c r="F341">
        <v>11.226700000000001</v>
      </c>
    </row>
    <row r="342" spans="1:6" x14ac:dyDescent="0.25">
      <c r="A342" t="s">
        <v>8</v>
      </c>
      <c r="B342" s="2">
        <v>42452</v>
      </c>
      <c r="C342">
        <f t="shared" si="4"/>
        <v>2016</v>
      </c>
      <c r="E342" t="s">
        <v>6</v>
      </c>
      <c r="F342">
        <v>17.301000000000002</v>
      </c>
    </row>
    <row r="343" spans="1:6" x14ac:dyDescent="0.25">
      <c r="A343" t="s">
        <v>8</v>
      </c>
      <c r="B343" s="2">
        <v>42452</v>
      </c>
      <c r="C343">
        <f t="shared" si="4"/>
        <v>2016</v>
      </c>
      <c r="E343" t="s">
        <v>6</v>
      </c>
      <c r="F343">
        <v>15.54</v>
      </c>
    </row>
    <row r="344" spans="1:6" x14ac:dyDescent="0.25">
      <c r="A344" t="s">
        <v>8</v>
      </c>
      <c r="B344" s="2">
        <v>42452</v>
      </c>
      <c r="C344">
        <f t="shared" si="4"/>
        <v>2016</v>
      </c>
      <c r="E344" t="s">
        <v>6</v>
      </c>
      <c r="F344">
        <v>13.2258</v>
      </c>
    </row>
    <row r="345" spans="1:6" x14ac:dyDescent="0.25">
      <c r="A345" t="s">
        <v>8</v>
      </c>
      <c r="B345" s="2">
        <v>42452</v>
      </c>
      <c r="C345">
        <f t="shared" si="4"/>
        <v>2016</v>
      </c>
      <c r="E345" t="s">
        <v>6</v>
      </c>
      <c r="F345">
        <v>13.281999999999998</v>
      </c>
    </row>
    <row r="346" spans="1:6" x14ac:dyDescent="0.25">
      <c r="A346" t="s">
        <v>8</v>
      </c>
      <c r="B346" s="2">
        <v>42467</v>
      </c>
      <c r="C346">
        <f t="shared" si="4"/>
        <v>2016</v>
      </c>
      <c r="E346" t="s">
        <v>6</v>
      </c>
      <c r="F346">
        <v>19.822900000000001</v>
      </c>
    </row>
    <row r="347" spans="1:6" x14ac:dyDescent="0.25">
      <c r="A347" t="s">
        <v>8</v>
      </c>
      <c r="B347" s="2">
        <v>42467</v>
      </c>
      <c r="C347">
        <f t="shared" si="4"/>
        <v>2016</v>
      </c>
      <c r="E347" t="s">
        <v>6</v>
      </c>
      <c r="F347">
        <v>17.417400000000001</v>
      </c>
    </row>
    <row r="348" spans="1:6" x14ac:dyDescent="0.25">
      <c r="A348" t="s">
        <v>8</v>
      </c>
      <c r="B348" s="2">
        <v>42467</v>
      </c>
      <c r="C348">
        <f t="shared" si="4"/>
        <v>2016</v>
      </c>
      <c r="E348" t="s">
        <v>6</v>
      </c>
      <c r="F348">
        <v>15.3</v>
      </c>
    </row>
    <row r="349" spans="1:6" x14ac:dyDescent="0.25">
      <c r="A349" t="s">
        <v>8</v>
      </c>
      <c r="B349" s="2">
        <v>42467</v>
      </c>
      <c r="C349">
        <f t="shared" si="4"/>
        <v>2016</v>
      </c>
      <c r="E349" t="s">
        <v>6</v>
      </c>
      <c r="F349">
        <v>15.123999999999999</v>
      </c>
    </row>
    <row r="350" spans="1:6" x14ac:dyDescent="0.25">
      <c r="A350" t="s">
        <v>8</v>
      </c>
      <c r="B350" s="2">
        <v>42474</v>
      </c>
      <c r="C350">
        <f t="shared" si="4"/>
        <v>2016</v>
      </c>
      <c r="E350" t="s">
        <v>6</v>
      </c>
      <c r="F350">
        <v>15.631000000000002</v>
      </c>
    </row>
    <row r="351" spans="1:6" x14ac:dyDescent="0.25">
      <c r="A351" t="s">
        <v>8</v>
      </c>
      <c r="B351" s="2">
        <v>42475</v>
      </c>
      <c r="C351">
        <f t="shared" si="4"/>
        <v>2016</v>
      </c>
      <c r="E351" t="s">
        <v>6</v>
      </c>
      <c r="F351">
        <v>19.618500000000001</v>
      </c>
    </row>
    <row r="352" spans="1:6" x14ac:dyDescent="0.25">
      <c r="A352" t="s">
        <v>8</v>
      </c>
      <c r="B352" s="2">
        <v>42475</v>
      </c>
      <c r="C352">
        <f t="shared" si="4"/>
        <v>2016</v>
      </c>
      <c r="E352" t="s">
        <v>6</v>
      </c>
      <c r="F352">
        <v>17.6311</v>
      </c>
    </row>
    <row r="353" spans="1:6" x14ac:dyDescent="0.25">
      <c r="A353" t="s">
        <v>8</v>
      </c>
      <c r="B353" s="2">
        <v>42475</v>
      </c>
      <c r="C353">
        <f t="shared" si="4"/>
        <v>2016</v>
      </c>
      <c r="E353" t="s">
        <v>6</v>
      </c>
      <c r="F353">
        <v>15.853599999999998</v>
      </c>
    </row>
    <row r="354" spans="1:6" x14ac:dyDescent="0.25">
      <c r="A354" t="s">
        <v>8</v>
      </c>
      <c r="B354" s="2">
        <v>42482</v>
      </c>
      <c r="C354">
        <f t="shared" si="4"/>
        <v>2016</v>
      </c>
      <c r="E354" t="s">
        <v>6</v>
      </c>
      <c r="F354">
        <v>20.432100000000002</v>
      </c>
    </row>
    <row r="355" spans="1:6" x14ac:dyDescent="0.25">
      <c r="A355" t="s">
        <v>8</v>
      </c>
      <c r="B355" s="2">
        <v>42482</v>
      </c>
      <c r="C355">
        <f t="shared" si="4"/>
        <v>2016</v>
      </c>
      <c r="E355" t="s">
        <v>6</v>
      </c>
      <c r="F355">
        <v>17.929400000000001</v>
      </c>
    </row>
    <row r="356" spans="1:6" x14ac:dyDescent="0.25">
      <c r="A356" t="s">
        <v>8</v>
      </c>
      <c r="B356" s="2">
        <v>42482</v>
      </c>
      <c r="C356">
        <f t="shared" si="4"/>
        <v>2016</v>
      </c>
      <c r="E356" t="s">
        <v>6</v>
      </c>
      <c r="F356">
        <v>15.902999999999999</v>
      </c>
    </row>
    <row r="357" spans="1:6" x14ac:dyDescent="0.25">
      <c r="A357" t="s">
        <v>8</v>
      </c>
      <c r="B357" s="2">
        <v>42482</v>
      </c>
      <c r="C357">
        <f t="shared" si="4"/>
        <v>2016</v>
      </c>
      <c r="E357" t="s">
        <v>6</v>
      </c>
      <c r="F357">
        <v>15.250999999999999</v>
      </c>
    </row>
    <row r="358" spans="1:6" x14ac:dyDescent="0.25">
      <c r="A358" t="s">
        <v>8</v>
      </c>
      <c r="B358" s="2">
        <v>42489</v>
      </c>
      <c r="C358">
        <f t="shared" si="4"/>
        <v>2016</v>
      </c>
      <c r="E358" t="s">
        <v>6</v>
      </c>
      <c r="F358">
        <v>21.367199999999997</v>
      </c>
    </row>
    <row r="359" spans="1:6" x14ac:dyDescent="0.25">
      <c r="A359" t="s">
        <v>8</v>
      </c>
      <c r="B359" s="2">
        <v>42489</v>
      </c>
      <c r="C359">
        <f t="shared" si="4"/>
        <v>2016</v>
      </c>
      <c r="E359" t="s">
        <v>6</v>
      </c>
      <c r="F359">
        <v>18.768000000000001</v>
      </c>
    </row>
    <row r="360" spans="1:6" x14ac:dyDescent="0.25">
      <c r="A360" t="s">
        <v>8</v>
      </c>
      <c r="B360" s="2">
        <v>42489</v>
      </c>
      <c r="C360">
        <f t="shared" si="4"/>
        <v>2016</v>
      </c>
      <c r="E360" t="s">
        <v>6</v>
      </c>
      <c r="F360">
        <v>16.2181</v>
      </c>
    </row>
    <row r="361" spans="1:6" x14ac:dyDescent="0.25">
      <c r="A361" t="s">
        <v>8</v>
      </c>
      <c r="B361" s="2">
        <v>42489</v>
      </c>
      <c r="C361">
        <f t="shared" si="4"/>
        <v>2016</v>
      </c>
      <c r="E361" t="s">
        <v>6</v>
      </c>
      <c r="F361">
        <v>16.453599999999998</v>
      </c>
    </row>
    <row r="362" spans="1:6" x14ac:dyDescent="0.25">
      <c r="A362" t="s">
        <v>8</v>
      </c>
      <c r="B362" s="2">
        <v>42494</v>
      </c>
      <c r="C362">
        <f t="shared" si="4"/>
        <v>2016</v>
      </c>
      <c r="E362" t="s">
        <v>6</v>
      </c>
      <c r="F362">
        <v>17.5168</v>
      </c>
    </row>
    <row r="363" spans="1:6" x14ac:dyDescent="0.25">
      <c r="A363" t="s">
        <v>8</v>
      </c>
      <c r="B363" s="2">
        <v>42496</v>
      </c>
      <c r="C363">
        <f t="shared" si="4"/>
        <v>2016</v>
      </c>
      <c r="E363" t="s">
        <v>6</v>
      </c>
      <c r="F363">
        <v>20.984000000000002</v>
      </c>
    </row>
    <row r="364" spans="1:6" x14ac:dyDescent="0.25">
      <c r="A364" t="s">
        <v>8</v>
      </c>
      <c r="B364" s="2">
        <v>42496</v>
      </c>
      <c r="C364">
        <f t="shared" si="4"/>
        <v>2016</v>
      </c>
      <c r="E364" t="s">
        <v>6</v>
      </c>
      <c r="F364">
        <v>19.8352</v>
      </c>
    </row>
    <row r="365" spans="1:6" x14ac:dyDescent="0.25">
      <c r="A365" t="s">
        <v>8</v>
      </c>
      <c r="B365" s="2">
        <v>42496</v>
      </c>
      <c r="C365">
        <f t="shared" si="4"/>
        <v>2016</v>
      </c>
      <c r="E365" t="s">
        <v>6</v>
      </c>
      <c r="F365">
        <v>16.9938</v>
      </c>
    </row>
    <row r="366" spans="1:6" x14ac:dyDescent="0.25">
      <c r="A366" t="s">
        <v>8</v>
      </c>
      <c r="B366" s="2">
        <v>42509</v>
      </c>
      <c r="C366">
        <f t="shared" si="4"/>
        <v>2016</v>
      </c>
      <c r="E366" t="s">
        <v>6</v>
      </c>
      <c r="F366">
        <v>21.454999999999998</v>
      </c>
    </row>
    <row r="367" spans="1:6" x14ac:dyDescent="0.25">
      <c r="A367" t="s">
        <v>8</v>
      </c>
      <c r="B367" s="2">
        <v>42509</v>
      </c>
      <c r="C367">
        <f t="shared" si="4"/>
        <v>2016</v>
      </c>
      <c r="E367" t="s">
        <v>6</v>
      </c>
      <c r="F367">
        <v>18.9468</v>
      </c>
    </row>
    <row r="368" spans="1:6" x14ac:dyDescent="0.25">
      <c r="A368" t="s">
        <v>8</v>
      </c>
      <c r="B368" s="2">
        <v>42509</v>
      </c>
      <c r="C368">
        <f t="shared" si="4"/>
        <v>2016</v>
      </c>
      <c r="E368" t="s">
        <v>6</v>
      </c>
      <c r="F368">
        <v>18.04</v>
      </c>
    </row>
    <row r="369" spans="1:6" x14ac:dyDescent="0.25">
      <c r="A369" t="s">
        <v>8</v>
      </c>
      <c r="B369" s="2">
        <v>42510</v>
      </c>
      <c r="C369">
        <f t="shared" si="4"/>
        <v>2016</v>
      </c>
      <c r="E369" t="s">
        <v>6</v>
      </c>
      <c r="F369">
        <v>20.445600000000002</v>
      </c>
    </row>
    <row r="370" spans="1:6" x14ac:dyDescent="0.25">
      <c r="A370" t="s">
        <v>8</v>
      </c>
      <c r="B370" s="2">
        <v>42522</v>
      </c>
      <c r="C370">
        <f t="shared" si="4"/>
        <v>2016</v>
      </c>
      <c r="E370" t="s">
        <v>6</v>
      </c>
      <c r="F370">
        <v>18.638999999999999</v>
      </c>
    </row>
    <row r="371" spans="1:6" x14ac:dyDescent="0.25">
      <c r="A371" t="s">
        <v>8</v>
      </c>
      <c r="B371" s="2">
        <v>42523</v>
      </c>
      <c r="C371">
        <f t="shared" si="4"/>
        <v>2016</v>
      </c>
      <c r="E371" t="s">
        <v>6</v>
      </c>
      <c r="F371">
        <v>21.87</v>
      </c>
    </row>
    <row r="372" spans="1:6" x14ac:dyDescent="0.25">
      <c r="A372" t="s">
        <v>8</v>
      </c>
      <c r="B372" s="2">
        <v>42523</v>
      </c>
      <c r="C372">
        <f t="shared" si="4"/>
        <v>2016</v>
      </c>
      <c r="E372" t="s">
        <v>6</v>
      </c>
      <c r="F372">
        <v>20.708099999999998</v>
      </c>
    </row>
    <row r="373" spans="1:6" x14ac:dyDescent="0.25">
      <c r="A373" t="s">
        <v>8</v>
      </c>
      <c r="B373" s="2">
        <v>42523</v>
      </c>
      <c r="C373">
        <f t="shared" si="4"/>
        <v>2016</v>
      </c>
      <c r="E373" t="s">
        <v>6</v>
      </c>
      <c r="F373">
        <v>18.211200000000002</v>
      </c>
    </row>
    <row r="374" spans="1:6" x14ac:dyDescent="0.25">
      <c r="A374" t="s">
        <v>8</v>
      </c>
      <c r="B374" s="2">
        <v>42531</v>
      </c>
      <c r="C374">
        <f t="shared" si="4"/>
        <v>2016</v>
      </c>
      <c r="E374" t="s">
        <v>6</v>
      </c>
      <c r="F374">
        <v>20.832000000000004</v>
      </c>
    </row>
    <row r="375" spans="1:6" x14ac:dyDescent="0.25">
      <c r="A375" t="s">
        <v>8</v>
      </c>
      <c r="B375" s="2">
        <v>42535</v>
      </c>
      <c r="C375">
        <f t="shared" si="4"/>
        <v>2016</v>
      </c>
      <c r="E375" t="s">
        <v>6</v>
      </c>
      <c r="F375">
        <v>22.302000000000003</v>
      </c>
    </row>
    <row r="376" spans="1:6" x14ac:dyDescent="0.25">
      <c r="A376" t="s">
        <v>8</v>
      </c>
      <c r="B376" s="2">
        <v>42535</v>
      </c>
      <c r="C376">
        <f t="shared" si="4"/>
        <v>2016</v>
      </c>
      <c r="E376" t="s">
        <v>6</v>
      </c>
      <c r="F376">
        <v>19.825800000000001</v>
      </c>
    </row>
    <row r="377" spans="1:6" x14ac:dyDescent="0.25">
      <c r="A377" t="s">
        <v>8</v>
      </c>
      <c r="B377" s="2">
        <v>42753</v>
      </c>
      <c r="C377">
        <f t="shared" si="4"/>
        <v>2017</v>
      </c>
      <c r="E377" t="s">
        <v>6</v>
      </c>
      <c r="F377">
        <v>5.0960000000000001</v>
      </c>
    </row>
    <row r="378" spans="1:6" x14ac:dyDescent="0.25">
      <c r="A378" t="s">
        <v>8</v>
      </c>
      <c r="B378" s="2">
        <v>42753</v>
      </c>
      <c r="C378">
        <f t="shared" si="4"/>
        <v>2017</v>
      </c>
      <c r="E378" t="s">
        <v>6</v>
      </c>
      <c r="F378">
        <v>5.0466000000000006</v>
      </c>
    </row>
    <row r="379" spans="1:6" x14ac:dyDescent="0.25">
      <c r="A379" t="s">
        <v>8</v>
      </c>
      <c r="B379" s="2">
        <v>42753</v>
      </c>
      <c r="C379">
        <f t="shared" ref="C379:C442" si="5">YEAR(B379)</f>
        <v>2017</v>
      </c>
      <c r="E379" t="s">
        <v>6</v>
      </c>
      <c r="F379">
        <v>5.4350999999999985</v>
      </c>
    </row>
    <row r="380" spans="1:6" x14ac:dyDescent="0.25">
      <c r="A380" t="s">
        <v>8</v>
      </c>
      <c r="B380" s="2">
        <v>42753</v>
      </c>
      <c r="C380">
        <f t="shared" si="5"/>
        <v>2017</v>
      </c>
      <c r="E380" t="s">
        <v>6</v>
      </c>
      <c r="F380">
        <v>5.9670000000000005</v>
      </c>
    </row>
    <row r="381" spans="1:6" x14ac:dyDescent="0.25">
      <c r="A381" t="s">
        <v>8</v>
      </c>
      <c r="B381" s="2">
        <v>42788</v>
      </c>
      <c r="C381">
        <f t="shared" si="5"/>
        <v>2017</v>
      </c>
      <c r="E381" t="s">
        <v>6</v>
      </c>
      <c r="F381">
        <v>12.300900000000002</v>
      </c>
    </row>
    <row r="382" spans="1:6" x14ac:dyDescent="0.25">
      <c r="A382" t="s">
        <v>8</v>
      </c>
      <c r="B382" s="2">
        <v>42789</v>
      </c>
      <c r="C382">
        <f t="shared" si="5"/>
        <v>2017</v>
      </c>
      <c r="E382" t="s">
        <v>6</v>
      </c>
      <c r="F382">
        <v>10.933</v>
      </c>
    </row>
    <row r="383" spans="1:6" x14ac:dyDescent="0.25">
      <c r="A383" t="s">
        <v>8</v>
      </c>
      <c r="B383" s="2">
        <v>42789</v>
      </c>
      <c r="C383">
        <f t="shared" si="5"/>
        <v>2017</v>
      </c>
      <c r="E383" t="s">
        <v>6</v>
      </c>
      <c r="F383">
        <v>11.904000000000002</v>
      </c>
    </row>
    <row r="384" spans="1:6" x14ac:dyDescent="0.25">
      <c r="A384" t="s">
        <v>8</v>
      </c>
      <c r="B384" s="2">
        <v>42789</v>
      </c>
      <c r="C384">
        <f t="shared" si="5"/>
        <v>2017</v>
      </c>
      <c r="E384" t="s">
        <v>6</v>
      </c>
      <c r="F384">
        <v>11.153999999999998</v>
      </c>
    </row>
    <row r="385" spans="1:6" x14ac:dyDescent="0.25">
      <c r="A385" t="s">
        <v>8</v>
      </c>
      <c r="B385" s="2">
        <v>42803</v>
      </c>
      <c r="C385">
        <f t="shared" si="5"/>
        <v>2017</v>
      </c>
      <c r="E385" t="s">
        <v>6</v>
      </c>
      <c r="F385">
        <v>15.537600000000003</v>
      </c>
    </row>
    <row r="386" spans="1:6" x14ac:dyDescent="0.25">
      <c r="A386" t="s">
        <v>8</v>
      </c>
      <c r="B386" s="2">
        <v>42803</v>
      </c>
      <c r="C386">
        <f t="shared" si="5"/>
        <v>2017</v>
      </c>
      <c r="E386" t="s">
        <v>6</v>
      </c>
      <c r="F386">
        <v>15.332100000000001</v>
      </c>
    </row>
    <row r="387" spans="1:6" x14ac:dyDescent="0.25">
      <c r="A387" t="s">
        <v>8</v>
      </c>
      <c r="B387" s="2">
        <v>42804</v>
      </c>
      <c r="C387">
        <f t="shared" si="5"/>
        <v>2017</v>
      </c>
      <c r="E387" t="s">
        <v>6</v>
      </c>
      <c r="F387">
        <v>14.284599999999998</v>
      </c>
    </row>
    <row r="388" spans="1:6" x14ac:dyDescent="0.25">
      <c r="A388" t="s">
        <v>8</v>
      </c>
      <c r="B388" s="2">
        <v>42804</v>
      </c>
      <c r="C388">
        <f t="shared" si="5"/>
        <v>2017</v>
      </c>
      <c r="E388" t="s">
        <v>6</v>
      </c>
      <c r="F388">
        <v>14.5383</v>
      </c>
    </row>
    <row r="389" spans="1:6" x14ac:dyDescent="0.25">
      <c r="A389" t="s">
        <v>8</v>
      </c>
      <c r="B389" s="2">
        <v>42816</v>
      </c>
      <c r="C389">
        <f t="shared" si="5"/>
        <v>2017</v>
      </c>
      <c r="E389" t="s">
        <v>6</v>
      </c>
      <c r="F389">
        <v>17.3004</v>
      </c>
    </row>
    <row r="390" spans="1:6" x14ac:dyDescent="0.25">
      <c r="A390" t="s">
        <v>8</v>
      </c>
      <c r="B390" s="2">
        <v>42817</v>
      </c>
      <c r="C390">
        <f t="shared" si="5"/>
        <v>2017</v>
      </c>
      <c r="E390" t="s">
        <v>6</v>
      </c>
      <c r="F390">
        <v>15.833999999999998</v>
      </c>
    </row>
    <row r="391" spans="1:6" x14ac:dyDescent="0.25">
      <c r="A391" t="s">
        <v>8</v>
      </c>
      <c r="B391" s="2">
        <v>42817</v>
      </c>
      <c r="C391">
        <f t="shared" si="5"/>
        <v>2017</v>
      </c>
      <c r="E391" t="s">
        <v>6</v>
      </c>
      <c r="F391">
        <v>16.7029</v>
      </c>
    </row>
    <row r="392" spans="1:6" x14ac:dyDescent="0.25">
      <c r="A392" t="s">
        <v>8</v>
      </c>
      <c r="B392" s="2">
        <v>42817</v>
      </c>
      <c r="C392">
        <f t="shared" si="5"/>
        <v>2017</v>
      </c>
      <c r="E392" t="s">
        <v>6</v>
      </c>
      <c r="F392">
        <v>16.610599999999998</v>
      </c>
    </row>
    <row r="393" spans="1:6" x14ac:dyDescent="0.25">
      <c r="A393" t="s">
        <v>8</v>
      </c>
      <c r="B393" s="2">
        <v>42831</v>
      </c>
      <c r="C393">
        <f t="shared" si="5"/>
        <v>2017</v>
      </c>
      <c r="E393" t="s">
        <v>6</v>
      </c>
      <c r="F393">
        <v>20.302099999999999</v>
      </c>
    </row>
    <row r="394" spans="1:6" x14ac:dyDescent="0.25">
      <c r="A394" t="s">
        <v>8</v>
      </c>
      <c r="B394" s="2">
        <v>42832</v>
      </c>
      <c r="C394">
        <f t="shared" si="5"/>
        <v>2017</v>
      </c>
      <c r="E394" t="s">
        <v>6</v>
      </c>
      <c r="F394">
        <v>17.552</v>
      </c>
    </row>
    <row r="395" spans="1:6" x14ac:dyDescent="0.25">
      <c r="A395" t="s">
        <v>8</v>
      </c>
      <c r="B395" s="2">
        <v>42832</v>
      </c>
      <c r="C395">
        <f t="shared" si="5"/>
        <v>2017</v>
      </c>
      <c r="E395" t="s">
        <v>6</v>
      </c>
      <c r="F395">
        <v>18.972800000000003</v>
      </c>
    </row>
    <row r="396" spans="1:6" x14ac:dyDescent="0.25">
      <c r="A396" t="s">
        <v>8</v>
      </c>
      <c r="B396" s="2">
        <v>42832</v>
      </c>
      <c r="C396">
        <f t="shared" si="5"/>
        <v>2017</v>
      </c>
      <c r="E396" t="s">
        <v>6</v>
      </c>
      <c r="F396">
        <v>18.937799999999999</v>
      </c>
    </row>
    <row r="397" spans="1:6" x14ac:dyDescent="0.25">
      <c r="A397" t="s">
        <v>8</v>
      </c>
      <c r="B397" s="2">
        <v>42837</v>
      </c>
      <c r="C397">
        <f t="shared" si="5"/>
        <v>2017</v>
      </c>
      <c r="E397" t="s">
        <v>6</v>
      </c>
      <c r="F397">
        <v>20.720700000000001</v>
      </c>
    </row>
    <row r="398" spans="1:6" x14ac:dyDescent="0.25">
      <c r="A398" t="s">
        <v>8</v>
      </c>
      <c r="B398" s="2">
        <v>42838</v>
      </c>
      <c r="C398">
        <f t="shared" si="5"/>
        <v>2017</v>
      </c>
      <c r="E398" t="s">
        <v>6</v>
      </c>
      <c r="F398">
        <v>18.531100000000002</v>
      </c>
    </row>
    <row r="399" spans="1:6" x14ac:dyDescent="0.25">
      <c r="A399" t="s">
        <v>8</v>
      </c>
      <c r="B399" s="2">
        <v>42838</v>
      </c>
      <c r="C399">
        <f t="shared" si="5"/>
        <v>2017</v>
      </c>
      <c r="E399" t="s">
        <v>6</v>
      </c>
      <c r="F399">
        <v>19.588800000000003</v>
      </c>
    </row>
    <row r="400" spans="1:6" x14ac:dyDescent="0.25">
      <c r="A400" t="s">
        <v>8</v>
      </c>
      <c r="B400" s="2">
        <v>42838</v>
      </c>
      <c r="C400">
        <f t="shared" si="5"/>
        <v>2017</v>
      </c>
      <c r="E400" t="s">
        <v>6</v>
      </c>
      <c r="F400">
        <v>19.1751</v>
      </c>
    </row>
    <row r="401" spans="1:6" x14ac:dyDescent="0.25">
      <c r="A401" t="s">
        <v>8</v>
      </c>
      <c r="B401" s="2">
        <v>42844</v>
      </c>
      <c r="C401">
        <f t="shared" si="5"/>
        <v>2017</v>
      </c>
      <c r="E401" t="s">
        <v>6</v>
      </c>
      <c r="F401">
        <v>21.203699999999998</v>
      </c>
    </row>
    <row r="402" spans="1:6" x14ac:dyDescent="0.25">
      <c r="A402" t="s">
        <v>8</v>
      </c>
      <c r="B402" s="2">
        <v>42845</v>
      </c>
      <c r="C402">
        <f t="shared" si="5"/>
        <v>2017</v>
      </c>
      <c r="E402" t="s">
        <v>6</v>
      </c>
      <c r="F402">
        <v>18.908000000000001</v>
      </c>
    </row>
    <row r="403" spans="1:6" x14ac:dyDescent="0.25">
      <c r="A403" t="s">
        <v>8</v>
      </c>
      <c r="B403" s="2">
        <v>42845</v>
      </c>
      <c r="C403">
        <f t="shared" si="5"/>
        <v>2017</v>
      </c>
      <c r="E403" t="s">
        <v>6</v>
      </c>
      <c r="F403">
        <v>19.421499999999998</v>
      </c>
    </row>
    <row r="404" spans="1:6" x14ac:dyDescent="0.25">
      <c r="A404" t="s">
        <v>8</v>
      </c>
      <c r="B404" s="2">
        <v>42845</v>
      </c>
      <c r="C404">
        <f t="shared" si="5"/>
        <v>2017</v>
      </c>
      <c r="E404" t="s">
        <v>6</v>
      </c>
      <c r="F404">
        <v>20.1936</v>
      </c>
    </row>
    <row r="405" spans="1:6" x14ac:dyDescent="0.25">
      <c r="A405" t="s">
        <v>8</v>
      </c>
      <c r="B405" s="2">
        <v>42853</v>
      </c>
      <c r="C405">
        <f t="shared" si="5"/>
        <v>2017</v>
      </c>
      <c r="E405" t="s">
        <v>6</v>
      </c>
      <c r="F405">
        <v>19.071399999999997</v>
      </c>
    </row>
    <row r="406" spans="1:6" x14ac:dyDescent="0.25">
      <c r="A406" t="s">
        <v>8</v>
      </c>
      <c r="B406" s="2">
        <v>42853</v>
      </c>
      <c r="C406">
        <f t="shared" si="5"/>
        <v>2017</v>
      </c>
      <c r="E406" t="s">
        <v>6</v>
      </c>
      <c r="F406">
        <v>20.347199999999997</v>
      </c>
    </row>
    <row r="407" spans="1:6" x14ac:dyDescent="0.25">
      <c r="A407" t="s">
        <v>8</v>
      </c>
      <c r="B407" s="2">
        <v>42853</v>
      </c>
      <c r="C407">
        <f t="shared" si="5"/>
        <v>2017</v>
      </c>
      <c r="E407" t="s">
        <v>6</v>
      </c>
      <c r="F407">
        <v>20.553000000000001</v>
      </c>
    </row>
    <row r="408" spans="1:6" x14ac:dyDescent="0.25">
      <c r="A408" t="s">
        <v>8</v>
      </c>
      <c r="B408" s="2">
        <v>42853</v>
      </c>
      <c r="C408">
        <f t="shared" si="5"/>
        <v>2017</v>
      </c>
      <c r="E408" t="s">
        <v>6</v>
      </c>
      <c r="F408">
        <v>22.151000000000003</v>
      </c>
    </row>
    <row r="409" spans="1:6" x14ac:dyDescent="0.25">
      <c r="A409" t="s">
        <v>8</v>
      </c>
      <c r="B409" s="2">
        <v>42858</v>
      </c>
      <c r="C409">
        <f t="shared" si="5"/>
        <v>2017</v>
      </c>
      <c r="E409" t="s">
        <v>6</v>
      </c>
      <c r="F409">
        <v>23.3748</v>
      </c>
    </row>
    <row r="410" spans="1:6" x14ac:dyDescent="0.25">
      <c r="A410" t="s">
        <v>8</v>
      </c>
      <c r="B410" s="2">
        <v>42859</v>
      </c>
      <c r="C410">
        <f t="shared" si="5"/>
        <v>2017</v>
      </c>
      <c r="E410" t="s">
        <v>6</v>
      </c>
      <c r="F410">
        <v>21.057599999999997</v>
      </c>
    </row>
    <row r="411" spans="1:6" x14ac:dyDescent="0.25">
      <c r="A411" t="s">
        <v>8</v>
      </c>
      <c r="B411" s="2">
        <v>42860</v>
      </c>
      <c r="C411">
        <f t="shared" si="5"/>
        <v>2017</v>
      </c>
      <c r="E411" t="s">
        <v>6</v>
      </c>
      <c r="F411">
        <v>19.488000000000003</v>
      </c>
    </row>
    <row r="412" spans="1:6" x14ac:dyDescent="0.25">
      <c r="A412" t="s">
        <v>8</v>
      </c>
      <c r="B412" s="2">
        <v>42860</v>
      </c>
      <c r="C412">
        <f t="shared" si="5"/>
        <v>2017</v>
      </c>
      <c r="E412" t="s">
        <v>6</v>
      </c>
      <c r="F412">
        <v>20.897999999999996</v>
      </c>
    </row>
    <row r="413" spans="1:6" x14ac:dyDescent="0.25">
      <c r="A413" t="s">
        <v>8</v>
      </c>
      <c r="B413" s="2">
        <v>42872</v>
      </c>
      <c r="C413">
        <f t="shared" si="5"/>
        <v>2017</v>
      </c>
      <c r="E413" t="s">
        <v>6</v>
      </c>
      <c r="F413">
        <v>23.063099999999999</v>
      </c>
    </row>
    <row r="414" spans="1:6" x14ac:dyDescent="0.25">
      <c r="A414" t="s">
        <v>8</v>
      </c>
      <c r="B414" s="2">
        <v>42873</v>
      </c>
      <c r="C414">
        <f t="shared" si="5"/>
        <v>2017</v>
      </c>
      <c r="E414" t="s">
        <v>6</v>
      </c>
      <c r="F414">
        <v>20.915199999999999</v>
      </c>
    </row>
    <row r="415" spans="1:6" x14ac:dyDescent="0.25">
      <c r="A415" t="s">
        <v>8</v>
      </c>
      <c r="B415" s="2">
        <v>42873</v>
      </c>
      <c r="C415">
        <f t="shared" si="5"/>
        <v>2017</v>
      </c>
      <c r="E415" t="s">
        <v>6</v>
      </c>
      <c r="F415">
        <v>21.977199999999996</v>
      </c>
    </row>
    <row r="416" spans="1:6" x14ac:dyDescent="0.25">
      <c r="A416" t="s">
        <v>8</v>
      </c>
      <c r="B416" s="2">
        <v>42873</v>
      </c>
      <c r="C416">
        <f t="shared" si="5"/>
        <v>2017</v>
      </c>
      <c r="E416" t="s">
        <v>6</v>
      </c>
      <c r="F416">
        <v>21.648000000000003</v>
      </c>
    </row>
    <row r="417" spans="1:6" x14ac:dyDescent="0.25">
      <c r="A417" t="s">
        <v>8</v>
      </c>
      <c r="B417" s="2">
        <v>42886</v>
      </c>
      <c r="C417">
        <f t="shared" si="5"/>
        <v>2017</v>
      </c>
      <c r="E417" t="s">
        <v>6</v>
      </c>
      <c r="F417">
        <v>23.957999999999998</v>
      </c>
    </row>
    <row r="418" spans="1:6" x14ac:dyDescent="0.25">
      <c r="A418" t="s">
        <v>8</v>
      </c>
      <c r="B418" s="2">
        <v>42887</v>
      </c>
      <c r="C418">
        <f t="shared" si="5"/>
        <v>2017</v>
      </c>
      <c r="E418" t="s">
        <v>6</v>
      </c>
      <c r="F418">
        <v>20.253599999999999</v>
      </c>
    </row>
    <row r="419" spans="1:6" x14ac:dyDescent="0.25">
      <c r="A419" t="s">
        <v>8</v>
      </c>
      <c r="B419" s="2">
        <v>42887</v>
      </c>
      <c r="C419">
        <f t="shared" si="5"/>
        <v>2017</v>
      </c>
      <c r="E419" t="s">
        <v>6</v>
      </c>
      <c r="F419">
        <v>22.2911</v>
      </c>
    </row>
    <row r="420" spans="1:6" x14ac:dyDescent="0.25">
      <c r="A420" t="s">
        <v>8</v>
      </c>
      <c r="B420" s="2">
        <v>42887</v>
      </c>
      <c r="C420">
        <f t="shared" si="5"/>
        <v>2017</v>
      </c>
      <c r="E420" t="s">
        <v>6</v>
      </c>
      <c r="F420">
        <v>22.445999999999998</v>
      </c>
    </row>
    <row r="421" spans="1:6" x14ac:dyDescent="0.25">
      <c r="A421" t="s">
        <v>8</v>
      </c>
      <c r="B421" s="2">
        <v>42893</v>
      </c>
      <c r="C421">
        <f t="shared" si="5"/>
        <v>2017</v>
      </c>
      <c r="E421" t="s">
        <v>6</v>
      </c>
      <c r="F421">
        <v>21.300999999999998</v>
      </c>
    </row>
    <row r="422" spans="1:6" x14ac:dyDescent="0.25">
      <c r="A422" t="s">
        <v>8</v>
      </c>
      <c r="B422" s="2">
        <v>42893</v>
      </c>
      <c r="C422">
        <f t="shared" si="5"/>
        <v>2017</v>
      </c>
      <c r="E422" t="s">
        <v>6</v>
      </c>
      <c r="F422">
        <v>21.573600000000003</v>
      </c>
    </row>
    <row r="423" spans="1:6" x14ac:dyDescent="0.25">
      <c r="A423" t="s">
        <v>8</v>
      </c>
      <c r="B423" s="2">
        <v>42894</v>
      </c>
      <c r="C423">
        <f t="shared" si="5"/>
        <v>2017</v>
      </c>
      <c r="E423" t="s">
        <v>6</v>
      </c>
      <c r="F423">
        <v>23.470199999999998</v>
      </c>
    </row>
    <row r="424" spans="1:6" x14ac:dyDescent="0.25">
      <c r="A424" t="s">
        <v>8</v>
      </c>
      <c r="B424" s="2">
        <v>42907</v>
      </c>
      <c r="C424">
        <f t="shared" si="5"/>
        <v>2017</v>
      </c>
      <c r="E424" t="s">
        <v>6</v>
      </c>
      <c r="F424">
        <v>20.5625</v>
      </c>
    </row>
    <row r="425" spans="1:6" x14ac:dyDescent="0.25">
      <c r="A425" t="s">
        <v>8</v>
      </c>
      <c r="B425" s="2">
        <v>42907</v>
      </c>
      <c r="C425">
        <f t="shared" si="5"/>
        <v>2017</v>
      </c>
      <c r="E425" t="s">
        <v>6</v>
      </c>
      <c r="F425">
        <v>21.905999999999999</v>
      </c>
    </row>
    <row r="426" spans="1:6" x14ac:dyDescent="0.25">
      <c r="A426" t="s">
        <v>8</v>
      </c>
      <c r="B426" s="2">
        <v>42908</v>
      </c>
      <c r="C426">
        <f t="shared" si="5"/>
        <v>2017</v>
      </c>
      <c r="E426" t="s">
        <v>6</v>
      </c>
      <c r="F426">
        <v>23.157800000000002</v>
      </c>
    </row>
    <row r="427" spans="1:6" x14ac:dyDescent="0.25">
      <c r="A427" t="s">
        <v>8</v>
      </c>
      <c r="B427" s="2">
        <v>43115</v>
      </c>
      <c r="C427">
        <f t="shared" si="5"/>
        <v>2018</v>
      </c>
      <c r="E427" t="s">
        <v>6</v>
      </c>
      <c r="F427">
        <v>4.2911999999999999</v>
      </c>
    </row>
    <row r="428" spans="1:6" x14ac:dyDescent="0.25">
      <c r="A428" t="s">
        <v>8</v>
      </c>
      <c r="B428" s="2">
        <v>43115</v>
      </c>
      <c r="C428">
        <f t="shared" si="5"/>
        <v>2018</v>
      </c>
      <c r="E428" t="s">
        <v>6</v>
      </c>
      <c r="F428">
        <v>5.2806000000000006</v>
      </c>
    </row>
    <row r="429" spans="1:6" x14ac:dyDescent="0.25">
      <c r="A429" t="s">
        <v>8</v>
      </c>
      <c r="B429" s="2">
        <v>43116</v>
      </c>
      <c r="C429">
        <f t="shared" si="5"/>
        <v>2018</v>
      </c>
      <c r="E429" t="s">
        <v>6</v>
      </c>
      <c r="F429">
        <v>4.6694000000000004</v>
      </c>
    </row>
    <row r="430" spans="1:6" x14ac:dyDescent="0.25">
      <c r="A430" t="s">
        <v>8</v>
      </c>
      <c r="B430" s="2">
        <v>43116</v>
      </c>
      <c r="C430">
        <f t="shared" si="5"/>
        <v>2018</v>
      </c>
      <c r="E430" t="s">
        <v>6</v>
      </c>
      <c r="F430">
        <v>5.0616000000000012</v>
      </c>
    </row>
    <row r="431" spans="1:6" x14ac:dyDescent="0.25">
      <c r="A431" t="s">
        <v>8</v>
      </c>
      <c r="B431" s="2">
        <v>43150</v>
      </c>
      <c r="C431">
        <f t="shared" si="5"/>
        <v>2018</v>
      </c>
      <c r="E431" t="s">
        <v>6</v>
      </c>
      <c r="F431">
        <v>9.9429999999999996</v>
      </c>
    </row>
    <row r="432" spans="1:6" x14ac:dyDescent="0.25">
      <c r="A432" t="s">
        <v>8</v>
      </c>
      <c r="B432" s="2">
        <v>43150</v>
      </c>
      <c r="C432">
        <f t="shared" si="5"/>
        <v>2018</v>
      </c>
      <c r="E432" t="s">
        <v>6</v>
      </c>
      <c r="F432">
        <v>10.384</v>
      </c>
    </row>
    <row r="433" spans="1:6" x14ac:dyDescent="0.25">
      <c r="A433" t="s">
        <v>8</v>
      </c>
      <c r="B433" s="2">
        <v>43151</v>
      </c>
      <c r="C433">
        <f t="shared" si="5"/>
        <v>2018</v>
      </c>
      <c r="E433" t="s">
        <v>6</v>
      </c>
      <c r="F433">
        <v>8.9551999999999996</v>
      </c>
    </row>
    <row r="434" spans="1:6" x14ac:dyDescent="0.25">
      <c r="A434" t="s">
        <v>8</v>
      </c>
      <c r="B434" s="2">
        <v>43151</v>
      </c>
      <c r="C434">
        <f t="shared" si="5"/>
        <v>2018</v>
      </c>
      <c r="E434" t="s">
        <v>6</v>
      </c>
      <c r="F434">
        <v>10.104000000000001</v>
      </c>
    </row>
    <row r="435" spans="1:6" x14ac:dyDescent="0.25">
      <c r="A435" t="s">
        <v>8</v>
      </c>
      <c r="B435" s="2">
        <v>43164</v>
      </c>
      <c r="C435">
        <f t="shared" si="5"/>
        <v>2018</v>
      </c>
      <c r="E435" t="s">
        <v>6</v>
      </c>
      <c r="F435">
        <v>12.623800000000001</v>
      </c>
    </row>
    <row r="436" spans="1:6" x14ac:dyDescent="0.25">
      <c r="A436" t="s">
        <v>8</v>
      </c>
      <c r="B436" s="2">
        <v>43164</v>
      </c>
      <c r="C436">
        <f t="shared" si="5"/>
        <v>2018</v>
      </c>
      <c r="E436" t="s">
        <v>6</v>
      </c>
      <c r="F436">
        <v>13.277000000000001</v>
      </c>
    </row>
    <row r="437" spans="1:6" x14ac:dyDescent="0.25">
      <c r="A437" t="s">
        <v>8</v>
      </c>
      <c r="B437" s="2">
        <v>43165</v>
      </c>
      <c r="C437">
        <f t="shared" si="5"/>
        <v>2018</v>
      </c>
      <c r="E437" t="s">
        <v>6</v>
      </c>
      <c r="F437">
        <v>11.276800000000001</v>
      </c>
    </row>
    <row r="438" spans="1:6" x14ac:dyDescent="0.25">
      <c r="A438" t="s">
        <v>8</v>
      </c>
      <c r="B438" s="2">
        <v>43165</v>
      </c>
      <c r="C438">
        <f t="shared" si="5"/>
        <v>2018</v>
      </c>
      <c r="E438" t="s">
        <v>6</v>
      </c>
      <c r="F438">
        <v>13.3527</v>
      </c>
    </row>
    <row r="439" spans="1:6" x14ac:dyDescent="0.25">
      <c r="A439" t="s">
        <v>8</v>
      </c>
      <c r="B439" s="2">
        <v>43178</v>
      </c>
      <c r="C439">
        <f t="shared" si="5"/>
        <v>2018</v>
      </c>
      <c r="E439" t="s">
        <v>6</v>
      </c>
      <c r="F439">
        <v>14.0128</v>
      </c>
    </row>
    <row r="440" spans="1:6" x14ac:dyDescent="0.25">
      <c r="A440" t="s">
        <v>8</v>
      </c>
      <c r="B440" s="2">
        <v>43178</v>
      </c>
      <c r="C440">
        <f t="shared" si="5"/>
        <v>2018</v>
      </c>
      <c r="E440" t="s">
        <v>6</v>
      </c>
      <c r="F440">
        <v>15.7628</v>
      </c>
    </row>
    <row r="441" spans="1:6" x14ac:dyDescent="0.25">
      <c r="A441" t="s">
        <v>8</v>
      </c>
      <c r="B441" s="2">
        <v>43179</v>
      </c>
      <c r="C441">
        <f t="shared" si="5"/>
        <v>2018</v>
      </c>
      <c r="E441" t="s">
        <v>6</v>
      </c>
      <c r="F441">
        <v>13.127099999999999</v>
      </c>
    </row>
    <row r="442" spans="1:6" x14ac:dyDescent="0.25">
      <c r="A442" t="s">
        <v>8</v>
      </c>
      <c r="B442" s="2">
        <v>43179</v>
      </c>
      <c r="C442">
        <f t="shared" si="5"/>
        <v>2018</v>
      </c>
      <c r="E442" t="s">
        <v>6</v>
      </c>
      <c r="F442">
        <v>14.7339</v>
      </c>
    </row>
    <row r="443" spans="1:6" x14ac:dyDescent="0.25">
      <c r="A443" t="s">
        <v>8</v>
      </c>
      <c r="B443" s="2">
        <v>43194</v>
      </c>
      <c r="C443">
        <f t="shared" ref="C443:C506" si="6">YEAR(B443)</f>
        <v>2018</v>
      </c>
      <c r="E443" t="s">
        <v>6</v>
      </c>
      <c r="F443">
        <v>16.005600000000001</v>
      </c>
    </row>
    <row r="444" spans="1:6" x14ac:dyDescent="0.25">
      <c r="A444" t="s">
        <v>8</v>
      </c>
      <c r="B444" s="2">
        <v>43194</v>
      </c>
      <c r="C444">
        <f t="shared" si="6"/>
        <v>2018</v>
      </c>
      <c r="E444" t="s">
        <v>6</v>
      </c>
      <c r="F444">
        <v>18.276600000000002</v>
      </c>
    </row>
    <row r="445" spans="1:6" x14ac:dyDescent="0.25">
      <c r="A445" t="s">
        <v>8</v>
      </c>
      <c r="B445" s="2">
        <v>43195</v>
      </c>
      <c r="C445">
        <f t="shared" si="6"/>
        <v>2018</v>
      </c>
      <c r="E445" t="s">
        <v>6</v>
      </c>
      <c r="F445">
        <v>14.439400000000001</v>
      </c>
    </row>
    <row r="446" spans="1:6" x14ac:dyDescent="0.25">
      <c r="A446" t="s">
        <v>8</v>
      </c>
      <c r="B446" s="2">
        <v>43195</v>
      </c>
      <c r="C446">
        <f t="shared" si="6"/>
        <v>2018</v>
      </c>
      <c r="E446" t="s">
        <v>6</v>
      </c>
      <c r="F446">
        <v>16.700600000000001</v>
      </c>
    </row>
    <row r="447" spans="1:6" x14ac:dyDescent="0.25">
      <c r="A447" t="s">
        <v>8</v>
      </c>
      <c r="B447" s="2">
        <v>43200</v>
      </c>
      <c r="C447">
        <f t="shared" si="6"/>
        <v>2018</v>
      </c>
      <c r="E447" t="s">
        <v>6</v>
      </c>
      <c r="F447">
        <v>16.164400000000004</v>
      </c>
    </row>
    <row r="448" spans="1:6" x14ac:dyDescent="0.25">
      <c r="A448" t="s">
        <v>8</v>
      </c>
      <c r="B448" s="2">
        <v>43200</v>
      </c>
      <c r="C448">
        <f t="shared" si="6"/>
        <v>2018</v>
      </c>
      <c r="E448" t="s">
        <v>6</v>
      </c>
      <c r="F448">
        <v>18.335199999999997</v>
      </c>
    </row>
    <row r="449" spans="1:6" x14ac:dyDescent="0.25">
      <c r="A449" t="s">
        <v>8</v>
      </c>
      <c r="B449" s="2">
        <v>43201</v>
      </c>
      <c r="C449">
        <f t="shared" si="6"/>
        <v>2018</v>
      </c>
      <c r="E449" t="s">
        <v>6</v>
      </c>
      <c r="F449">
        <v>14.702199999999999</v>
      </c>
    </row>
    <row r="450" spans="1:6" x14ac:dyDescent="0.25">
      <c r="A450" t="s">
        <v>8</v>
      </c>
      <c r="B450" s="2">
        <v>43201</v>
      </c>
      <c r="C450">
        <f t="shared" si="6"/>
        <v>2018</v>
      </c>
      <c r="E450" t="s">
        <v>6</v>
      </c>
      <c r="F450">
        <v>17.832200000000004</v>
      </c>
    </row>
    <row r="451" spans="1:6" x14ac:dyDescent="0.25">
      <c r="A451" t="s">
        <v>8</v>
      </c>
      <c r="B451" s="2">
        <v>43206</v>
      </c>
      <c r="C451">
        <f t="shared" si="6"/>
        <v>2018</v>
      </c>
      <c r="E451" t="s">
        <v>6</v>
      </c>
      <c r="F451">
        <v>16.367999999999999</v>
      </c>
    </row>
    <row r="452" spans="1:6" x14ac:dyDescent="0.25">
      <c r="A452" t="s">
        <v>8</v>
      </c>
      <c r="B452" s="2">
        <v>43206</v>
      </c>
      <c r="C452">
        <f t="shared" si="6"/>
        <v>2018</v>
      </c>
      <c r="E452" t="s">
        <v>6</v>
      </c>
      <c r="F452">
        <v>18.904</v>
      </c>
    </row>
    <row r="453" spans="1:6" x14ac:dyDescent="0.25">
      <c r="A453" t="s">
        <v>8</v>
      </c>
      <c r="B453" s="2">
        <v>43209</v>
      </c>
      <c r="C453">
        <f t="shared" si="6"/>
        <v>2018</v>
      </c>
      <c r="E453" t="s">
        <v>6</v>
      </c>
      <c r="F453">
        <v>15.820200000000002</v>
      </c>
    </row>
    <row r="454" spans="1:6" x14ac:dyDescent="0.25">
      <c r="A454" t="s">
        <v>8</v>
      </c>
      <c r="B454" s="2">
        <v>43209</v>
      </c>
      <c r="C454">
        <f t="shared" si="6"/>
        <v>2018</v>
      </c>
      <c r="E454" t="s">
        <v>6</v>
      </c>
      <c r="F454">
        <v>18.990400000000001</v>
      </c>
    </row>
    <row r="455" spans="1:6" x14ac:dyDescent="0.25">
      <c r="A455" t="s">
        <v>8</v>
      </c>
      <c r="B455" s="2">
        <v>43215</v>
      </c>
      <c r="C455">
        <f t="shared" si="6"/>
        <v>2018</v>
      </c>
      <c r="E455" t="s">
        <v>6</v>
      </c>
      <c r="F455">
        <v>15.709200000000001</v>
      </c>
    </row>
    <row r="456" spans="1:6" x14ac:dyDescent="0.25">
      <c r="A456" t="s">
        <v>8</v>
      </c>
      <c r="B456" s="2">
        <v>43215</v>
      </c>
      <c r="C456">
        <f t="shared" si="6"/>
        <v>2018</v>
      </c>
      <c r="E456" t="s">
        <v>6</v>
      </c>
      <c r="F456">
        <v>17.629200000000004</v>
      </c>
    </row>
    <row r="457" spans="1:6" x14ac:dyDescent="0.25">
      <c r="A457" t="s">
        <v>8</v>
      </c>
      <c r="B457" s="2">
        <v>43215</v>
      </c>
      <c r="C457">
        <f t="shared" si="6"/>
        <v>2018</v>
      </c>
      <c r="E457" t="s">
        <v>6</v>
      </c>
      <c r="F457">
        <v>20.212200000000003</v>
      </c>
    </row>
    <row r="458" spans="1:6" x14ac:dyDescent="0.25">
      <c r="A458" t="s">
        <v>8</v>
      </c>
      <c r="B458" s="2">
        <v>43215</v>
      </c>
      <c r="C458">
        <f t="shared" si="6"/>
        <v>2018</v>
      </c>
      <c r="E458" t="s">
        <v>6</v>
      </c>
      <c r="F458">
        <v>19.511100000000003</v>
      </c>
    </row>
    <row r="459" spans="1:6" x14ac:dyDescent="0.25">
      <c r="A459" t="s">
        <v>8</v>
      </c>
      <c r="B459" s="2">
        <v>43221</v>
      </c>
      <c r="C459">
        <f t="shared" si="6"/>
        <v>2018</v>
      </c>
      <c r="E459" t="s">
        <v>6</v>
      </c>
      <c r="F459">
        <v>17.254300000000001</v>
      </c>
    </row>
    <row r="460" spans="1:6" x14ac:dyDescent="0.25">
      <c r="A460" t="s">
        <v>8</v>
      </c>
      <c r="B460" s="2">
        <v>43221</v>
      </c>
      <c r="C460">
        <f t="shared" si="6"/>
        <v>2018</v>
      </c>
      <c r="E460" t="s">
        <v>6</v>
      </c>
      <c r="F460">
        <v>18.990400000000001</v>
      </c>
    </row>
    <row r="461" spans="1:6" x14ac:dyDescent="0.25">
      <c r="A461" t="s">
        <v>8</v>
      </c>
      <c r="B461" s="2">
        <v>43221</v>
      </c>
      <c r="C461">
        <f t="shared" si="6"/>
        <v>2018</v>
      </c>
      <c r="E461" t="s">
        <v>6</v>
      </c>
      <c r="F461">
        <v>20.213000000000001</v>
      </c>
    </row>
    <row r="462" spans="1:6" x14ac:dyDescent="0.25">
      <c r="A462" t="s">
        <v>8</v>
      </c>
      <c r="B462" s="2">
        <v>43221</v>
      </c>
      <c r="C462">
        <f t="shared" si="6"/>
        <v>2018</v>
      </c>
      <c r="E462" t="s">
        <v>6</v>
      </c>
      <c r="F462">
        <v>20.743199999999998</v>
      </c>
    </row>
    <row r="463" spans="1:6" x14ac:dyDescent="0.25">
      <c r="A463" t="s">
        <v>8</v>
      </c>
      <c r="B463" s="2">
        <v>43234</v>
      </c>
      <c r="C463">
        <f t="shared" si="6"/>
        <v>2018</v>
      </c>
      <c r="E463" t="s">
        <v>6</v>
      </c>
      <c r="F463">
        <v>18.177</v>
      </c>
    </row>
    <row r="464" spans="1:6" x14ac:dyDescent="0.25">
      <c r="A464" t="s">
        <v>8</v>
      </c>
      <c r="B464" s="2">
        <v>43234</v>
      </c>
      <c r="C464">
        <f t="shared" si="6"/>
        <v>2018</v>
      </c>
      <c r="E464" t="s">
        <v>6</v>
      </c>
      <c r="F464">
        <v>21.1936</v>
      </c>
    </row>
    <row r="465" spans="1:6" x14ac:dyDescent="0.25">
      <c r="A465" t="s">
        <v>8</v>
      </c>
      <c r="B465" s="2">
        <v>43235</v>
      </c>
      <c r="C465">
        <f t="shared" si="6"/>
        <v>2018</v>
      </c>
      <c r="E465" t="s">
        <v>6</v>
      </c>
      <c r="F465">
        <v>17.12</v>
      </c>
    </row>
    <row r="466" spans="1:6" x14ac:dyDescent="0.25">
      <c r="A466" t="s">
        <v>8</v>
      </c>
      <c r="B466" s="2">
        <v>43235</v>
      </c>
      <c r="C466">
        <f t="shared" si="6"/>
        <v>2018</v>
      </c>
      <c r="E466" t="s">
        <v>6</v>
      </c>
      <c r="F466">
        <v>20.638199999999998</v>
      </c>
    </row>
    <row r="467" spans="1:6" x14ac:dyDescent="0.25">
      <c r="A467" t="s">
        <v>8</v>
      </c>
      <c r="B467" s="2">
        <v>43248</v>
      </c>
      <c r="C467">
        <f t="shared" si="6"/>
        <v>2018</v>
      </c>
      <c r="E467" t="s">
        <v>6</v>
      </c>
      <c r="F467">
        <v>19.418800000000001</v>
      </c>
    </row>
    <row r="468" spans="1:6" x14ac:dyDescent="0.25">
      <c r="A468" t="s">
        <v>8</v>
      </c>
      <c r="B468" s="2">
        <v>43248</v>
      </c>
      <c r="C468">
        <f t="shared" si="6"/>
        <v>2018</v>
      </c>
      <c r="E468" t="s">
        <v>6</v>
      </c>
      <c r="F468">
        <v>21.730399999999996</v>
      </c>
    </row>
    <row r="469" spans="1:6" x14ac:dyDescent="0.25">
      <c r="A469" t="s">
        <v>8</v>
      </c>
      <c r="B469" s="2">
        <v>43249</v>
      </c>
      <c r="C469">
        <f t="shared" si="6"/>
        <v>2018</v>
      </c>
      <c r="E469" t="s">
        <v>6</v>
      </c>
      <c r="F469">
        <v>17.313800000000001</v>
      </c>
    </row>
    <row r="470" spans="1:6" x14ac:dyDescent="0.25">
      <c r="A470" t="s">
        <v>8</v>
      </c>
      <c r="B470" s="2">
        <v>43249</v>
      </c>
      <c r="C470">
        <f t="shared" si="6"/>
        <v>2018</v>
      </c>
      <c r="E470" t="s">
        <v>6</v>
      </c>
      <c r="F470">
        <v>21.0396</v>
      </c>
    </row>
    <row r="471" spans="1:6" x14ac:dyDescent="0.25">
      <c r="A471" t="s">
        <v>8</v>
      </c>
      <c r="B471" s="2">
        <v>43479</v>
      </c>
      <c r="C471">
        <f t="shared" si="6"/>
        <v>2019</v>
      </c>
      <c r="E471" t="s">
        <v>6</v>
      </c>
      <c r="F471">
        <v>4.6560000000000006</v>
      </c>
    </row>
    <row r="472" spans="1:6" x14ac:dyDescent="0.25">
      <c r="A472" t="s">
        <v>8</v>
      </c>
      <c r="B472" s="2">
        <v>43479</v>
      </c>
      <c r="C472">
        <f t="shared" si="6"/>
        <v>2019</v>
      </c>
      <c r="E472" t="s">
        <v>6</v>
      </c>
      <c r="F472">
        <v>4.2772000000000006</v>
      </c>
    </row>
    <row r="473" spans="1:6" x14ac:dyDescent="0.25">
      <c r="A473" t="s">
        <v>8</v>
      </c>
      <c r="B473" s="2">
        <v>43479</v>
      </c>
      <c r="C473">
        <f t="shared" si="6"/>
        <v>2019</v>
      </c>
      <c r="E473" t="s">
        <v>6</v>
      </c>
      <c r="F473">
        <v>4.8944000000000001</v>
      </c>
    </row>
    <row r="474" spans="1:6" x14ac:dyDescent="0.25">
      <c r="A474" t="s">
        <v>8</v>
      </c>
      <c r="B474" s="2">
        <v>43479</v>
      </c>
      <c r="C474">
        <f t="shared" si="6"/>
        <v>2019</v>
      </c>
      <c r="E474" t="s">
        <v>6</v>
      </c>
      <c r="F474">
        <v>3.9389999999999996</v>
      </c>
    </row>
    <row r="475" spans="1:6" x14ac:dyDescent="0.25">
      <c r="A475" t="s">
        <v>8</v>
      </c>
      <c r="B475" s="2">
        <v>43514</v>
      </c>
      <c r="C475">
        <f t="shared" si="6"/>
        <v>2019</v>
      </c>
      <c r="E475" t="s">
        <v>6</v>
      </c>
      <c r="F475">
        <v>10.8528</v>
      </c>
    </row>
    <row r="476" spans="1:6" x14ac:dyDescent="0.25">
      <c r="A476" t="s">
        <v>8</v>
      </c>
      <c r="B476" s="2">
        <v>43514</v>
      </c>
      <c r="C476">
        <f t="shared" si="6"/>
        <v>2019</v>
      </c>
      <c r="E476" t="s">
        <v>6</v>
      </c>
      <c r="F476">
        <v>10.956800000000001</v>
      </c>
    </row>
    <row r="477" spans="1:6" x14ac:dyDescent="0.25">
      <c r="A477" t="s">
        <v>8</v>
      </c>
      <c r="B477" s="2">
        <v>43514</v>
      </c>
      <c r="C477">
        <f t="shared" si="6"/>
        <v>2019</v>
      </c>
      <c r="E477" t="s">
        <v>6</v>
      </c>
      <c r="F477">
        <v>11.326199999999998</v>
      </c>
    </row>
    <row r="478" spans="1:6" x14ac:dyDescent="0.25">
      <c r="A478" t="s">
        <v>8</v>
      </c>
      <c r="B478" s="2">
        <v>43514</v>
      </c>
      <c r="C478">
        <f t="shared" si="6"/>
        <v>2019</v>
      </c>
      <c r="E478" t="s">
        <v>6</v>
      </c>
      <c r="F478">
        <v>9.9293999999999993</v>
      </c>
    </row>
    <row r="479" spans="1:6" x14ac:dyDescent="0.25">
      <c r="A479" t="s">
        <v>8</v>
      </c>
      <c r="B479" s="2">
        <v>43528</v>
      </c>
      <c r="C479">
        <f t="shared" si="6"/>
        <v>2019</v>
      </c>
      <c r="E479" t="s">
        <v>6</v>
      </c>
      <c r="F479">
        <v>13.165999999999999</v>
      </c>
    </row>
    <row r="480" spans="1:6" x14ac:dyDescent="0.25">
      <c r="A480" t="s">
        <v>8</v>
      </c>
      <c r="B480" s="2">
        <v>43528</v>
      </c>
      <c r="C480">
        <f t="shared" si="6"/>
        <v>2019</v>
      </c>
      <c r="E480" t="s">
        <v>6</v>
      </c>
      <c r="F480">
        <v>10.804500000000001</v>
      </c>
    </row>
    <row r="481" spans="1:6" x14ac:dyDescent="0.25">
      <c r="A481" t="s">
        <v>8</v>
      </c>
      <c r="B481" s="2">
        <v>43529</v>
      </c>
      <c r="C481">
        <f t="shared" si="6"/>
        <v>2019</v>
      </c>
      <c r="E481" t="s">
        <v>6</v>
      </c>
      <c r="F481">
        <v>12.7376</v>
      </c>
    </row>
    <row r="482" spans="1:6" x14ac:dyDescent="0.25">
      <c r="A482" t="s">
        <v>8</v>
      </c>
      <c r="B482" s="2">
        <v>43542</v>
      </c>
      <c r="C482">
        <f t="shared" si="6"/>
        <v>2019</v>
      </c>
      <c r="E482" t="s">
        <v>6</v>
      </c>
      <c r="F482">
        <v>15.515600000000001</v>
      </c>
    </row>
    <row r="483" spans="1:6" x14ac:dyDescent="0.25">
      <c r="A483" t="s">
        <v>8</v>
      </c>
      <c r="B483" s="2">
        <v>43542</v>
      </c>
      <c r="C483">
        <f t="shared" si="6"/>
        <v>2019</v>
      </c>
      <c r="E483" t="s">
        <v>6</v>
      </c>
      <c r="F483">
        <v>12.581800000000001</v>
      </c>
    </row>
    <row r="484" spans="1:6" x14ac:dyDescent="0.25">
      <c r="A484" t="s">
        <v>8</v>
      </c>
      <c r="B484" s="2">
        <v>43543</v>
      </c>
      <c r="C484">
        <f t="shared" si="6"/>
        <v>2019</v>
      </c>
      <c r="E484" t="s">
        <v>6</v>
      </c>
      <c r="F484">
        <v>15.232000000000001</v>
      </c>
    </row>
    <row r="485" spans="1:6" x14ac:dyDescent="0.25">
      <c r="A485" t="s">
        <v>8</v>
      </c>
      <c r="B485" s="2">
        <v>43557</v>
      </c>
      <c r="C485">
        <f t="shared" si="6"/>
        <v>2019</v>
      </c>
      <c r="E485" t="s">
        <v>6</v>
      </c>
      <c r="F485">
        <v>16.212700000000002</v>
      </c>
    </row>
    <row r="486" spans="1:6" x14ac:dyDescent="0.25">
      <c r="A486" t="s">
        <v>8</v>
      </c>
      <c r="B486" s="2">
        <v>43557</v>
      </c>
      <c r="C486">
        <f t="shared" si="6"/>
        <v>2019</v>
      </c>
      <c r="E486" t="s">
        <v>6</v>
      </c>
      <c r="F486">
        <v>17.384</v>
      </c>
    </row>
    <row r="487" spans="1:6" x14ac:dyDescent="0.25">
      <c r="A487" t="s">
        <v>8</v>
      </c>
      <c r="B487" s="2">
        <v>43557</v>
      </c>
      <c r="C487">
        <f t="shared" si="6"/>
        <v>2019</v>
      </c>
      <c r="E487" t="s">
        <v>6</v>
      </c>
      <c r="F487">
        <v>17.828400000000002</v>
      </c>
    </row>
    <row r="488" spans="1:6" x14ac:dyDescent="0.25">
      <c r="A488" t="s">
        <v>8</v>
      </c>
      <c r="B488" s="2">
        <v>43557</v>
      </c>
      <c r="C488">
        <f t="shared" si="6"/>
        <v>2019</v>
      </c>
      <c r="E488" t="s">
        <v>6</v>
      </c>
      <c r="F488">
        <v>14.051499999999999</v>
      </c>
    </row>
    <row r="489" spans="1:6" x14ac:dyDescent="0.25">
      <c r="A489" t="s">
        <v>8</v>
      </c>
      <c r="B489" s="2">
        <v>43564</v>
      </c>
      <c r="C489">
        <f t="shared" si="6"/>
        <v>2019</v>
      </c>
      <c r="E489" t="s">
        <v>6</v>
      </c>
      <c r="F489">
        <v>16.912500000000001</v>
      </c>
    </row>
    <row r="490" spans="1:6" x14ac:dyDescent="0.25">
      <c r="A490" t="s">
        <v>8</v>
      </c>
      <c r="B490" s="2">
        <v>43564</v>
      </c>
      <c r="C490">
        <f t="shared" si="6"/>
        <v>2019</v>
      </c>
      <c r="E490" t="s">
        <v>6</v>
      </c>
      <c r="F490">
        <v>17.995200000000001</v>
      </c>
    </row>
    <row r="491" spans="1:6" x14ac:dyDescent="0.25">
      <c r="A491" t="s">
        <v>8</v>
      </c>
      <c r="B491" s="2">
        <v>43564</v>
      </c>
      <c r="C491">
        <f t="shared" si="6"/>
        <v>2019</v>
      </c>
      <c r="E491" t="s">
        <v>6</v>
      </c>
      <c r="F491">
        <v>18.420999999999999</v>
      </c>
    </row>
    <row r="492" spans="1:6" x14ac:dyDescent="0.25">
      <c r="A492" t="s">
        <v>8</v>
      </c>
      <c r="B492" s="2">
        <v>43564</v>
      </c>
      <c r="C492">
        <f t="shared" si="6"/>
        <v>2019</v>
      </c>
      <c r="E492" t="s">
        <v>6</v>
      </c>
      <c r="F492">
        <v>15.370899999999999</v>
      </c>
    </row>
    <row r="493" spans="1:6" x14ac:dyDescent="0.25">
      <c r="A493" t="s">
        <v>8</v>
      </c>
      <c r="B493" s="2">
        <v>43570</v>
      </c>
      <c r="C493">
        <f t="shared" si="6"/>
        <v>2019</v>
      </c>
      <c r="E493" t="s">
        <v>6</v>
      </c>
      <c r="F493">
        <v>17.330400000000001</v>
      </c>
    </row>
    <row r="494" spans="1:6" x14ac:dyDescent="0.25">
      <c r="A494" t="s">
        <v>8</v>
      </c>
      <c r="B494" s="2">
        <v>43570</v>
      </c>
      <c r="C494">
        <f t="shared" si="6"/>
        <v>2019</v>
      </c>
      <c r="E494" t="s">
        <v>6</v>
      </c>
      <c r="F494">
        <v>18.035999999999998</v>
      </c>
    </row>
    <row r="495" spans="1:6" x14ac:dyDescent="0.25">
      <c r="A495" t="s">
        <v>8</v>
      </c>
      <c r="B495" s="2">
        <v>43570</v>
      </c>
      <c r="C495">
        <f t="shared" si="6"/>
        <v>2019</v>
      </c>
      <c r="E495" t="s">
        <v>6</v>
      </c>
      <c r="F495">
        <v>19.583600000000001</v>
      </c>
    </row>
    <row r="496" spans="1:6" x14ac:dyDescent="0.25">
      <c r="A496" t="s">
        <v>8</v>
      </c>
      <c r="B496" s="2">
        <v>43570</v>
      </c>
      <c r="C496">
        <f t="shared" si="6"/>
        <v>2019</v>
      </c>
      <c r="E496" t="s">
        <v>6</v>
      </c>
      <c r="F496">
        <v>15.481599999999998</v>
      </c>
    </row>
    <row r="497" spans="1:6" x14ac:dyDescent="0.25">
      <c r="A497" t="s">
        <v>8</v>
      </c>
      <c r="B497" s="2">
        <v>43577</v>
      </c>
      <c r="C497">
        <f t="shared" si="6"/>
        <v>2019</v>
      </c>
      <c r="E497" t="s">
        <v>6</v>
      </c>
      <c r="F497">
        <v>16.8264</v>
      </c>
    </row>
    <row r="498" spans="1:6" x14ac:dyDescent="0.25">
      <c r="A498" t="s">
        <v>8</v>
      </c>
      <c r="B498" s="2">
        <v>43577</v>
      </c>
      <c r="C498">
        <f t="shared" si="6"/>
        <v>2019</v>
      </c>
      <c r="E498" t="s">
        <v>6</v>
      </c>
      <c r="F498">
        <v>18.564</v>
      </c>
    </row>
    <row r="499" spans="1:6" x14ac:dyDescent="0.25">
      <c r="A499" t="s">
        <v>8</v>
      </c>
      <c r="B499" s="2">
        <v>43577</v>
      </c>
      <c r="C499">
        <f t="shared" si="6"/>
        <v>2019</v>
      </c>
      <c r="E499" t="s">
        <v>6</v>
      </c>
      <c r="F499">
        <v>18.948599999999999</v>
      </c>
    </row>
    <row r="500" spans="1:6" x14ac:dyDescent="0.25">
      <c r="A500" t="s">
        <v>8</v>
      </c>
      <c r="B500" s="2">
        <v>43577</v>
      </c>
      <c r="C500">
        <f t="shared" si="6"/>
        <v>2019</v>
      </c>
      <c r="E500" t="s">
        <v>6</v>
      </c>
      <c r="F500">
        <v>15.484999999999999</v>
      </c>
    </row>
    <row r="501" spans="1:6" x14ac:dyDescent="0.25">
      <c r="A501" t="s">
        <v>8</v>
      </c>
      <c r="B501" s="2">
        <v>43584</v>
      </c>
      <c r="C501">
        <f t="shared" si="6"/>
        <v>2019</v>
      </c>
      <c r="E501" t="s">
        <v>6</v>
      </c>
      <c r="F501">
        <v>15.664599999999998</v>
      </c>
    </row>
    <row r="502" spans="1:6" x14ac:dyDescent="0.25">
      <c r="A502" t="s">
        <v>8</v>
      </c>
      <c r="B502" s="2">
        <v>43584</v>
      </c>
      <c r="C502">
        <f t="shared" si="6"/>
        <v>2019</v>
      </c>
      <c r="E502" t="s">
        <v>6</v>
      </c>
      <c r="F502">
        <v>16.6465</v>
      </c>
    </row>
    <row r="503" spans="1:6" x14ac:dyDescent="0.25">
      <c r="A503" t="s">
        <v>8</v>
      </c>
      <c r="B503" s="2">
        <v>43584</v>
      </c>
      <c r="C503">
        <f t="shared" si="6"/>
        <v>2019</v>
      </c>
      <c r="E503" t="s">
        <v>6</v>
      </c>
      <c r="F503">
        <v>18.004799999999999</v>
      </c>
    </row>
    <row r="504" spans="1:6" x14ac:dyDescent="0.25">
      <c r="A504" t="s">
        <v>8</v>
      </c>
      <c r="B504" s="2">
        <v>43584</v>
      </c>
      <c r="C504">
        <f t="shared" si="6"/>
        <v>2019</v>
      </c>
      <c r="E504" t="s">
        <v>6</v>
      </c>
      <c r="F504">
        <v>14.176400000000003</v>
      </c>
    </row>
    <row r="505" spans="1:6" x14ac:dyDescent="0.25">
      <c r="A505" t="s">
        <v>8</v>
      </c>
      <c r="B505" s="2">
        <v>43612</v>
      </c>
      <c r="C505">
        <f t="shared" si="6"/>
        <v>2019</v>
      </c>
      <c r="E505" t="s">
        <v>6</v>
      </c>
      <c r="F505">
        <v>21.337800000000001</v>
      </c>
    </row>
    <row r="506" spans="1:6" x14ac:dyDescent="0.25">
      <c r="A506" t="s">
        <v>8</v>
      </c>
      <c r="B506" s="2">
        <v>43612</v>
      </c>
      <c r="C506">
        <f t="shared" si="6"/>
        <v>2019</v>
      </c>
      <c r="E506" t="s">
        <v>6</v>
      </c>
      <c r="F506">
        <v>17.0625</v>
      </c>
    </row>
    <row r="507" spans="1:6" x14ac:dyDescent="0.25">
      <c r="A507" t="s">
        <v>8</v>
      </c>
      <c r="B507" s="2">
        <v>43613</v>
      </c>
      <c r="C507">
        <f t="shared" ref="C507:C569" si="7">YEAR(B507)</f>
        <v>2019</v>
      </c>
      <c r="E507" t="s">
        <v>6</v>
      </c>
      <c r="F507">
        <v>18.391999999999999</v>
      </c>
    </row>
    <row r="508" spans="1:6" x14ac:dyDescent="0.25">
      <c r="A508" t="s">
        <v>8</v>
      </c>
      <c r="B508" s="2">
        <v>43613</v>
      </c>
      <c r="C508">
        <f t="shared" si="7"/>
        <v>2019</v>
      </c>
      <c r="E508" t="s">
        <v>6</v>
      </c>
      <c r="F508">
        <v>20.178000000000001</v>
      </c>
    </row>
    <row r="509" spans="1:6" x14ac:dyDescent="0.25">
      <c r="A509" t="s">
        <v>8</v>
      </c>
      <c r="B509" s="2">
        <v>43850</v>
      </c>
      <c r="C509">
        <f t="shared" si="7"/>
        <v>2020</v>
      </c>
      <c r="E509" t="s">
        <v>6</v>
      </c>
      <c r="F509">
        <v>4.8761999999999999</v>
      </c>
    </row>
    <row r="510" spans="1:6" x14ac:dyDescent="0.25">
      <c r="A510" t="s">
        <v>8</v>
      </c>
      <c r="B510" s="2">
        <v>43850</v>
      </c>
      <c r="C510">
        <f t="shared" si="7"/>
        <v>2020</v>
      </c>
      <c r="E510" t="s">
        <v>6</v>
      </c>
      <c r="F510">
        <v>6.0888</v>
      </c>
    </row>
    <row r="511" spans="1:6" x14ac:dyDescent="0.25">
      <c r="A511" t="s">
        <v>8</v>
      </c>
      <c r="B511" s="2">
        <v>43851</v>
      </c>
      <c r="C511">
        <f t="shared" si="7"/>
        <v>2020</v>
      </c>
      <c r="E511" t="s">
        <v>6</v>
      </c>
      <c r="F511">
        <v>6.6393999999999993</v>
      </c>
    </row>
    <row r="512" spans="1:6" x14ac:dyDescent="0.25">
      <c r="A512" t="s">
        <v>8</v>
      </c>
      <c r="B512" s="2">
        <v>43878</v>
      </c>
      <c r="C512">
        <f t="shared" si="7"/>
        <v>2020</v>
      </c>
      <c r="E512" t="s">
        <v>6</v>
      </c>
      <c r="F512">
        <v>10.094700000000001</v>
      </c>
    </row>
    <row r="513" spans="1:6" x14ac:dyDescent="0.25">
      <c r="A513" t="s">
        <v>8</v>
      </c>
      <c r="B513" s="2">
        <v>43878</v>
      </c>
      <c r="C513">
        <f t="shared" si="7"/>
        <v>2020</v>
      </c>
      <c r="E513" t="s">
        <v>6</v>
      </c>
      <c r="F513">
        <v>11.238399999999999</v>
      </c>
    </row>
    <row r="514" spans="1:6" x14ac:dyDescent="0.25">
      <c r="A514" t="s">
        <v>8</v>
      </c>
      <c r="B514" s="2">
        <v>43880</v>
      </c>
      <c r="C514">
        <f t="shared" si="7"/>
        <v>2020</v>
      </c>
      <c r="E514" t="s">
        <v>6</v>
      </c>
      <c r="F514">
        <v>11.596500000000001</v>
      </c>
    </row>
    <row r="515" spans="1:6" x14ac:dyDescent="0.25">
      <c r="A515" t="s">
        <v>8</v>
      </c>
      <c r="B515" s="2">
        <v>43892</v>
      </c>
      <c r="C515">
        <f t="shared" si="7"/>
        <v>2020</v>
      </c>
      <c r="E515" t="s">
        <v>6</v>
      </c>
      <c r="F515">
        <v>11.636900000000001</v>
      </c>
    </row>
    <row r="516" spans="1:6" x14ac:dyDescent="0.25">
      <c r="A516" t="s">
        <v>8</v>
      </c>
      <c r="B516" s="2">
        <v>43892</v>
      </c>
      <c r="C516">
        <f t="shared" si="7"/>
        <v>2020</v>
      </c>
      <c r="E516" t="s">
        <v>6</v>
      </c>
      <c r="F516">
        <v>14.870200000000001</v>
      </c>
    </row>
    <row r="517" spans="1:6" x14ac:dyDescent="0.25">
      <c r="A517" t="s">
        <v>8</v>
      </c>
      <c r="B517" s="2">
        <v>43894</v>
      </c>
      <c r="C517">
        <f t="shared" si="7"/>
        <v>2020</v>
      </c>
      <c r="E517" t="s">
        <v>6</v>
      </c>
      <c r="F517">
        <v>13.32</v>
      </c>
    </row>
    <row r="518" spans="1:6" x14ac:dyDescent="0.25">
      <c r="A518" t="s">
        <v>8</v>
      </c>
      <c r="B518" s="2">
        <v>43906</v>
      </c>
      <c r="C518">
        <f t="shared" si="7"/>
        <v>2020</v>
      </c>
      <c r="E518" t="s">
        <v>6</v>
      </c>
      <c r="F518">
        <v>13.488</v>
      </c>
    </row>
    <row r="519" spans="1:6" x14ac:dyDescent="0.25">
      <c r="A519" t="s">
        <v>8</v>
      </c>
      <c r="B519" s="2">
        <v>43906</v>
      </c>
      <c r="C519">
        <f t="shared" si="7"/>
        <v>2020</v>
      </c>
      <c r="E519" t="s">
        <v>6</v>
      </c>
      <c r="F519">
        <v>17.408000000000001</v>
      </c>
    </row>
    <row r="520" spans="1:6" x14ac:dyDescent="0.25">
      <c r="A520" t="s">
        <v>8</v>
      </c>
      <c r="B520" s="2">
        <v>43907</v>
      </c>
      <c r="C520">
        <f t="shared" si="7"/>
        <v>2020</v>
      </c>
      <c r="E520" t="s">
        <v>6</v>
      </c>
      <c r="F520">
        <v>15.384600000000001</v>
      </c>
    </row>
    <row r="521" spans="1:6" x14ac:dyDescent="0.25">
      <c r="A521" t="s">
        <v>8</v>
      </c>
      <c r="B521" s="2">
        <v>43950</v>
      </c>
      <c r="C521">
        <f t="shared" si="7"/>
        <v>2020</v>
      </c>
      <c r="E521" t="s">
        <v>6</v>
      </c>
      <c r="F521">
        <v>17.500999999999998</v>
      </c>
    </row>
    <row r="522" spans="1:6" x14ac:dyDescent="0.25">
      <c r="A522" t="s">
        <v>8</v>
      </c>
      <c r="B522" s="2">
        <v>43950</v>
      </c>
      <c r="C522">
        <f t="shared" si="7"/>
        <v>2020</v>
      </c>
      <c r="E522" t="s">
        <v>6</v>
      </c>
      <c r="F522">
        <v>22.477499999999999</v>
      </c>
    </row>
    <row r="523" spans="1:6" x14ac:dyDescent="0.25">
      <c r="A523" t="s">
        <v>8</v>
      </c>
      <c r="B523" s="2">
        <v>43950</v>
      </c>
      <c r="C523">
        <f t="shared" si="7"/>
        <v>2020</v>
      </c>
      <c r="E523" t="s">
        <v>6</v>
      </c>
      <c r="F523">
        <v>19.583600000000001</v>
      </c>
    </row>
    <row r="524" spans="1:6" x14ac:dyDescent="0.25">
      <c r="A524" t="s">
        <v>8</v>
      </c>
      <c r="B524" s="2">
        <v>43963</v>
      </c>
      <c r="C524">
        <f t="shared" si="7"/>
        <v>2020</v>
      </c>
      <c r="E524" t="s">
        <v>6</v>
      </c>
      <c r="F524">
        <v>23.190299999999997</v>
      </c>
    </row>
    <row r="525" spans="1:6" x14ac:dyDescent="0.25">
      <c r="A525" t="s">
        <v>8</v>
      </c>
      <c r="B525" s="2">
        <v>43964</v>
      </c>
      <c r="C525">
        <f t="shared" si="7"/>
        <v>2020</v>
      </c>
      <c r="E525" t="s">
        <v>6</v>
      </c>
      <c r="F525">
        <v>18.668399999999998</v>
      </c>
    </row>
    <row r="526" spans="1:6" x14ac:dyDescent="0.25">
      <c r="A526" t="s">
        <v>8</v>
      </c>
      <c r="B526" s="2">
        <v>43964</v>
      </c>
      <c r="C526">
        <f t="shared" si="7"/>
        <v>2020</v>
      </c>
      <c r="E526" t="s">
        <v>6</v>
      </c>
      <c r="F526">
        <v>21.14</v>
      </c>
    </row>
    <row r="527" spans="1:6" x14ac:dyDescent="0.25">
      <c r="A527" t="s">
        <v>8</v>
      </c>
      <c r="B527" s="2">
        <v>43978</v>
      </c>
      <c r="C527">
        <f t="shared" si="7"/>
        <v>2020</v>
      </c>
      <c r="E527" t="s">
        <v>6</v>
      </c>
      <c r="F527">
        <v>17.422999999999998</v>
      </c>
    </row>
    <row r="528" spans="1:6" x14ac:dyDescent="0.25">
      <c r="A528" t="s">
        <v>8</v>
      </c>
      <c r="B528" s="2">
        <v>43978</v>
      </c>
      <c r="C528">
        <f t="shared" si="7"/>
        <v>2020</v>
      </c>
      <c r="E528" t="s">
        <v>6</v>
      </c>
      <c r="F528">
        <v>21.057399999999998</v>
      </c>
    </row>
    <row r="529" spans="1:6" x14ac:dyDescent="0.25">
      <c r="A529" t="s">
        <v>8</v>
      </c>
      <c r="B529" s="2">
        <v>44223</v>
      </c>
      <c r="C529">
        <f t="shared" si="7"/>
        <v>2021</v>
      </c>
      <c r="E529" t="s">
        <v>6</v>
      </c>
      <c r="F529">
        <v>6.9315123712321158</v>
      </c>
    </row>
    <row r="530" spans="1:6" x14ac:dyDescent="0.25">
      <c r="A530" t="s">
        <v>8</v>
      </c>
      <c r="B530" s="2">
        <v>44223</v>
      </c>
      <c r="C530">
        <f t="shared" si="7"/>
        <v>2021</v>
      </c>
      <c r="E530" t="s">
        <v>6</v>
      </c>
      <c r="F530">
        <v>5.4313511084294808</v>
      </c>
    </row>
    <row r="531" spans="1:6" x14ac:dyDescent="0.25">
      <c r="A531" t="s">
        <v>8</v>
      </c>
      <c r="B531" s="2">
        <v>44224</v>
      </c>
      <c r="C531">
        <f t="shared" si="7"/>
        <v>2021</v>
      </c>
      <c r="E531" t="s">
        <v>6</v>
      </c>
      <c r="F531">
        <v>5.7144543386675126</v>
      </c>
    </row>
    <row r="532" spans="1:6" x14ac:dyDescent="0.25">
      <c r="A532" t="s">
        <v>8</v>
      </c>
      <c r="B532" s="2">
        <v>44244</v>
      </c>
      <c r="C532">
        <f t="shared" si="7"/>
        <v>2021</v>
      </c>
      <c r="E532" t="s">
        <v>6</v>
      </c>
      <c r="F532">
        <v>8.8291548744930903</v>
      </c>
    </row>
    <row r="533" spans="1:6" x14ac:dyDescent="0.25">
      <c r="A533" t="s">
        <v>8</v>
      </c>
      <c r="B533" s="2">
        <v>44245</v>
      </c>
      <c r="C533">
        <f t="shared" si="7"/>
        <v>2021</v>
      </c>
      <c r="E533" t="s">
        <v>6</v>
      </c>
      <c r="F533">
        <v>8.3138487145662179</v>
      </c>
    </row>
    <row r="534" spans="1:6" x14ac:dyDescent="0.25">
      <c r="A534" t="s">
        <v>8</v>
      </c>
      <c r="B534" s="2">
        <v>44245</v>
      </c>
      <c r="C534">
        <f t="shared" si="7"/>
        <v>2021</v>
      </c>
      <c r="E534" t="s">
        <v>6</v>
      </c>
      <c r="F534">
        <v>8.0472565935445601</v>
      </c>
    </row>
    <row r="535" spans="1:6" x14ac:dyDescent="0.25">
      <c r="A535" t="s">
        <v>8</v>
      </c>
      <c r="B535" s="2">
        <v>44258</v>
      </c>
      <c r="C535">
        <f t="shared" si="7"/>
        <v>2021</v>
      </c>
      <c r="E535" t="s">
        <v>6</v>
      </c>
      <c r="F535">
        <v>11.28362013570101</v>
      </c>
    </row>
    <row r="536" spans="1:6" x14ac:dyDescent="0.25">
      <c r="A536" t="s">
        <v>8</v>
      </c>
      <c r="B536" s="2">
        <v>44258</v>
      </c>
      <c r="C536">
        <f t="shared" si="7"/>
        <v>2021</v>
      </c>
      <c r="E536" t="s">
        <v>6</v>
      </c>
      <c r="F536">
        <v>12.996873220121543</v>
      </c>
    </row>
    <row r="537" spans="1:6" x14ac:dyDescent="0.25">
      <c r="A537" t="s">
        <v>8</v>
      </c>
      <c r="B537" s="2">
        <v>44258</v>
      </c>
      <c r="C537">
        <f t="shared" si="7"/>
        <v>2021</v>
      </c>
      <c r="E537" t="s">
        <v>6</v>
      </c>
      <c r="F537">
        <v>11.020121811353031</v>
      </c>
    </row>
    <row r="538" spans="1:6" x14ac:dyDescent="0.25">
      <c r="A538" t="s">
        <v>8</v>
      </c>
      <c r="B538" s="2">
        <v>44272</v>
      </c>
      <c r="C538">
        <f t="shared" si="7"/>
        <v>2021</v>
      </c>
      <c r="E538" t="s">
        <v>6</v>
      </c>
      <c r="F538">
        <v>13.065476193540855</v>
      </c>
    </row>
    <row r="539" spans="1:6" x14ac:dyDescent="0.25">
      <c r="A539" t="s">
        <v>8</v>
      </c>
      <c r="B539" s="2">
        <v>44272</v>
      </c>
      <c r="C539">
        <f t="shared" si="7"/>
        <v>2021</v>
      </c>
      <c r="E539" t="s">
        <v>6</v>
      </c>
      <c r="F539">
        <v>15.870028059077221</v>
      </c>
    </row>
    <row r="540" spans="1:6" x14ac:dyDescent="0.25">
      <c r="A540" t="s">
        <v>8</v>
      </c>
      <c r="B540" s="2">
        <v>44272</v>
      </c>
      <c r="C540">
        <f t="shared" si="7"/>
        <v>2021</v>
      </c>
      <c r="E540" t="s">
        <v>6</v>
      </c>
      <c r="F540">
        <v>14.223498689674621</v>
      </c>
    </row>
    <row r="541" spans="1:6" x14ac:dyDescent="0.25">
      <c r="A541" t="s">
        <v>8</v>
      </c>
      <c r="B541" s="2">
        <v>44286</v>
      </c>
      <c r="C541">
        <f t="shared" si="7"/>
        <v>2021</v>
      </c>
      <c r="E541" t="s">
        <v>6</v>
      </c>
      <c r="F541">
        <v>17.699191578753037</v>
      </c>
    </row>
    <row r="542" spans="1:6" x14ac:dyDescent="0.25">
      <c r="A542" t="s">
        <v>8</v>
      </c>
      <c r="B542" s="2">
        <v>44287</v>
      </c>
      <c r="C542">
        <f t="shared" si="7"/>
        <v>2021</v>
      </c>
      <c r="E542" t="s">
        <v>6</v>
      </c>
      <c r="F542">
        <v>15.108312942068499</v>
      </c>
    </row>
    <row r="543" spans="1:6" x14ac:dyDescent="0.25">
      <c r="A543" t="s">
        <v>8</v>
      </c>
      <c r="B543" s="2">
        <v>44287</v>
      </c>
      <c r="C543">
        <f t="shared" si="7"/>
        <v>2021</v>
      </c>
      <c r="E543" t="s">
        <v>6</v>
      </c>
      <c r="F543">
        <v>15.438316897742517</v>
      </c>
    </row>
    <row r="544" spans="1:6" x14ac:dyDescent="0.25">
      <c r="A544" t="s">
        <v>8</v>
      </c>
      <c r="B544" s="2">
        <v>44300</v>
      </c>
      <c r="C544">
        <f t="shared" si="7"/>
        <v>2021</v>
      </c>
      <c r="E544" t="s">
        <v>6</v>
      </c>
      <c r="F544">
        <v>18.205173511905102</v>
      </c>
    </row>
    <row r="545" spans="1:6" x14ac:dyDescent="0.25">
      <c r="A545" t="s">
        <v>8</v>
      </c>
      <c r="B545" s="2">
        <v>44301</v>
      </c>
      <c r="C545">
        <f t="shared" si="7"/>
        <v>2021</v>
      </c>
      <c r="E545" t="s">
        <v>6</v>
      </c>
      <c r="F545">
        <v>17.222989608255027</v>
      </c>
    </row>
    <row r="546" spans="1:6" x14ac:dyDescent="0.25">
      <c r="A546" t="s">
        <v>8</v>
      </c>
      <c r="B546" s="2">
        <v>44301</v>
      </c>
      <c r="C546">
        <f t="shared" si="7"/>
        <v>2021</v>
      </c>
      <c r="E546" t="s">
        <v>6</v>
      </c>
      <c r="F546">
        <v>16.211048258733999</v>
      </c>
    </row>
    <row r="547" spans="1:6" x14ac:dyDescent="0.25">
      <c r="A547" t="s">
        <v>8</v>
      </c>
      <c r="B547" s="2">
        <v>44307</v>
      </c>
      <c r="C547">
        <f t="shared" si="7"/>
        <v>2021</v>
      </c>
      <c r="E547" t="s">
        <v>6</v>
      </c>
      <c r="F547">
        <v>16.707643098532472</v>
      </c>
    </row>
    <row r="548" spans="1:6" x14ac:dyDescent="0.25">
      <c r="A548" t="s">
        <v>8</v>
      </c>
      <c r="B548" s="2">
        <v>44307</v>
      </c>
      <c r="C548">
        <f t="shared" si="7"/>
        <v>2021</v>
      </c>
      <c r="E548" t="s">
        <v>6</v>
      </c>
      <c r="F548">
        <v>19.537145853036414</v>
      </c>
    </row>
    <row r="549" spans="1:6" x14ac:dyDescent="0.25">
      <c r="A549" t="s">
        <v>8</v>
      </c>
      <c r="B549" s="2">
        <v>44307</v>
      </c>
      <c r="C549">
        <f t="shared" si="7"/>
        <v>2021</v>
      </c>
      <c r="E549" t="s">
        <v>6</v>
      </c>
      <c r="F549">
        <v>17.291765167818632</v>
      </c>
    </row>
    <row r="550" spans="1:6" x14ac:dyDescent="0.25">
      <c r="A550" t="s">
        <v>8</v>
      </c>
      <c r="B550" s="2">
        <v>44315</v>
      </c>
      <c r="C550">
        <f t="shared" si="7"/>
        <v>2021</v>
      </c>
      <c r="E550" t="s">
        <v>6</v>
      </c>
      <c r="F550">
        <v>19.369444542004405</v>
      </c>
    </row>
    <row r="551" spans="1:6" x14ac:dyDescent="0.25">
      <c r="A551" t="s">
        <v>8</v>
      </c>
      <c r="B551" s="2">
        <v>44316</v>
      </c>
      <c r="C551">
        <f t="shared" si="7"/>
        <v>2021</v>
      </c>
      <c r="E551" t="s">
        <v>6</v>
      </c>
      <c r="F551">
        <v>17.499025054421459</v>
      </c>
    </row>
    <row r="552" spans="1:6" x14ac:dyDescent="0.25">
      <c r="A552" t="s">
        <v>8</v>
      </c>
      <c r="B552" s="2">
        <v>44316</v>
      </c>
      <c r="C552">
        <f t="shared" si="7"/>
        <v>2021</v>
      </c>
      <c r="E552" t="s">
        <v>6</v>
      </c>
      <c r="F552">
        <v>17.650603109848099</v>
      </c>
    </row>
    <row r="553" spans="1:6" x14ac:dyDescent="0.25">
      <c r="A553" t="s">
        <v>8</v>
      </c>
      <c r="B553" s="2">
        <v>44321</v>
      </c>
      <c r="C553">
        <f t="shared" si="7"/>
        <v>2021</v>
      </c>
      <c r="E553" t="s">
        <v>6</v>
      </c>
      <c r="F553">
        <v>20.26370901829625</v>
      </c>
    </row>
    <row r="554" spans="1:6" x14ac:dyDescent="0.25">
      <c r="A554" t="s">
        <v>8</v>
      </c>
      <c r="B554" s="2">
        <v>44322</v>
      </c>
      <c r="C554">
        <f t="shared" si="7"/>
        <v>2021</v>
      </c>
      <c r="E554" t="s">
        <v>6</v>
      </c>
      <c r="F554">
        <v>17.354245507768088</v>
      </c>
    </row>
    <row r="555" spans="1:6" x14ac:dyDescent="0.25">
      <c r="A555" t="s">
        <v>8</v>
      </c>
      <c r="B555" s="2">
        <v>44322</v>
      </c>
      <c r="C555">
        <f t="shared" si="7"/>
        <v>2021</v>
      </c>
      <c r="E555" t="s">
        <v>6</v>
      </c>
      <c r="F555">
        <v>18.87174342283873</v>
      </c>
    </row>
    <row r="556" spans="1:6" x14ac:dyDescent="0.25">
      <c r="A556" t="s">
        <v>8</v>
      </c>
      <c r="B556" s="2">
        <v>44335</v>
      </c>
      <c r="C556">
        <f t="shared" si="7"/>
        <v>2021</v>
      </c>
      <c r="E556" t="s">
        <v>6</v>
      </c>
      <c r="F556">
        <v>22.047358999831484</v>
      </c>
    </row>
    <row r="557" spans="1:6" x14ac:dyDescent="0.25">
      <c r="A557" t="s">
        <v>8</v>
      </c>
      <c r="B557" s="2">
        <v>44336</v>
      </c>
      <c r="C557">
        <f t="shared" si="7"/>
        <v>2021</v>
      </c>
      <c r="E557" t="s">
        <v>6</v>
      </c>
      <c r="F557">
        <v>17.740085747275025</v>
      </c>
    </row>
    <row r="558" spans="1:6" x14ac:dyDescent="0.25">
      <c r="A558" t="s">
        <v>8</v>
      </c>
      <c r="B558" s="2">
        <v>44336</v>
      </c>
      <c r="C558">
        <f t="shared" si="7"/>
        <v>2021</v>
      </c>
      <c r="E558" t="s">
        <v>6</v>
      </c>
      <c r="F558">
        <v>20.371931094087373</v>
      </c>
    </row>
    <row r="559" spans="1:6" x14ac:dyDescent="0.25">
      <c r="A559" t="s">
        <v>8</v>
      </c>
      <c r="B559" s="2">
        <v>44348</v>
      </c>
      <c r="C559">
        <f t="shared" si="7"/>
        <v>2021</v>
      </c>
      <c r="E559" t="s">
        <v>6</v>
      </c>
      <c r="F559">
        <v>21.524553643903822</v>
      </c>
    </row>
    <row r="560" spans="1:6" x14ac:dyDescent="0.25">
      <c r="A560" t="s">
        <v>8</v>
      </c>
      <c r="B560" s="2">
        <v>44349</v>
      </c>
      <c r="C560">
        <f t="shared" si="7"/>
        <v>2021</v>
      </c>
      <c r="E560" t="s">
        <v>6</v>
      </c>
      <c r="F560">
        <v>18.5648614072737</v>
      </c>
    </row>
    <row r="561" spans="1:6" x14ac:dyDescent="0.25">
      <c r="A561" t="s">
        <v>8</v>
      </c>
      <c r="B561" s="2">
        <v>44349</v>
      </c>
      <c r="C561">
        <f t="shared" si="7"/>
        <v>2021</v>
      </c>
      <c r="E561" t="s">
        <v>6</v>
      </c>
      <c r="F561">
        <v>19.349351733779123</v>
      </c>
    </row>
    <row r="562" spans="1:6" x14ac:dyDescent="0.25">
      <c r="A562" t="s">
        <v>9</v>
      </c>
      <c r="B562" s="2">
        <v>43850</v>
      </c>
      <c r="C562">
        <f t="shared" si="7"/>
        <v>2020</v>
      </c>
      <c r="E562" t="s">
        <v>10</v>
      </c>
      <c r="F562">
        <v>6.0801999999999996</v>
      </c>
    </row>
    <row r="563" spans="1:6" x14ac:dyDescent="0.25">
      <c r="A563" t="s">
        <v>9</v>
      </c>
      <c r="B563" s="2">
        <v>43880</v>
      </c>
      <c r="C563">
        <f t="shared" si="7"/>
        <v>2020</v>
      </c>
      <c r="E563" t="s">
        <v>10</v>
      </c>
      <c r="F563">
        <v>12.821400000000001</v>
      </c>
    </row>
    <row r="564" spans="1:6" x14ac:dyDescent="0.25">
      <c r="A564" t="s">
        <v>9</v>
      </c>
      <c r="B564" s="2">
        <v>43892</v>
      </c>
      <c r="C564">
        <f t="shared" si="7"/>
        <v>2020</v>
      </c>
      <c r="E564" t="s">
        <v>10</v>
      </c>
      <c r="F564">
        <v>14.503500000000001</v>
      </c>
    </row>
    <row r="565" spans="1:6" x14ac:dyDescent="0.25">
      <c r="A565" t="s">
        <v>9</v>
      </c>
      <c r="B565" s="2">
        <v>43906</v>
      </c>
      <c r="C565">
        <f t="shared" si="7"/>
        <v>2020</v>
      </c>
      <c r="E565" t="s">
        <v>10</v>
      </c>
      <c r="F565">
        <v>15.633099999999999</v>
      </c>
    </row>
    <row r="566" spans="1:6" x14ac:dyDescent="0.25">
      <c r="A566" t="s">
        <v>9</v>
      </c>
      <c r="B566" s="2">
        <v>43949</v>
      </c>
      <c r="C566">
        <f t="shared" si="7"/>
        <v>2020</v>
      </c>
      <c r="E566" t="s">
        <v>10</v>
      </c>
      <c r="F566">
        <v>18.143800000000002</v>
      </c>
    </row>
    <row r="567" spans="1:6" x14ac:dyDescent="0.25">
      <c r="A567" t="s">
        <v>9</v>
      </c>
      <c r="B567" s="2">
        <v>43963</v>
      </c>
      <c r="C567">
        <f t="shared" si="7"/>
        <v>2020</v>
      </c>
      <c r="E567" t="s">
        <v>10</v>
      </c>
      <c r="F567">
        <v>19.821999999999999</v>
      </c>
    </row>
    <row r="568" spans="1:6" x14ac:dyDescent="0.25">
      <c r="A568" t="s">
        <v>9</v>
      </c>
      <c r="B568" s="2">
        <v>43976</v>
      </c>
      <c r="C568">
        <f t="shared" si="7"/>
        <v>2020</v>
      </c>
      <c r="E568" t="s">
        <v>10</v>
      </c>
      <c r="F568">
        <v>20.206400000000002</v>
      </c>
    </row>
    <row r="569" spans="1:6" x14ac:dyDescent="0.25">
      <c r="A569" t="s">
        <v>9</v>
      </c>
      <c r="B569" s="2">
        <v>44221</v>
      </c>
      <c r="C569">
        <f t="shared" si="7"/>
        <v>2021</v>
      </c>
      <c r="E569" t="s">
        <v>10</v>
      </c>
      <c r="F569">
        <v>6.7398628846985886</v>
      </c>
    </row>
    <row r="570" spans="1:6" x14ac:dyDescent="0.25">
      <c r="A570" t="s">
        <v>9</v>
      </c>
      <c r="B570" s="2">
        <v>44245</v>
      </c>
      <c r="C570">
        <f t="shared" ref="C570:C612" si="8">YEAR(B570)</f>
        <v>2021</v>
      </c>
      <c r="E570" t="s">
        <v>10</v>
      </c>
      <c r="F570">
        <v>10.311391387844139</v>
      </c>
    </row>
    <row r="571" spans="1:6" x14ac:dyDescent="0.25">
      <c r="A571" t="s">
        <v>9</v>
      </c>
      <c r="B571" s="2">
        <v>44256</v>
      </c>
      <c r="C571">
        <f t="shared" si="8"/>
        <v>2021</v>
      </c>
      <c r="E571" t="s">
        <v>10</v>
      </c>
      <c r="F571">
        <v>12.270177875075783</v>
      </c>
    </row>
    <row r="572" spans="1:6" x14ac:dyDescent="0.25">
      <c r="A572" t="s">
        <v>9</v>
      </c>
      <c r="B572" s="2">
        <v>44271</v>
      </c>
      <c r="C572">
        <f t="shared" si="8"/>
        <v>2021</v>
      </c>
      <c r="E572" t="s">
        <v>10</v>
      </c>
      <c r="F572">
        <v>13.619012088702434</v>
      </c>
    </row>
    <row r="573" spans="1:6" x14ac:dyDescent="0.25">
      <c r="A573" t="s">
        <v>9</v>
      </c>
      <c r="B573" s="2">
        <v>44284</v>
      </c>
      <c r="C573">
        <f t="shared" si="8"/>
        <v>2021</v>
      </c>
      <c r="E573" t="s">
        <v>10</v>
      </c>
      <c r="F573">
        <v>15.027232099000203</v>
      </c>
    </row>
    <row r="574" spans="1:6" x14ac:dyDescent="0.25">
      <c r="A574" t="s">
        <v>9</v>
      </c>
      <c r="B574" s="2">
        <v>44298</v>
      </c>
      <c r="C574">
        <f t="shared" si="8"/>
        <v>2021</v>
      </c>
      <c r="E574" t="s">
        <v>10</v>
      </c>
      <c r="F574">
        <v>16.272488100957471</v>
      </c>
    </row>
    <row r="575" spans="1:6" x14ac:dyDescent="0.25">
      <c r="A575" t="s">
        <v>9</v>
      </c>
      <c r="B575" s="2">
        <v>44307</v>
      </c>
      <c r="C575">
        <f t="shared" si="8"/>
        <v>2021</v>
      </c>
      <c r="E575" t="s">
        <v>10</v>
      </c>
      <c r="F575">
        <v>17.020663419496199</v>
      </c>
    </row>
    <row r="576" spans="1:6" x14ac:dyDescent="0.25">
      <c r="A576" t="s">
        <v>9</v>
      </c>
      <c r="B576" s="2">
        <v>44315</v>
      </c>
      <c r="C576">
        <f t="shared" si="8"/>
        <v>2021</v>
      </c>
      <c r="E576" t="s">
        <v>10</v>
      </c>
      <c r="F576">
        <v>18.753000702450848</v>
      </c>
    </row>
    <row r="577" spans="1:6" x14ac:dyDescent="0.25">
      <c r="A577" t="s">
        <v>9</v>
      </c>
      <c r="B577" s="2">
        <v>44321</v>
      </c>
      <c r="C577">
        <f t="shared" si="8"/>
        <v>2021</v>
      </c>
      <c r="E577" t="s">
        <v>10</v>
      </c>
      <c r="F577">
        <v>18.060959017147049</v>
      </c>
    </row>
    <row r="578" spans="1:6" x14ac:dyDescent="0.25">
      <c r="A578" t="s">
        <v>9</v>
      </c>
      <c r="B578" s="2">
        <v>44333</v>
      </c>
      <c r="C578">
        <f t="shared" si="8"/>
        <v>2021</v>
      </c>
      <c r="E578" t="s">
        <v>10</v>
      </c>
      <c r="F578">
        <v>18.922415892599915</v>
      </c>
    </row>
    <row r="579" spans="1:6" x14ac:dyDescent="0.25">
      <c r="A579" t="s">
        <v>9</v>
      </c>
      <c r="B579" s="2">
        <v>44347</v>
      </c>
      <c r="C579">
        <f t="shared" si="8"/>
        <v>2021</v>
      </c>
      <c r="E579" t="s">
        <v>10</v>
      </c>
      <c r="F579">
        <v>20.1101714011625</v>
      </c>
    </row>
    <row r="580" spans="1:6" x14ac:dyDescent="0.25">
      <c r="A580" t="s">
        <v>9</v>
      </c>
      <c r="B580" s="2">
        <v>44607</v>
      </c>
      <c r="C580">
        <f t="shared" si="8"/>
        <v>2022</v>
      </c>
      <c r="E580" t="s">
        <v>10</v>
      </c>
      <c r="F580">
        <v>6.507200000000001</v>
      </c>
    </row>
    <row r="581" spans="1:6" x14ac:dyDescent="0.25">
      <c r="A581" t="s">
        <v>9</v>
      </c>
      <c r="B581" s="2">
        <v>44608</v>
      </c>
      <c r="C581">
        <f t="shared" si="8"/>
        <v>2022</v>
      </c>
      <c r="E581" t="s">
        <v>10</v>
      </c>
      <c r="F581">
        <v>9.6515999999999984</v>
      </c>
    </row>
    <row r="582" spans="1:6" x14ac:dyDescent="0.25">
      <c r="A582" t="s">
        <v>9</v>
      </c>
      <c r="B582" s="2">
        <v>44622</v>
      </c>
      <c r="C582">
        <f t="shared" si="8"/>
        <v>2022</v>
      </c>
      <c r="E582" t="s">
        <v>10</v>
      </c>
      <c r="F582">
        <v>12.1128</v>
      </c>
    </row>
    <row r="583" spans="1:6" x14ac:dyDescent="0.25">
      <c r="A583" t="s">
        <v>9</v>
      </c>
      <c r="B583" s="2">
        <v>44622</v>
      </c>
      <c r="C583">
        <f t="shared" si="8"/>
        <v>2022</v>
      </c>
      <c r="E583" t="s">
        <v>10</v>
      </c>
      <c r="F583">
        <v>16.083900000000003</v>
      </c>
    </row>
    <row r="584" spans="1:6" x14ac:dyDescent="0.25">
      <c r="A584" t="s">
        <v>9</v>
      </c>
      <c r="B584" s="2">
        <v>44635</v>
      </c>
      <c r="C584">
        <f t="shared" si="8"/>
        <v>2022</v>
      </c>
      <c r="E584" t="s">
        <v>10</v>
      </c>
      <c r="F584">
        <v>13.984200000000001</v>
      </c>
    </row>
    <row r="585" spans="1:6" x14ac:dyDescent="0.25">
      <c r="A585" t="s">
        <v>9</v>
      </c>
      <c r="B585" s="2">
        <v>44662</v>
      </c>
      <c r="C585">
        <f t="shared" si="8"/>
        <v>2022</v>
      </c>
      <c r="E585" t="s">
        <v>10</v>
      </c>
      <c r="F585">
        <v>17.474599999999999</v>
      </c>
    </row>
    <row r="586" spans="1:6" x14ac:dyDescent="0.25">
      <c r="A586" t="s">
        <v>9</v>
      </c>
      <c r="B586" s="2">
        <v>44669</v>
      </c>
      <c r="C586">
        <f t="shared" si="8"/>
        <v>2022</v>
      </c>
      <c r="E586" t="s">
        <v>10</v>
      </c>
      <c r="F586">
        <v>18.167499999999997</v>
      </c>
    </row>
    <row r="587" spans="1:6" x14ac:dyDescent="0.25">
      <c r="A587" t="s">
        <v>9</v>
      </c>
      <c r="B587" s="2">
        <v>44677</v>
      </c>
      <c r="C587">
        <f t="shared" si="8"/>
        <v>2022</v>
      </c>
      <c r="E587" t="s">
        <v>10</v>
      </c>
      <c r="F587">
        <v>18.589999999999996</v>
      </c>
    </row>
    <row r="588" spans="1:6" x14ac:dyDescent="0.25">
      <c r="A588" t="s">
        <v>9</v>
      </c>
      <c r="B588" s="2">
        <v>44683</v>
      </c>
      <c r="C588">
        <f t="shared" si="8"/>
        <v>2022</v>
      </c>
      <c r="E588" t="s">
        <v>10</v>
      </c>
      <c r="F588">
        <v>19.700099999999999</v>
      </c>
    </row>
    <row r="589" spans="1:6" x14ac:dyDescent="0.25">
      <c r="A589" t="s">
        <v>9</v>
      </c>
      <c r="B589" s="2">
        <v>44697</v>
      </c>
      <c r="C589">
        <f t="shared" si="8"/>
        <v>2022</v>
      </c>
      <c r="E589" t="s">
        <v>10</v>
      </c>
      <c r="F589">
        <v>20.844000000000001</v>
      </c>
    </row>
    <row r="590" spans="1:6" x14ac:dyDescent="0.25">
      <c r="A590" t="s">
        <v>9</v>
      </c>
      <c r="B590" s="2">
        <v>44711</v>
      </c>
      <c r="C590">
        <f t="shared" si="8"/>
        <v>2022</v>
      </c>
      <c r="E590" t="s">
        <v>10</v>
      </c>
      <c r="F590">
        <v>21.191399999999998</v>
      </c>
    </row>
    <row r="591" spans="1:6" x14ac:dyDescent="0.25">
      <c r="A591" t="s">
        <v>9</v>
      </c>
      <c r="B591" s="2">
        <v>44949</v>
      </c>
      <c r="C591">
        <f t="shared" si="8"/>
        <v>2023</v>
      </c>
      <c r="E591" t="s">
        <v>10</v>
      </c>
      <c r="F591">
        <v>6.8713999999999995</v>
      </c>
    </row>
    <row r="592" spans="1:6" x14ac:dyDescent="0.25">
      <c r="A592" t="s">
        <v>9</v>
      </c>
      <c r="B592" s="2">
        <v>44971</v>
      </c>
      <c r="C592">
        <f t="shared" si="8"/>
        <v>2023</v>
      </c>
      <c r="E592" t="s">
        <v>10</v>
      </c>
      <c r="F592">
        <v>11.225600000000002</v>
      </c>
    </row>
    <row r="593" spans="1:6" x14ac:dyDescent="0.25">
      <c r="A593" t="s">
        <v>9</v>
      </c>
      <c r="B593" s="2">
        <v>44987</v>
      </c>
      <c r="C593">
        <f t="shared" si="8"/>
        <v>2023</v>
      </c>
      <c r="E593" t="s">
        <v>10</v>
      </c>
      <c r="F593">
        <v>15.862</v>
      </c>
    </row>
    <row r="594" spans="1:6" x14ac:dyDescent="0.25">
      <c r="A594" t="s">
        <v>9</v>
      </c>
      <c r="B594" s="2">
        <v>44998</v>
      </c>
      <c r="C594">
        <f t="shared" si="8"/>
        <v>2023</v>
      </c>
      <c r="E594" t="s">
        <v>10</v>
      </c>
      <c r="F594">
        <v>16.912800000000001</v>
      </c>
    </row>
    <row r="595" spans="1:6" x14ac:dyDescent="0.25">
      <c r="A595" t="s">
        <v>9</v>
      </c>
      <c r="B595" s="2">
        <v>45014</v>
      </c>
      <c r="C595">
        <f t="shared" si="8"/>
        <v>2023</v>
      </c>
      <c r="E595" t="s">
        <v>10</v>
      </c>
      <c r="F595">
        <v>20.674400000000002</v>
      </c>
    </row>
    <row r="596" spans="1:6" x14ac:dyDescent="0.25">
      <c r="A596" t="s">
        <v>9</v>
      </c>
      <c r="B596" s="2">
        <v>45027</v>
      </c>
      <c r="C596">
        <f t="shared" si="8"/>
        <v>2023</v>
      </c>
      <c r="E596" t="s">
        <v>10</v>
      </c>
      <c r="F596">
        <v>22.05</v>
      </c>
    </row>
    <row r="597" spans="1:6" x14ac:dyDescent="0.25">
      <c r="A597" t="s">
        <v>9</v>
      </c>
      <c r="B597" s="2">
        <v>45040</v>
      </c>
      <c r="C597">
        <f t="shared" si="8"/>
        <v>2023</v>
      </c>
      <c r="E597" t="s">
        <v>10</v>
      </c>
      <c r="F597">
        <v>23.294399999999996</v>
      </c>
    </row>
    <row r="598" spans="1:6" x14ac:dyDescent="0.25">
      <c r="A598" t="s">
        <v>9</v>
      </c>
      <c r="B598" s="2">
        <v>45047</v>
      </c>
      <c r="C598">
        <f t="shared" si="8"/>
        <v>2023</v>
      </c>
      <c r="E598" t="s">
        <v>10</v>
      </c>
      <c r="F598">
        <v>23.439500000000002</v>
      </c>
    </row>
    <row r="599" spans="1:6" x14ac:dyDescent="0.25">
      <c r="A599" t="s">
        <v>9</v>
      </c>
      <c r="B599" s="2">
        <v>45062</v>
      </c>
      <c r="C599">
        <f t="shared" si="8"/>
        <v>2023</v>
      </c>
      <c r="E599" t="s">
        <v>10</v>
      </c>
      <c r="F599">
        <v>24.252000000000002</v>
      </c>
    </row>
    <row r="600" spans="1:6" x14ac:dyDescent="0.25">
      <c r="A600" t="s">
        <v>9</v>
      </c>
      <c r="B600" s="2">
        <v>45076</v>
      </c>
      <c r="C600">
        <f t="shared" si="8"/>
        <v>2023</v>
      </c>
      <c r="E600" t="s">
        <v>10</v>
      </c>
      <c r="F600">
        <v>24.935600000000001</v>
      </c>
    </row>
    <row r="601" spans="1:6" x14ac:dyDescent="0.25">
      <c r="A601" t="s">
        <v>9</v>
      </c>
      <c r="B601" s="2">
        <v>45083</v>
      </c>
      <c r="C601">
        <f t="shared" si="8"/>
        <v>2023</v>
      </c>
      <c r="E601" t="s">
        <v>10</v>
      </c>
      <c r="F601">
        <v>24.414500000000004</v>
      </c>
    </row>
    <row r="602" spans="1:6" x14ac:dyDescent="0.25">
      <c r="A602" t="s">
        <v>9</v>
      </c>
      <c r="B602" s="2">
        <v>45315</v>
      </c>
      <c r="C602">
        <f t="shared" si="8"/>
        <v>2024</v>
      </c>
      <c r="E602" t="s">
        <v>10</v>
      </c>
      <c r="F602">
        <v>6.6825000000000001</v>
      </c>
    </row>
    <row r="603" spans="1:6" x14ac:dyDescent="0.25">
      <c r="A603" t="s">
        <v>9</v>
      </c>
      <c r="B603" s="2">
        <v>45335</v>
      </c>
      <c r="C603">
        <f t="shared" si="8"/>
        <v>2024</v>
      </c>
      <c r="E603" t="s">
        <v>10</v>
      </c>
      <c r="F603">
        <v>10.244200000000001</v>
      </c>
    </row>
    <row r="604" spans="1:6" x14ac:dyDescent="0.25">
      <c r="A604" t="s">
        <v>9</v>
      </c>
      <c r="B604" s="2">
        <v>45349</v>
      </c>
      <c r="C604">
        <f t="shared" si="8"/>
        <v>2024</v>
      </c>
      <c r="E604" t="s">
        <v>10</v>
      </c>
      <c r="F604">
        <v>12.918300000000002</v>
      </c>
    </row>
    <row r="605" spans="1:6" x14ac:dyDescent="0.25">
      <c r="A605" t="s">
        <v>9</v>
      </c>
      <c r="B605" s="2">
        <v>45363</v>
      </c>
      <c r="C605">
        <f t="shared" si="8"/>
        <v>2024</v>
      </c>
      <c r="E605" t="s">
        <v>10</v>
      </c>
      <c r="F605">
        <v>14.815999999999999</v>
      </c>
    </row>
    <row r="606" spans="1:6" x14ac:dyDescent="0.25">
      <c r="A606" t="s">
        <v>9</v>
      </c>
      <c r="B606" s="2">
        <v>45378</v>
      </c>
      <c r="C606">
        <f t="shared" si="8"/>
        <v>2024</v>
      </c>
      <c r="E606" t="s">
        <v>10</v>
      </c>
      <c r="F606">
        <v>16.666599999999999</v>
      </c>
    </row>
    <row r="607" spans="1:6" x14ac:dyDescent="0.25">
      <c r="A607" t="s">
        <v>9</v>
      </c>
      <c r="B607" s="2">
        <v>45390</v>
      </c>
      <c r="C607">
        <f t="shared" si="8"/>
        <v>2024</v>
      </c>
      <c r="E607" t="s">
        <v>10</v>
      </c>
      <c r="F607">
        <v>17.594999999999999</v>
      </c>
    </row>
    <row r="608" spans="1:6" x14ac:dyDescent="0.25">
      <c r="A608" t="s">
        <v>9</v>
      </c>
      <c r="B608" s="2">
        <v>45406</v>
      </c>
      <c r="C608">
        <f t="shared" si="8"/>
        <v>2024</v>
      </c>
      <c r="E608" t="s">
        <v>10</v>
      </c>
      <c r="F608">
        <v>19.6874</v>
      </c>
    </row>
    <row r="609" spans="1:6" x14ac:dyDescent="0.25">
      <c r="A609" t="s">
        <v>9</v>
      </c>
      <c r="B609" s="2">
        <v>45412</v>
      </c>
      <c r="C609">
        <f t="shared" si="8"/>
        <v>2024</v>
      </c>
      <c r="E609" t="s">
        <v>10</v>
      </c>
      <c r="F609">
        <v>15.558299999999999</v>
      </c>
    </row>
    <row r="610" spans="1:6" x14ac:dyDescent="0.25">
      <c r="A610" t="s">
        <v>9</v>
      </c>
      <c r="B610" s="2">
        <v>45427</v>
      </c>
      <c r="C610">
        <f t="shared" si="8"/>
        <v>2024</v>
      </c>
      <c r="E610" t="s">
        <v>10</v>
      </c>
      <c r="F610">
        <v>18.902399999999997</v>
      </c>
    </row>
    <row r="611" spans="1:6" x14ac:dyDescent="0.25">
      <c r="A611" t="s">
        <v>9</v>
      </c>
      <c r="B611" s="2">
        <v>45441</v>
      </c>
      <c r="C611">
        <f t="shared" si="8"/>
        <v>2024</v>
      </c>
      <c r="E611" t="s">
        <v>10</v>
      </c>
      <c r="F611">
        <v>17.7288</v>
      </c>
    </row>
    <row r="612" spans="1:6" x14ac:dyDescent="0.25">
      <c r="A612" t="s">
        <v>9</v>
      </c>
      <c r="B612" s="2">
        <v>45454</v>
      </c>
      <c r="C612">
        <f t="shared" si="8"/>
        <v>2024</v>
      </c>
      <c r="E612" t="s">
        <v>10</v>
      </c>
      <c r="F612">
        <v>18.723399999999998</v>
      </c>
    </row>
    <row r="614" spans="1:6" x14ac:dyDescent="0.25">
      <c r="A614" t="s">
        <v>13</v>
      </c>
      <c r="B614" s="2">
        <v>42387</v>
      </c>
      <c r="C614">
        <v>2016</v>
      </c>
      <c r="E614" t="s">
        <v>6</v>
      </c>
      <c r="F614">
        <v>4.4104000000000001</v>
      </c>
    </row>
    <row r="615" spans="1:6" x14ac:dyDescent="0.25">
      <c r="A615" t="s">
        <v>13</v>
      </c>
      <c r="B615" s="2">
        <v>42387</v>
      </c>
      <c r="C615">
        <v>2016</v>
      </c>
      <c r="E615" t="s">
        <v>6</v>
      </c>
      <c r="F615">
        <v>4.0226999999999995</v>
      </c>
    </row>
    <row r="616" spans="1:6" x14ac:dyDescent="0.25">
      <c r="A616" t="s">
        <v>13</v>
      </c>
      <c r="B616" s="2">
        <v>42423</v>
      </c>
      <c r="C616">
        <v>2016</v>
      </c>
      <c r="E616" t="s">
        <v>6</v>
      </c>
      <c r="F616">
        <v>8.7792000000000012</v>
      </c>
    </row>
    <row r="617" spans="1:6" x14ac:dyDescent="0.25">
      <c r="A617" t="s">
        <v>13</v>
      </c>
      <c r="B617" s="2">
        <v>42423</v>
      </c>
      <c r="C617">
        <v>2016</v>
      </c>
      <c r="E617" t="s">
        <v>6</v>
      </c>
      <c r="F617">
        <v>10.1983</v>
      </c>
    </row>
    <row r="618" spans="1:6" x14ac:dyDescent="0.25">
      <c r="A618" t="s">
        <v>13</v>
      </c>
      <c r="B618" s="2">
        <v>42437</v>
      </c>
      <c r="C618">
        <v>2016</v>
      </c>
      <c r="E618" t="s">
        <v>6</v>
      </c>
      <c r="F618">
        <v>10.6396</v>
      </c>
    </row>
    <row r="619" spans="1:6" x14ac:dyDescent="0.25">
      <c r="A619" t="s">
        <v>13</v>
      </c>
      <c r="B619" s="2">
        <v>42437</v>
      </c>
      <c r="C619">
        <v>2016</v>
      </c>
      <c r="E619" t="s">
        <v>6</v>
      </c>
      <c r="F619">
        <v>12.566400000000002</v>
      </c>
    </row>
    <row r="620" spans="1:6" x14ac:dyDescent="0.25">
      <c r="A620" t="s">
        <v>13</v>
      </c>
      <c r="B620" s="2">
        <v>42451</v>
      </c>
      <c r="C620">
        <v>2016</v>
      </c>
      <c r="E620" t="s">
        <v>6</v>
      </c>
      <c r="F620">
        <v>13.1417</v>
      </c>
    </row>
    <row r="621" spans="1:6" x14ac:dyDescent="0.25">
      <c r="A621" t="s">
        <v>13</v>
      </c>
      <c r="B621" s="2">
        <v>42451</v>
      </c>
      <c r="C621">
        <v>2016</v>
      </c>
      <c r="E621" t="s">
        <v>6</v>
      </c>
      <c r="F621">
        <v>15.063899999999999</v>
      </c>
    </row>
    <row r="622" spans="1:6" x14ac:dyDescent="0.25">
      <c r="A622" t="s">
        <v>13</v>
      </c>
      <c r="B622" s="2">
        <v>42466</v>
      </c>
      <c r="C622">
        <v>2016</v>
      </c>
      <c r="E622" t="s">
        <v>6</v>
      </c>
      <c r="F622">
        <v>13.760500000000002</v>
      </c>
    </row>
    <row r="623" spans="1:6" x14ac:dyDescent="0.25">
      <c r="A623" t="s">
        <v>13</v>
      </c>
      <c r="B623" s="2">
        <v>42467</v>
      </c>
      <c r="C623">
        <v>2016</v>
      </c>
      <c r="E623" t="s">
        <v>6</v>
      </c>
      <c r="F623">
        <v>17.350200000000001</v>
      </c>
    </row>
    <row r="624" spans="1:6" x14ac:dyDescent="0.25">
      <c r="A624" t="s">
        <v>13</v>
      </c>
      <c r="B624" s="2">
        <v>42474</v>
      </c>
      <c r="C624">
        <v>2016</v>
      </c>
      <c r="E624" t="s">
        <v>6</v>
      </c>
      <c r="F624">
        <v>17.640900000000002</v>
      </c>
    </row>
    <row r="625" spans="1:6" x14ac:dyDescent="0.25">
      <c r="A625" t="s">
        <v>13</v>
      </c>
      <c r="B625" s="2">
        <v>42475</v>
      </c>
      <c r="C625">
        <v>2016</v>
      </c>
      <c r="E625" t="s">
        <v>6</v>
      </c>
      <c r="F625">
        <v>15.382400000000001</v>
      </c>
    </row>
    <row r="626" spans="1:6" x14ac:dyDescent="0.25">
      <c r="A626" t="s">
        <v>13</v>
      </c>
      <c r="B626" s="2">
        <v>42482</v>
      </c>
      <c r="C626">
        <v>2016</v>
      </c>
      <c r="E626" t="s">
        <v>6</v>
      </c>
      <c r="F626">
        <v>15.494999999999999</v>
      </c>
    </row>
    <row r="627" spans="1:6" x14ac:dyDescent="0.25">
      <c r="A627" t="s">
        <v>13</v>
      </c>
      <c r="B627" s="2">
        <v>42482</v>
      </c>
      <c r="C627">
        <v>2016</v>
      </c>
      <c r="E627" t="s">
        <v>6</v>
      </c>
      <c r="F627">
        <v>18.595199999999998</v>
      </c>
    </row>
    <row r="628" spans="1:6" x14ac:dyDescent="0.25">
      <c r="A628" t="s">
        <v>13</v>
      </c>
      <c r="B628" s="2">
        <v>42486</v>
      </c>
      <c r="C628">
        <v>2016</v>
      </c>
      <c r="E628" t="s">
        <v>6</v>
      </c>
      <c r="F628">
        <v>16.027000000000001</v>
      </c>
    </row>
    <row r="629" spans="1:6" x14ac:dyDescent="0.25">
      <c r="A629" t="s">
        <v>13</v>
      </c>
      <c r="B629" s="2">
        <v>42486</v>
      </c>
      <c r="C629">
        <v>2016</v>
      </c>
      <c r="E629" t="s">
        <v>6</v>
      </c>
      <c r="F629">
        <v>17.986799999999999</v>
      </c>
    </row>
    <row r="630" spans="1:6" x14ac:dyDescent="0.25">
      <c r="A630" t="s">
        <v>13</v>
      </c>
      <c r="B630" s="2">
        <v>42493</v>
      </c>
      <c r="C630">
        <v>2016</v>
      </c>
      <c r="E630" t="s">
        <v>6</v>
      </c>
      <c r="F630">
        <v>16.594899999999999</v>
      </c>
    </row>
    <row r="631" spans="1:6" x14ac:dyDescent="0.25">
      <c r="A631" t="s">
        <v>13</v>
      </c>
      <c r="B631" s="2">
        <v>42493</v>
      </c>
      <c r="C631">
        <v>2016</v>
      </c>
      <c r="E631" t="s">
        <v>6</v>
      </c>
      <c r="F631">
        <v>20.163</v>
      </c>
    </row>
    <row r="632" spans="1:6" x14ac:dyDescent="0.25">
      <c r="A632" t="s">
        <v>13</v>
      </c>
      <c r="B632" s="2">
        <v>42510</v>
      </c>
      <c r="C632">
        <v>2016</v>
      </c>
      <c r="E632" t="s">
        <v>6</v>
      </c>
      <c r="F632">
        <v>16.858600000000003</v>
      </c>
    </row>
    <row r="633" spans="1:6" x14ac:dyDescent="0.25">
      <c r="A633" t="s">
        <v>13</v>
      </c>
      <c r="B633" s="2">
        <v>42510</v>
      </c>
      <c r="C633">
        <v>2016</v>
      </c>
      <c r="E633" t="s">
        <v>6</v>
      </c>
      <c r="F633">
        <v>20.4678</v>
      </c>
    </row>
    <row r="634" spans="1:6" x14ac:dyDescent="0.25">
      <c r="A634" t="s">
        <v>13</v>
      </c>
      <c r="B634" s="2">
        <v>42521</v>
      </c>
      <c r="C634">
        <v>2016</v>
      </c>
      <c r="E634" t="s">
        <v>6</v>
      </c>
      <c r="F634">
        <v>16.424700000000001</v>
      </c>
    </row>
    <row r="635" spans="1:6" x14ac:dyDescent="0.25">
      <c r="A635" t="s">
        <v>13</v>
      </c>
      <c r="B635" s="2">
        <v>42521</v>
      </c>
      <c r="C635">
        <v>2016</v>
      </c>
      <c r="E635" t="s">
        <v>6</v>
      </c>
      <c r="F635">
        <v>20.351600000000001</v>
      </c>
    </row>
    <row r="636" spans="1:6" x14ac:dyDescent="0.25">
      <c r="A636" t="s">
        <v>13</v>
      </c>
      <c r="B636" s="2">
        <v>42535</v>
      </c>
      <c r="C636">
        <v>2016</v>
      </c>
      <c r="E636" t="s">
        <v>6</v>
      </c>
      <c r="F636">
        <v>18.032299999999999</v>
      </c>
    </row>
    <row r="637" spans="1:6" x14ac:dyDescent="0.25">
      <c r="A637" t="s">
        <v>13</v>
      </c>
      <c r="B637" s="2">
        <v>42535</v>
      </c>
      <c r="C637">
        <v>2016</v>
      </c>
      <c r="E637" t="s">
        <v>6</v>
      </c>
      <c r="F637">
        <v>20.246400000000005</v>
      </c>
    </row>
    <row r="638" spans="1:6" x14ac:dyDescent="0.25">
      <c r="A638" t="s">
        <v>13</v>
      </c>
      <c r="B638" s="2">
        <v>42386</v>
      </c>
      <c r="C638">
        <v>2016</v>
      </c>
      <c r="E638" t="s">
        <v>6</v>
      </c>
      <c r="F638">
        <v>4.0968</v>
      </c>
    </row>
    <row r="639" spans="1:6" x14ac:dyDescent="0.25">
      <c r="A639" t="s">
        <v>13</v>
      </c>
      <c r="B639" s="2">
        <v>42424</v>
      </c>
      <c r="C639">
        <v>2016</v>
      </c>
      <c r="E639" t="s">
        <v>6</v>
      </c>
      <c r="F639">
        <v>10.3124</v>
      </c>
    </row>
    <row r="640" spans="1:6" x14ac:dyDescent="0.25">
      <c r="A640" t="s">
        <v>13</v>
      </c>
      <c r="B640" s="2">
        <v>42439</v>
      </c>
      <c r="C640">
        <v>2016</v>
      </c>
      <c r="E640" t="s">
        <v>6</v>
      </c>
      <c r="F640">
        <v>13.636800000000001</v>
      </c>
    </row>
    <row r="641" spans="1:6" x14ac:dyDescent="0.25">
      <c r="A641" t="s">
        <v>13</v>
      </c>
      <c r="B641" s="2">
        <v>42452</v>
      </c>
      <c r="C641">
        <v>2016</v>
      </c>
      <c r="E641" t="s">
        <v>6</v>
      </c>
      <c r="F641">
        <v>15.061199999999999</v>
      </c>
    </row>
    <row r="642" spans="1:6" x14ac:dyDescent="0.25">
      <c r="A642" t="s">
        <v>13</v>
      </c>
      <c r="B642" s="2">
        <v>42467</v>
      </c>
      <c r="C642">
        <v>2016</v>
      </c>
      <c r="E642" t="s">
        <v>6</v>
      </c>
      <c r="F642">
        <v>17.472000000000001</v>
      </c>
    </row>
    <row r="643" spans="1:6" x14ac:dyDescent="0.25">
      <c r="A643" t="s">
        <v>13</v>
      </c>
      <c r="B643" s="2">
        <v>42474</v>
      </c>
      <c r="C643">
        <v>2016</v>
      </c>
      <c r="E643" t="s">
        <v>6</v>
      </c>
      <c r="F643">
        <v>17.167999999999999</v>
      </c>
    </row>
    <row r="644" spans="1:6" x14ac:dyDescent="0.25">
      <c r="A644" t="s">
        <v>13</v>
      </c>
      <c r="B644" s="2">
        <v>42482</v>
      </c>
      <c r="C644">
        <v>2016</v>
      </c>
      <c r="E644" t="s">
        <v>6</v>
      </c>
      <c r="F644">
        <v>18.612000000000002</v>
      </c>
    </row>
    <row r="645" spans="1:6" x14ac:dyDescent="0.25">
      <c r="A645" t="s">
        <v>13</v>
      </c>
      <c r="B645" s="2">
        <v>42489</v>
      </c>
      <c r="C645">
        <v>2016</v>
      </c>
      <c r="E645" t="s">
        <v>6</v>
      </c>
      <c r="F645">
        <v>18.392800000000001</v>
      </c>
    </row>
    <row r="646" spans="1:6" x14ac:dyDescent="0.25">
      <c r="A646" t="s">
        <v>13</v>
      </c>
      <c r="B646" s="2">
        <v>42496</v>
      </c>
      <c r="C646">
        <v>2016</v>
      </c>
      <c r="E646" t="s">
        <v>6</v>
      </c>
      <c r="F646">
        <v>19.4208</v>
      </c>
    </row>
    <row r="647" spans="1:6" x14ac:dyDescent="0.25">
      <c r="A647" t="s">
        <v>13</v>
      </c>
      <c r="B647" s="2">
        <v>42510</v>
      </c>
      <c r="C647">
        <v>2016</v>
      </c>
      <c r="E647" t="s">
        <v>6</v>
      </c>
      <c r="F647">
        <v>20.248800000000003</v>
      </c>
    </row>
    <row r="648" spans="1:6" x14ac:dyDescent="0.25">
      <c r="A648" t="s">
        <v>13</v>
      </c>
      <c r="B648" s="2">
        <v>42523</v>
      </c>
      <c r="C648">
        <v>2016</v>
      </c>
      <c r="E648" t="s">
        <v>6</v>
      </c>
      <c r="F648">
        <v>20.370199999999997</v>
      </c>
    </row>
    <row r="649" spans="1:6" x14ac:dyDescent="0.25">
      <c r="A649" t="s">
        <v>13</v>
      </c>
      <c r="B649" s="2">
        <v>42535</v>
      </c>
      <c r="C649">
        <v>2016</v>
      </c>
      <c r="E649" t="s">
        <v>6</v>
      </c>
      <c r="F649">
        <v>21.318899999999999</v>
      </c>
    </row>
    <row r="650" spans="1:6" x14ac:dyDescent="0.25">
      <c r="A650" t="s">
        <v>13</v>
      </c>
      <c r="B650" s="2">
        <v>42386</v>
      </c>
      <c r="C650">
        <v>2016</v>
      </c>
      <c r="E650" t="s">
        <v>6</v>
      </c>
      <c r="F650">
        <v>5.0204000000000004</v>
      </c>
    </row>
    <row r="651" spans="1:6" x14ac:dyDescent="0.25">
      <c r="A651" t="s">
        <v>13</v>
      </c>
      <c r="B651" s="2">
        <v>42386</v>
      </c>
      <c r="C651">
        <v>2016</v>
      </c>
      <c r="E651" t="s">
        <v>6</v>
      </c>
      <c r="F651">
        <v>4.4855999999999998</v>
      </c>
    </row>
    <row r="652" spans="1:6" x14ac:dyDescent="0.25">
      <c r="A652" t="s">
        <v>13</v>
      </c>
      <c r="B652" s="2">
        <v>42386</v>
      </c>
      <c r="C652">
        <v>2016</v>
      </c>
      <c r="E652" t="s">
        <v>6</v>
      </c>
      <c r="F652">
        <v>4.4676</v>
      </c>
    </row>
    <row r="653" spans="1:6" x14ac:dyDescent="0.25">
      <c r="A653" t="s">
        <v>13</v>
      </c>
      <c r="B653" s="2">
        <v>42389</v>
      </c>
      <c r="C653">
        <v>2016</v>
      </c>
      <c r="E653" t="s">
        <v>6</v>
      </c>
      <c r="F653">
        <v>4.758</v>
      </c>
    </row>
    <row r="654" spans="1:6" x14ac:dyDescent="0.25">
      <c r="A654" t="s">
        <v>13</v>
      </c>
      <c r="B654" s="2">
        <v>42424</v>
      </c>
      <c r="C654">
        <v>2016</v>
      </c>
      <c r="E654" t="s">
        <v>6</v>
      </c>
      <c r="F654">
        <v>12.196100000000001</v>
      </c>
    </row>
    <row r="655" spans="1:6" x14ac:dyDescent="0.25">
      <c r="A655" t="s">
        <v>13</v>
      </c>
      <c r="B655" s="2">
        <v>42424</v>
      </c>
      <c r="C655">
        <v>2016</v>
      </c>
      <c r="E655" t="s">
        <v>6</v>
      </c>
      <c r="F655">
        <v>11.2395</v>
      </c>
    </row>
    <row r="656" spans="1:6" x14ac:dyDescent="0.25">
      <c r="A656" t="s">
        <v>13</v>
      </c>
      <c r="B656" s="2">
        <v>42424</v>
      </c>
      <c r="C656">
        <v>2016</v>
      </c>
      <c r="E656" t="s">
        <v>6</v>
      </c>
      <c r="F656">
        <v>9.4307999999999996</v>
      </c>
    </row>
    <row r="657" spans="1:6" x14ac:dyDescent="0.25">
      <c r="A657" t="s">
        <v>13</v>
      </c>
      <c r="B657" s="2">
        <v>42424</v>
      </c>
      <c r="C657">
        <v>2016</v>
      </c>
      <c r="E657" t="s">
        <v>6</v>
      </c>
      <c r="F657">
        <v>9.2748000000000008</v>
      </c>
    </row>
    <row r="658" spans="1:6" x14ac:dyDescent="0.25">
      <c r="A658" t="s">
        <v>13</v>
      </c>
      <c r="B658" s="2">
        <v>42438</v>
      </c>
      <c r="C658">
        <v>2016</v>
      </c>
      <c r="E658" t="s">
        <v>6</v>
      </c>
      <c r="F658">
        <v>11.587200000000001</v>
      </c>
    </row>
    <row r="659" spans="1:6" x14ac:dyDescent="0.25">
      <c r="A659" t="s">
        <v>13</v>
      </c>
      <c r="B659" s="2">
        <v>42439</v>
      </c>
      <c r="C659">
        <v>2016</v>
      </c>
      <c r="E659" t="s">
        <v>6</v>
      </c>
      <c r="F659">
        <v>15.09</v>
      </c>
    </row>
    <row r="660" spans="1:6" x14ac:dyDescent="0.25">
      <c r="A660" t="s">
        <v>13</v>
      </c>
      <c r="B660" s="2">
        <v>42439</v>
      </c>
      <c r="C660">
        <v>2016</v>
      </c>
      <c r="E660" t="s">
        <v>6</v>
      </c>
      <c r="F660">
        <v>14.128999999999998</v>
      </c>
    </row>
    <row r="661" spans="1:6" x14ac:dyDescent="0.25">
      <c r="A661" t="s">
        <v>13</v>
      </c>
      <c r="B661" s="2">
        <v>42439</v>
      </c>
      <c r="C661">
        <v>2016</v>
      </c>
      <c r="E661" t="s">
        <v>6</v>
      </c>
      <c r="F661">
        <v>11.226700000000001</v>
      </c>
    </row>
    <row r="662" spans="1:6" x14ac:dyDescent="0.25">
      <c r="A662" t="s">
        <v>13</v>
      </c>
      <c r="B662" s="2">
        <v>42452</v>
      </c>
      <c r="C662">
        <v>2016</v>
      </c>
      <c r="E662" t="s">
        <v>6</v>
      </c>
      <c r="F662">
        <v>17.301000000000002</v>
      </c>
    </row>
    <row r="663" spans="1:6" x14ac:dyDescent="0.25">
      <c r="A663" t="s">
        <v>13</v>
      </c>
      <c r="B663" s="2">
        <v>42452</v>
      </c>
      <c r="C663">
        <v>2016</v>
      </c>
      <c r="E663" t="s">
        <v>6</v>
      </c>
      <c r="F663">
        <v>15.54</v>
      </c>
    </row>
    <row r="664" spans="1:6" x14ac:dyDescent="0.25">
      <c r="A664" t="s">
        <v>13</v>
      </c>
      <c r="B664" s="2">
        <v>42452</v>
      </c>
      <c r="C664">
        <v>2016</v>
      </c>
      <c r="E664" t="s">
        <v>6</v>
      </c>
      <c r="F664">
        <v>13.2258</v>
      </c>
    </row>
    <row r="665" spans="1:6" x14ac:dyDescent="0.25">
      <c r="A665" t="s">
        <v>13</v>
      </c>
      <c r="B665" s="2">
        <v>42452</v>
      </c>
      <c r="C665">
        <v>2016</v>
      </c>
      <c r="E665" t="s">
        <v>6</v>
      </c>
      <c r="F665">
        <v>13.281999999999998</v>
      </c>
    </row>
    <row r="666" spans="1:6" x14ac:dyDescent="0.25">
      <c r="A666" t="s">
        <v>13</v>
      </c>
      <c r="B666" s="2">
        <v>42467</v>
      </c>
      <c r="C666">
        <v>2016</v>
      </c>
      <c r="E666" t="s">
        <v>6</v>
      </c>
      <c r="F666">
        <v>19.822900000000001</v>
      </c>
    </row>
    <row r="667" spans="1:6" x14ac:dyDescent="0.25">
      <c r="A667" t="s">
        <v>13</v>
      </c>
      <c r="B667" s="2">
        <v>42467</v>
      </c>
      <c r="C667">
        <v>2016</v>
      </c>
      <c r="E667" t="s">
        <v>6</v>
      </c>
      <c r="F667">
        <v>17.417400000000001</v>
      </c>
    </row>
    <row r="668" spans="1:6" x14ac:dyDescent="0.25">
      <c r="A668" t="s">
        <v>13</v>
      </c>
      <c r="B668" s="2">
        <v>42467</v>
      </c>
      <c r="C668">
        <v>2016</v>
      </c>
      <c r="E668" t="s">
        <v>6</v>
      </c>
      <c r="F668">
        <v>15.3</v>
      </c>
    </row>
    <row r="669" spans="1:6" x14ac:dyDescent="0.25">
      <c r="A669" t="s">
        <v>13</v>
      </c>
      <c r="B669" s="2">
        <v>42467</v>
      </c>
      <c r="C669">
        <v>2016</v>
      </c>
      <c r="E669" t="s">
        <v>6</v>
      </c>
      <c r="F669">
        <v>15.123999999999999</v>
      </c>
    </row>
    <row r="670" spans="1:6" x14ac:dyDescent="0.25">
      <c r="A670" t="s">
        <v>13</v>
      </c>
      <c r="B670" s="2">
        <v>42474</v>
      </c>
      <c r="C670">
        <v>2016</v>
      </c>
      <c r="E670" t="s">
        <v>6</v>
      </c>
      <c r="F670">
        <v>15.631000000000002</v>
      </c>
    </row>
    <row r="671" spans="1:6" x14ac:dyDescent="0.25">
      <c r="A671" t="s">
        <v>13</v>
      </c>
      <c r="B671" s="2">
        <v>42475</v>
      </c>
      <c r="C671">
        <v>2016</v>
      </c>
      <c r="E671" t="s">
        <v>6</v>
      </c>
      <c r="F671">
        <v>19.618500000000001</v>
      </c>
    </row>
    <row r="672" spans="1:6" x14ac:dyDescent="0.25">
      <c r="A672" t="s">
        <v>13</v>
      </c>
      <c r="B672" s="2">
        <v>42475</v>
      </c>
      <c r="C672">
        <v>2016</v>
      </c>
      <c r="E672" t="s">
        <v>6</v>
      </c>
      <c r="F672">
        <v>17.6311</v>
      </c>
    </row>
    <row r="673" spans="1:6" x14ac:dyDescent="0.25">
      <c r="A673" t="s">
        <v>13</v>
      </c>
      <c r="B673" s="2">
        <v>42475</v>
      </c>
      <c r="C673">
        <v>2016</v>
      </c>
      <c r="E673" t="s">
        <v>6</v>
      </c>
      <c r="F673">
        <v>15.853599999999998</v>
      </c>
    </row>
    <row r="674" spans="1:6" x14ac:dyDescent="0.25">
      <c r="A674" t="s">
        <v>13</v>
      </c>
      <c r="B674" s="2">
        <v>42482</v>
      </c>
      <c r="C674">
        <v>2016</v>
      </c>
      <c r="E674" t="s">
        <v>6</v>
      </c>
      <c r="F674">
        <v>20.432100000000002</v>
      </c>
    </row>
    <row r="675" spans="1:6" x14ac:dyDescent="0.25">
      <c r="A675" t="s">
        <v>13</v>
      </c>
      <c r="B675" s="2">
        <v>42482</v>
      </c>
      <c r="C675">
        <v>2016</v>
      </c>
      <c r="E675" t="s">
        <v>6</v>
      </c>
      <c r="F675">
        <v>17.929400000000001</v>
      </c>
    </row>
    <row r="676" spans="1:6" x14ac:dyDescent="0.25">
      <c r="A676" t="s">
        <v>13</v>
      </c>
      <c r="B676" s="2">
        <v>42482</v>
      </c>
      <c r="C676">
        <v>2016</v>
      </c>
      <c r="E676" t="s">
        <v>6</v>
      </c>
      <c r="F676">
        <v>15.902999999999999</v>
      </c>
    </row>
    <row r="677" spans="1:6" x14ac:dyDescent="0.25">
      <c r="A677" t="s">
        <v>13</v>
      </c>
      <c r="B677" s="2">
        <v>42482</v>
      </c>
      <c r="C677">
        <v>2016</v>
      </c>
      <c r="E677" t="s">
        <v>6</v>
      </c>
      <c r="F677">
        <v>15.250999999999999</v>
      </c>
    </row>
    <row r="678" spans="1:6" x14ac:dyDescent="0.25">
      <c r="A678" t="s">
        <v>13</v>
      </c>
      <c r="B678" s="2">
        <v>42489</v>
      </c>
      <c r="C678">
        <v>2016</v>
      </c>
      <c r="E678" t="s">
        <v>6</v>
      </c>
      <c r="F678">
        <v>21.367199999999997</v>
      </c>
    </row>
    <row r="679" spans="1:6" x14ac:dyDescent="0.25">
      <c r="A679" t="s">
        <v>13</v>
      </c>
      <c r="B679" s="2">
        <v>42489</v>
      </c>
      <c r="C679">
        <v>2016</v>
      </c>
      <c r="E679" t="s">
        <v>6</v>
      </c>
      <c r="F679">
        <v>18.768000000000001</v>
      </c>
    </row>
    <row r="680" spans="1:6" x14ac:dyDescent="0.25">
      <c r="A680" t="s">
        <v>13</v>
      </c>
      <c r="B680" s="2">
        <v>42489</v>
      </c>
      <c r="C680">
        <v>2016</v>
      </c>
      <c r="E680" t="s">
        <v>6</v>
      </c>
      <c r="F680">
        <v>16.2181</v>
      </c>
    </row>
    <row r="681" spans="1:6" x14ac:dyDescent="0.25">
      <c r="A681" t="s">
        <v>13</v>
      </c>
      <c r="B681" s="2">
        <v>42489</v>
      </c>
      <c r="C681">
        <v>2016</v>
      </c>
      <c r="E681" t="s">
        <v>6</v>
      </c>
      <c r="F681">
        <v>16.453599999999998</v>
      </c>
    </row>
    <row r="682" spans="1:6" x14ac:dyDescent="0.25">
      <c r="A682" t="s">
        <v>13</v>
      </c>
      <c r="B682" s="2">
        <v>42494</v>
      </c>
      <c r="C682">
        <v>2016</v>
      </c>
      <c r="E682" t="s">
        <v>6</v>
      </c>
      <c r="F682">
        <v>17.5168</v>
      </c>
    </row>
    <row r="683" spans="1:6" x14ac:dyDescent="0.25">
      <c r="A683" t="s">
        <v>13</v>
      </c>
      <c r="B683" s="2">
        <v>42496</v>
      </c>
      <c r="C683">
        <v>2016</v>
      </c>
      <c r="E683" t="s">
        <v>6</v>
      </c>
      <c r="F683">
        <v>20.984000000000002</v>
      </c>
    </row>
    <row r="684" spans="1:6" x14ac:dyDescent="0.25">
      <c r="A684" t="s">
        <v>13</v>
      </c>
      <c r="B684" s="2">
        <v>42496</v>
      </c>
      <c r="C684">
        <v>2016</v>
      </c>
      <c r="E684" t="s">
        <v>6</v>
      </c>
      <c r="F684">
        <v>19.8352</v>
      </c>
    </row>
    <row r="685" spans="1:6" x14ac:dyDescent="0.25">
      <c r="A685" t="s">
        <v>13</v>
      </c>
      <c r="B685" s="2">
        <v>42496</v>
      </c>
      <c r="C685">
        <v>2016</v>
      </c>
      <c r="E685" t="s">
        <v>6</v>
      </c>
      <c r="F685">
        <v>16.9938</v>
      </c>
    </row>
    <row r="686" spans="1:6" x14ac:dyDescent="0.25">
      <c r="A686" t="s">
        <v>13</v>
      </c>
      <c r="B686" s="2">
        <v>42509</v>
      </c>
      <c r="C686">
        <v>2016</v>
      </c>
      <c r="E686" t="s">
        <v>6</v>
      </c>
      <c r="F686">
        <v>21.454999999999998</v>
      </c>
    </row>
    <row r="687" spans="1:6" x14ac:dyDescent="0.25">
      <c r="A687" t="s">
        <v>13</v>
      </c>
      <c r="B687" s="2">
        <v>42509</v>
      </c>
      <c r="C687">
        <v>2016</v>
      </c>
      <c r="E687" t="s">
        <v>6</v>
      </c>
      <c r="F687">
        <v>18.9468</v>
      </c>
    </row>
    <row r="688" spans="1:6" x14ac:dyDescent="0.25">
      <c r="A688" t="s">
        <v>13</v>
      </c>
      <c r="B688" s="2">
        <v>42509</v>
      </c>
      <c r="C688">
        <v>2016</v>
      </c>
      <c r="E688" t="s">
        <v>6</v>
      </c>
      <c r="F688">
        <v>18.04</v>
      </c>
    </row>
    <row r="689" spans="1:6" x14ac:dyDescent="0.25">
      <c r="A689" t="s">
        <v>13</v>
      </c>
      <c r="B689" s="2">
        <v>42510</v>
      </c>
      <c r="C689">
        <v>2016</v>
      </c>
      <c r="E689" t="s">
        <v>6</v>
      </c>
      <c r="F689">
        <v>20.445600000000002</v>
      </c>
    </row>
    <row r="690" spans="1:6" x14ac:dyDescent="0.25">
      <c r="A690" t="s">
        <v>13</v>
      </c>
      <c r="B690" s="2">
        <v>42522</v>
      </c>
      <c r="C690">
        <v>2016</v>
      </c>
      <c r="E690" t="s">
        <v>6</v>
      </c>
      <c r="F690">
        <v>18.638999999999999</v>
      </c>
    </row>
    <row r="691" spans="1:6" x14ac:dyDescent="0.25">
      <c r="A691" t="s">
        <v>13</v>
      </c>
      <c r="B691" s="2">
        <v>42523</v>
      </c>
      <c r="C691">
        <v>2016</v>
      </c>
      <c r="E691" t="s">
        <v>6</v>
      </c>
      <c r="F691">
        <v>21.87</v>
      </c>
    </row>
    <row r="692" spans="1:6" x14ac:dyDescent="0.25">
      <c r="A692" t="s">
        <v>13</v>
      </c>
      <c r="B692" s="2">
        <v>42523</v>
      </c>
      <c r="C692">
        <v>2016</v>
      </c>
      <c r="E692" t="s">
        <v>6</v>
      </c>
      <c r="F692">
        <v>20.708099999999998</v>
      </c>
    </row>
    <row r="693" spans="1:6" x14ac:dyDescent="0.25">
      <c r="A693" t="s">
        <v>13</v>
      </c>
      <c r="B693" s="2">
        <v>42523</v>
      </c>
      <c r="C693">
        <v>2016</v>
      </c>
      <c r="E693" t="s">
        <v>6</v>
      </c>
      <c r="F693">
        <v>18.211200000000002</v>
      </c>
    </row>
    <row r="694" spans="1:6" x14ac:dyDescent="0.25">
      <c r="A694" t="s">
        <v>13</v>
      </c>
      <c r="B694" s="2">
        <v>42531</v>
      </c>
      <c r="C694">
        <v>2016</v>
      </c>
      <c r="E694" t="s">
        <v>6</v>
      </c>
      <c r="F694">
        <v>20.832000000000004</v>
      </c>
    </row>
    <row r="695" spans="1:6" x14ac:dyDescent="0.25">
      <c r="A695" t="s">
        <v>13</v>
      </c>
      <c r="B695" s="2">
        <v>42535</v>
      </c>
      <c r="C695">
        <v>2016</v>
      </c>
      <c r="E695" t="s">
        <v>6</v>
      </c>
      <c r="F695">
        <v>22.302000000000003</v>
      </c>
    </row>
    <row r="696" spans="1:6" x14ac:dyDescent="0.25">
      <c r="A696" t="s">
        <v>13</v>
      </c>
      <c r="B696" s="2">
        <v>42535</v>
      </c>
      <c r="C696">
        <v>2016</v>
      </c>
      <c r="E696" t="s">
        <v>6</v>
      </c>
      <c r="F696">
        <v>19.825800000000001</v>
      </c>
    </row>
    <row r="697" spans="1:6" x14ac:dyDescent="0.25">
      <c r="A697" t="s">
        <v>14</v>
      </c>
      <c r="B697" s="2">
        <v>42752</v>
      </c>
      <c r="C697">
        <v>2017</v>
      </c>
      <c r="E697" t="s">
        <v>6</v>
      </c>
      <c r="F697">
        <v>5.5297999999999989</v>
      </c>
    </row>
    <row r="698" spans="1:6" x14ac:dyDescent="0.25">
      <c r="A698" t="s">
        <v>14</v>
      </c>
      <c r="B698" s="2">
        <v>42752</v>
      </c>
      <c r="C698">
        <v>2017</v>
      </c>
      <c r="E698" t="s">
        <v>6</v>
      </c>
      <c r="F698">
        <v>3.9312</v>
      </c>
    </row>
    <row r="699" spans="1:6" x14ac:dyDescent="0.25">
      <c r="A699" t="s">
        <v>14</v>
      </c>
      <c r="B699" s="2">
        <v>42787</v>
      </c>
      <c r="C699">
        <v>2017</v>
      </c>
      <c r="E699" t="s">
        <v>6</v>
      </c>
      <c r="F699">
        <v>11.007999999999999</v>
      </c>
    </row>
    <row r="700" spans="1:6" x14ac:dyDescent="0.25">
      <c r="A700" t="s">
        <v>14</v>
      </c>
      <c r="B700" s="2">
        <v>42787</v>
      </c>
      <c r="C700">
        <v>2017</v>
      </c>
      <c r="E700" t="s">
        <v>6</v>
      </c>
      <c r="F700">
        <v>9.4163999999999994</v>
      </c>
    </row>
    <row r="701" spans="1:6" x14ac:dyDescent="0.25">
      <c r="A701" t="s">
        <v>14</v>
      </c>
      <c r="B701" s="2">
        <v>42801</v>
      </c>
      <c r="C701">
        <v>2017</v>
      </c>
      <c r="E701" t="s">
        <v>6</v>
      </c>
      <c r="F701">
        <v>13.7995</v>
      </c>
    </row>
    <row r="702" spans="1:6" x14ac:dyDescent="0.25">
      <c r="A702" t="s">
        <v>14</v>
      </c>
      <c r="B702" s="2">
        <v>42801</v>
      </c>
      <c r="C702">
        <v>2017</v>
      </c>
      <c r="E702" t="s">
        <v>6</v>
      </c>
      <c r="F702">
        <v>11.226800000000001</v>
      </c>
    </row>
    <row r="703" spans="1:6" x14ac:dyDescent="0.25">
      <c r="A703" t="s">
        <v>14</v>
      </c>
      <c r="B703" s="2">
        <v>42815</v>
      </c>
      <c r="C703">
        <v>2017</v>
      </c>
      <c r="E703" t="s">
        <v>6</v>
      </c>
      <c r="F703">
        <v>15.111599999999999</v>
      </c>
    </row>
    <row r="704" spans="1:6" x14ac:dyDescent="0.25">
      <c r="A704" t="s">
        <v>14</v>
      </c>
      <c r="B704" s="2">
        <v>42815</v>
      </c>
      <c r="C704">
        <v>2017</v>
      </c>
      <c r="E704" t="s">
        <v>6</v>
      </c>
      <c r="F704">
        <v>12.8232</v>
      </c>
    </row>
    <row r="705" spans="1:6" x14ac:dyDescent="0.25">
      <c r="A705" t="s">
        <v>14</v>
      </c>
      <c r="B705" s="2">
        <v>42829</v>
      </c>
      <c r="C705">
        <v>2017</v>
      </c>
      <c r="E705" t="s">
        <v>6</v>
      </c>
      <c r="F705">
        <v>17.962200000000003</v>
      </c>
    </row>
    <row r="706" spans="1:6" x14ac:dyDescent="0.25">
      <c r="A706" t="s">
        <v>14</v>
      </c>
      <c r="B706" s="2">
        <v>42829</v>
      </c>
      <c r="C706">
        <v>2017</v>
      </c>
      <c r="E706" t="s">
        <v>6</v>
      </c>
      <c r="F706">
        <v>14.860800000000001</v>
      </c>
    </row>
    <row r="707" spans="1:6" x14ac:dyDescent="0.25">
      <c r="A707" t="s">
        <v>14</v>
      </c>
      <c r="B707" s="2">
        <v>42839</v>
      </c>
      <c r="C707">
        <v>2017</v>
      </c>
      <c r="E707" t="s">
        <v>6</v>
      </c>
      <c r="F707">
        <v>17.060500000000001</v>
      </c>
    </row>
    <row r="708" spans="1:6" x14ac:dyDescent="0.25">
      <c r="A708" t="s">
        <v>14</v>
      </c>
      <c r="B708" s="2">
        <v>42839</v>
      </c>
      <c r="C708">
        <v>2017</v>
      </c>
      <c r="E708" t="s">
        <v>6</v>
      </c>
      <c r="F708">
        <v>15.463800000000001</v>
      </c>
    </row>
    <row r="709" spans="1:6" x14ac:dyDescent="0.25">
      <c r="A709" t="s">
        <v>14</v>
      </c>
      <c r="B709" s="2">
        <v>42844</v>
      </c>
      <c r="C709">
        <v>2017</v>
      </c>
      <c r="E709" t="s">
        <v>6</v>
      </c>
      <c r="F709">
        <v>18.667300000000001</v>
      </c>
    </row>
    <row r="710" spans="1:6" x14ac:dyDescent="0.25">
      <c r="A710" t="s">
        <v>14</v>
      </c>
      <c r="B710" s="2">
        <v>42844</v>
      </c>
      <c r="C710">
        <v>2017</v>
      </c>
      <c r="E710" t="s">
        <v>6</v>
      </c>
      <c r="F710">
        <v>16.658200000000001</v>
      </c>
    </row>
    <row r="711" spans="1:6" x14ac:dyDescent="0.25">
      <c r="A711" t="s">
        <v>14</v>
      </c>
      <c r="B711" s="2">
        <v>42850</v>
      </c>
      <c r="C711">
        <v>2017</v>
      </c>
      <c r="E711" t="s">
        <v>6</v>
      </c>
      <c r="F711">
        <v>16.6402</v>
      </c>
    </row>
    <row r="712" spans="1:6" x14ac:dyDescent="0.25">
      <c r="A712" t="s">
        <v>14</v>
      </c>
      <c r="B712" s="2">
        <v>42853</v>
      </c>
      <c r="C712">
        <v>2017</v>
      </c>
      <c r="E712" t="s">
        <v>6</v>
      </c>
      <c r="F712">
        <v>19.811399999999999</v>
      </c>
    </row>
    <row r="713" spans="1:6" x14ac:dyDescent="0.25">
      <c r="A713" t="s">
        <v>14</v>
      </c>
      <c r="B713" s="2">
        <v>42858</v>
      </c>
      <c r="C713">
        <v>2017</v>
      </c>
      <c r="E713" t="s">
        <v>6</v>
      </c>
      <c r="F713">
        <v>19.400500000000001</v>
      </c>
    </row>
    <row r="714" spans="1:6" x14ac:dyDescent="0.25">
      <c r="A714" t="s">
        <v>14</v>
      </c>
      <c r="B714" s="2">
        <v>42858</v>
      </c>
      <c r="C714">
        <v>2017</v>
      </c>
      <c r="E714" t="s">
        <v>6</v>
      </c>
      <c r="F714">
        <v>16.364999999999998</v>
      </c>
    </row>
    <row r="715" spans="1:6" x14ac:dyDescent="0.25">
      <c r="A715" t="s">
        <v>14</v>
      </c>
      <c r="B715" s="2">
        <v>42871</v>
      </c>
      <c r="C715">
        <v>2017</v>
      </c>
      <c r="E715" t="s">
        <v>6</v>
      </c>
      <c r="F715">
        <v>20.764800000000001</v>
      </c>
    </row>
    <row r="716" spans="1:6" x14ac:dyDescent="0.25">
      <c r="A716" t="s">
        <v>14</v>
      </c>
      <c r="B716" s="2">
        <v>42871</v>
      </c>
      <c r="C716">
        <v>2017</v>
      </c>
      <c r="E716" t="s">
        <v>6</v>
      </c>
      <c r="F716">
        <v>19.067399999999999</v>
      </c>
    </row>
    <row r="717" spans="1:6" x14ac:dyDescent="0.25">
      <c r="A717" t="s">
        <v>14</v>
      </c>
      <c r="B717" s="2">
        <v>42885</v>
      </c>
      <c r="C717">
        <v>2017</v>
      </c>
      <c r="E717" t="s">
        <v>6</v>
      </c>
      <c r="F717">
        <v>20.5335</v>
      </c>
    </row>
    <row r="718" spans="1:6" x14ac:dyDescent="0.25">
      <c r="A718" t="s">
        <v>14</v>
      </c>
      <c r="B718" s="2">
        <v>42885</v>
      </c>
      <c r="C718">
        <v>2017</v>
      </c>
      <c r="E718" t="s">
        <v>6</v>
      </c>
      <c r="F718">
        <v>19.3644</v>
      </c>
    </row>
    <row r="719" spans="1:6" x14ac:dyDescent="0.25">
      <c r="A719" t="s">
        <v>14</v>
      </c>
      <c r="B719" s="2">
        <v>42893</v>
      </c>
      <c r="C719">
        <v>2017</v>
      </c>
      <c r="E719" t="s">
        <v>6</v>
      </c>
      <c r="F719">
        <v>20.930400000000006</v>
      </c>
    </row>
    <row r="720" spans="1:6" x14ac:dyDescent="0.25">
      <c r="A720" t="s">
        <v>14</v>
      </c>
      <c r="B720" s="2">
        <v>42893</v>
      </c>
      <c r="C720">
        <v>2017</v>
      </c>
      <c r="E720" t="s">
        <v>6</v>
      </c>
      <c r="F720">
        <v>18.645</v>
      </c>
    </row>
    <row r="721" spans="1:6" x14ac:dyDescent="0.25">
      <c r="A721" t="s">
        <v>14</v>
      </c>
      <c r="B721" s="2">
        <v>42907</v>
      </c>
      <c r="C721">
        <v>2017</v>
      </c>
      <c r="E721" t="s">
        <v>6</v>
      </c>
      <c r="F721">
        <v>20.050700000000003</v>
      </c>
    </row>
    <row r="722" spans="1:6" x14ac:dyDescent="0.25">
      <c r="A722" t="s">
        <v>14</v>
      </c>
      <c r="B722" s="2">
        <v>42907</v>
      </c>
      <c r="C722">
        <v>2017</v>
      </c>
      <c r="E722" t="s">
        <v>6</v>
      </c>
      <c r="F722">
        <v>19.302800000000001</v>
      </c>
    </row>
    <row r="723" spans="1:6" x14ac:dyDescent="0.25">
      <c r="A723" t="s">
        <v>14</v>
      </c>
      <c r="B723" s="2">
        <v>42753</v>
      </c>
      <c r="C723">
        <v>2017</v>
      </c>
      <c r="E723" t="s">
        <v>6</v>
      </c>
      <c r="F723">
        <v>5.1040000000000001</v>
      </c>
    </row>
    <row r="724" spans="1:6" x14ac:dyDescent="0.25">
      <c r="A724" t="s">
        <v>14</v>
      </c>
      <c r="B724" s="2">
        <v>42789</v>
      </c>
      <c r="C724">
        <v>2017</v>
      </c>
      <c r="E724" t="s">
        <v>6</v>
      </c>
      <c r="F724">
        <v>11.519600000000001</v>
      </c>
    </row>
    <row r="725" spans="1:6" x14ac:dyDescent="0.25">
      <c r="A725" t="s">
        <v>14</v>
      </c>
      <c r="B725" s="2">
        <v>42804</v>
      </c>
      <c r="C725">
        <v>2017</v>
      </c>
      <c r="E725" t="s">
        <v>6</v>
      </c>
      <c r="F725">
        <v>15.008799999999999</v>
      </c>
    </row>
    <row r="726" spans="1:6" x14ac:dyDescent="0.25">
      <c r="A726" t="s">
        <v>14</v>
      </c>
      <c r="B726" s="2">
        <v>42817</v>
      </c>
      <c r="C726">
        <v>2017</v>
      </c>
      <c r="E726" t="s">
        <v>6</v>
      </c>
      <c r="F726">
        <v>17.391000000000002</v>
      </c>
    </row>
    <row r="727" spans="1:6" x14ac:dyDescent="0.25">
      <c r="A727" t="s">
        <v>14</v>
      </c>
      <c r="B727" s="2">
        <v>42832</v>
      </c>
      <c r="C727">
        <v>2017</v>
      </c>
      <c r="E727" t="s">
        <v>6</v>
      </c>
      <c r="F727">
        <v>19.684200000000001</v>
      </c>
    </row>
    <row r="728" spans="1:6" x14ac:dyDescent="0.25">
      <c r="A728" t="s">
        <v>14</v>
      </c>
      <c r="B728" s="2">
        <v>42838</v>
      </c>
      <c r="C728">
        <v>2017</v>
      </c>
      <c r="E728" t="s">
        <v>6</v>
      </c>
      <c r="F728">
        <v>20.144000000000002</v>
      </c>
    </row>
    <row r="729" spans="1:6" x14ac:dyDescent="0.25">
      <c r="A729" t="s">
        <v>14</v>
      </c>
      <c r="B729" s="2">
        <v>42845</v>
      </c>
      <c r="C729">
        <v>2017</v>
      </c>
      <c r="E729" t="s">
        <v>6</v>
      </c>
      <c r="F729">
        <v>21.559699999999999</v>
      </c>
    </row>
    <row r="730" spans="1:6" x14ac:dyDescent="0.25">
      <c r="A730" t="s">
        <v>14</v>
      </c>
      <c r="B730" s="2">
        <v>42853</v>
      </c>
      <c r="C730">
        <v>2017</v>
      </c>
      <c r="E730" t="s">
        <v>6</v>
      </c>
      <c r="F730">
        <v>22.3249</v>
      </c>
    </row>
    <row r="731" spans="1:6" x14ac:dyDescent="0.25">
      <c r="A731" t="s">
        <v>14</v>
      </c>
      <c r="B731" s="2">
        <v>42859</v>
      </c>
      <c r="C731">
        <v>2017</v>
      </c>
      <c r="E731" t="s">
        <v>6</v>
      </c>
      <c r="F731">
        <v>22.423000000000002</v>
      </c>
    </row>
    <row r="732" spans="1:6" x14ac:dyDescent="0.25">
      <c r="A732" t="s">
        <v>14</v>
      </c>
      <c r="B732" s="2">
        <v>42873</v>
      </c>
      <c r="C732">
        <v>2017</v>
      </c>
      <c r="E732" t="s">
        <v>6</v>
      </c>
      <c r="F732">
        <v>23.824199999999998</v>
      </c>
    </row>
    <row r="733" spans="1:6" x14ac:dyDescent="0.25">
      <c r="A733" t="s">
        <v>14</v>
      </c>
      <c r="B733" s="2">
        <v>42887</v>
      </c>
      <c r="C733">
        <v>2017</v>
      </c>
      <c r="E733" t="s">
        <v>6</v>
      </c>
      <c r="F733">
        <v>23.8596</v>
      </c>
    </row>
    <row r="734" spans="1:6" x14ac:dyDescent="0.25">
      <c r="A734" t="s">
        <v>14</v>
      </c>
      <c r="B734" s="2">
        <v>42894</v>
      </c>
      <c r="C734">
        <v>2017</v>
      </c>
      <c r="E734" t="s">
        <v>6</v>
      </c>
      <c r="F734">
        <v>23.692900000000005</v>
      </c>
    </row>
    <row r="735" spans="1:6" x14ac:dyDescent="0.25">
      <c r="A735" t="s">
        <v>14</v>
      </c>
      <c r="B735" s="2">
        <v>42908</v>
      </c>
      <c r="C735">
        <v>2017</v>
      </c>
      <c r="E735" t="s">
        <v>6</v>
      </c>
      <c r="F735">
        <v>22.8583</v>
      </c>
    </row>
    <row r="736" spans="1:6" x14ac:dyDescent="0.25">
      <c r="A736" t="s">
        <v>14</v>
      </c>
      <c r="B736" s="2">
        <v>42753</v>
      </c>
      <c r="C736">
        <v>2017</v>
      </c>
      <c r="E736" t="s">
        <v>6</v>
      </c>
      <c r="F736">
        <v>5.0960000000000001</v>
      </c>
    </row>
    <row r="737" spans="1:6" x14ac:dyDescent="0.25">
      <c r="A737" t="s">
        <v>14</v>
      </c>
      <c r="B737" s="2">
        <v>42753</v>
      </c>
      <c r="C737">
        <v>2017</v>
      </c>
      <c r="E737" t="s">
        <v>6</v>
      </c>
      <c r="F737">
        <v>5.0466000000000006</v>
      </c>
    </row>
    <row r="738" spans="1:6" x14ac:dyDescent="0.25">
      <c r="A738" t="s">
        <v>14</v>
      </c>
      <c r="B738" s="2">
        <v>42753</v>
      </c>
      <c r="C738">
        <v>2017</v>
      </c>
      <c r="E738" t="s">
        <v>6</v>
      </c>
      <c r="F738">
        <v>5.4350999999999985</v>
      </c>
    </row>
    <row r="739" spans="1:6" x14ac:dyDescent="0.25">
      <c r="A739" t="s">
        <v>14</v>
      </c>
      <c r="B739" s="2">
        <v>42753</v>
      </c>
      <c r="C739">
        <v>2017</v>
      </c>
      <c r="E739" t="s">
        <v>6</v>
      </c>
      <c r="F739">
        <v>5.9670000000000005</v>
      </c>
    </row>
    <row r="740" spans="1:6" x14ac:dyDescent="0.25">
      <c r="A740" t="s">
        <v>14</v>
      </c>
      <c r="B740" s="2">
        <v>42788</v>
      </c>
      <c r="C740">
        <v>2017</v>
      </c>
      <c r="E740" t="s">
        <v>6</v>
      </c>
      <c r="F740">
        <v>12.300900000000002</v>
      </c>
    </row>
    <row r="741" spans="1:6" x14ac:dyDescent="0.25">
      <c r="A741" t="s">
        <v>14</v>
      </c>
      <c r="B741" s="2">
        <v>42789</v>
      </c>
      <c r="C741">
        <v>2017</v>
      </c>
      <c r="E741" t="s">
        <v>6</v>
      </c>
      <c r="F741">
        <v>10.933</v>
      </c>
    </row>
    <row r="742" spans="1:6" x14ac:dyDescent="0.25">
      <c r="A742" t="s">
        <v>14</v>
      </c>
      <c r="B742" s="2">
        <v>42789</v>
      </c>
      <c r="C742">
        <v>2017</v>
      </c>
      <c r="E742" t="s">
        <v>6</v>
      </c>
      <c r="F742">
        <v>11.904000000000002</v>
      </c>
    </row>
    <row r="743" spans="1:6" x14ac:dyDescent="0.25">
      <c r="A743" t="s">
        <v>14</v>
      </c>
      <c r="B743" s="2">
        <v>42789</v>
      </c>
      <c r="C743">
        <v>2017</v>
      </c>
      <c r="E743" t="s">
        <v>6</v>
      </c>
      <c r="F743">
        <v>11.153999999999998</v>
      </c>
    </row>
    <row r="744" spans="1:6" x14ac:dyDescent="0.25">
      <c r="A744" t="s">
        <v>14</v>
      </c>
      <c r="B744" s="2">
        <v>42803</v>
      </c>
      <c r="C744">
        <v>2017</v>
      </c>
      <c r="E744" t="s">
        <v>6</v>
      </c>
      <c r="F744">
        <v>15.537600000000003</v>
      </c>
    </row>
    <row r="745" spans="1:6" x14ac:dyDescent="0.25">
      <c r="A745" t="s">
        <v>14</v>
      </c>
      <c r="B745" s="2">
        <v>42803</v>
      </c>
      <c r="C745">
        <v>2017</v>
      </c>
      <c r="E745" t="s">
        <v>6</v>
      </c>
      <c r="F745">
        <v>15.332100000000001</v>
      </c>
    </row>
    <row r="746" spans="1:6" x14ac:dyDescent="0.25">
      <c r="A746" t="s">
        <v>14</v>
      </c>
      <c r="B746" s="2">
        <v>42804</v>
      </c>
      <c r="C746">
        <v>2017</v>
      </c>
      <c r="E746" t="s">
        <v>6</v>
      </c>
      <c r="F746">
        <v>14.284599999999998</v>
      </c>
    </row>
    <row r="747" spans="1:6" x14ac:dyDescent="0.25">
      <c r="A747" t="s">
        <v>14</v>
      </c>
      <c r="B747" s="2">
        <v>42804</v>
      </c>
      <c r="C747">
        <v>2017</v>
      </c>
      <c r="E747" t="s">
        <v>6</v>
      </c>
      <c r="F747">
        <v>14.5383</v>
      </c>
    </row>
    <row r="748" spans="1:6" x14ac:dyDescent="0.25">
      <c r="A748" t="s">
        <v>14</v>
      </c>
      <c r="B748" s="2">
        <v>42816</v>
      </c>
      <c r="C748">
        <v>2017</v>
      </c>
      <c r="E748" t="s">
        <v>6</v>
      </c>
      <c r="F748">
        <v>17.3004</v>
      </c>
    </row>
    <row r="749" spans="1:6" x14ac:dyDescent="0.25">
      <c r="A749" t="s">
        <v>14</v>
      </c>
      <c r="B749" s="2">
        <v>42817</v>
      </c>
      <c r="C749">
        <v>2017</v>
      </c>
      <c r="E749" t="s">
        <v>6</v>
      </c>
      <c r="F749">
        <v>15.833999999999998</v>
      </c>
    </row>
    <row r="750" spans="1:6" x14ac:dyDescent="0.25">
      <c r="A750" t="s">
        <v>14</v>
      </c>
      <c r="B750" s="2">
        <v>42817</v>
      </c>
      <c r="C750">
        <v>2017</v>
      </c>
      <c r="E750" t="s">
        <v>6</v>
      </c>
      <c r="F750">
        <v>16.7029</v>
      </c>
    </row>
    <row r="751" spans="1:6" x14ac:dyDescent="0.25">
      <c r="A751" t="s">
        <v>14</v>
      </c>
      <c r="B751" s="2">
        <v>42817</v>
      </c>
      <c r="C751">
        <v>2017</v>
      </c>
      <c r="E751" t="s">
        <v>6</v>
      </c>
      <c r="F751">
        <v>16.610599999999998</v>
      </c>
    </row>
    <row r="752" spans="1:6" x14ac:dyDescent="0.25">
      <c r="A752" t="s">
        <v>14</v>
      </c>
      <c r="B752" s="2">
        <v>42831</v>
      </c>
      <c r="C752">
        <v>2017</v>
      </c>
      <c r="E752" t="s">
        <v>6</v>
      </c>
      <c r="F752">
        <v>20.302099999999999</v>
      </c>
    </row>
    <row r="753" spans="1:6" x14ac:dyDescent="0.25">
      <c r="A753" t="s">
        <v>14</v>
      </c>
      <c r="B753" s="2">
        <v>42832</v>
      </c>
      <c r="C753">
        <v>2017</v>
      </c>
      <c r="E753" t="s">
        <v>6</v>
      </c>
      <c r="F753">
        <v>17.552</v>
      </c>
    </row>
    <row r="754" spans="1:6" x14ac:dyDescent="0.25">
      <c r="A754" t="s">
        <v>14</v>
      </c>
      <c r="B754" s="2">
        <v>42832</v>
      </c>
      <c r="C754">
        <v>2017</v>
      </c>
      <c r="E754" t="s">
        <v>6</v>
      </c>
      <c r="F754">
        <v>18.972800000000003</v>
      </c>
    </row>
    <row r="755" spans="1:6" x14ac:dyDescent="0.25">
      <c r="A755" t="s">
        <v>14</v>
      </c>
      <c r="B755" s="2">
        <v>42832</v>
      </c>
      <c r="C755">
        <v>2017</v>
      </c>
      <c r="E755" t="s">
        <v>6</v>
      </c>
      <c r="F755">
        <v>18.937799999999999</v>
      </c>
    </row>
    <row r="756" spans="1:6" x14ac:dyDescent="0.25">
      <c r="A756" t="s">
        <v>14</v>
      </c>
      <c r="B756" s="2">
        <v>42837</v>
      </c>
      <c r="C756">
        <v>2017</v>
      </c>
      <c r="E756" t="s">
        <v>6</v>
      </c>
      <c r="F756">
        <v>20.720700000000001</v>
      </c>
    </row>
    <row r="757" spans="1:6" x14ac:dyDescent="0.25">
      <c r="A757" t="s">
        <v>14</v>
      </c>
      <c r="B757" s="2">
        <v>42838</v>
      </c>
      <c r="C757">
        <v>2017</v>
      </c>
      <c r="E757" t="s">
        <v>6</v>
      </c>
      <c r="F757">
        <v>18.531100000000002</v>
      </c>
    </row>
    <row r="758" spans="1:6" x14ac:dyDescent="0.25">
      <c r="A758" t="s">
        <v>14</v>
      </c>
      <c r="B758" s="2">
        <v>42838</v>
      </c>
      <c r="C758">
        <v>2017</v>
      </c>
      <c r="E758" t="s">
        <v>6</v>
      </c>
      <c r="F758">
        <v>19.588800000000003</v>
      </c>
    </row>
    <row r="759" spans="1:6" x14ac:dyDescent="0.25">
      <c r="A759" t="s">
        <v>14</v>
      </c>
      <c r="B759" s="2">
        <v>42838</v>
      </c>
      <c r="C759">
        <v>2017</v>
      </c>
      <c r="E759" t="s">
        <v>6</v>
      </c>
      <c r="F759">
        <v>19.1751</v>
      </c>
    </row>
    <row r="760" spans="1:6" x14ac:dyDescent="0.25">
      <c r="A760" t="s">
        <v>14</v>
      </c>
      <c r="B760" s="2">
        <v>42844</v>
      </c>
      <c r="C760">
        <v>2017</v>
      </c>
      <c r="E760" t="s">
        <v>6</v>
      </c>
      <c r="F760">
        <v>21.203699999999998</v>
      </c>
    </row>
    <row r="761" spans="1:6" x14ac:dyDescent="0.25">
      <c r="A761" t="s">
        <v>14</v>
      </c>
      <c r="B761" s="2">
        <v>42845</v>
      </c>
      <c r="C761">
        <v>2017</v>
      </c>
      <c r="E761" t="s">
        <v>6</v>
      </c>
      <c r="F761">
        <v>18.908000000000001</v>
      </c>
    </row>
    <row r="762" spans="1:6" x14ac:dyDescent="0.25">
      <c r="A762" t="s">
        <v>14</v>
      </c>
      <c r="B762" s="2">
        <v>42845</v>
      </c>
      <c r="C762">
        <v>2017</v>
      </c>
      <c r="E762" t="s">
        <v>6</v>
      </c>
      <c r="F762">
        <v>19.421499999999998</v>
      </c>
    </row>
    <row r="763" spans="1:6" x14ac:dyDescent="0.25">
      <c r="A763" t="s">
        <v>14</v>
      </c>
      <c r="B763" s="2">
        <v>42845</v>
      </c>
      <c r="C763">
        <v>2017</v>
      </c>
      <c r="E763" t="s">
        <v>6</v>
      </c>
      <c r="F763">
        <v>20.1936</v>
      </c>
    </row>
    <row r="764" spans="1:6" x14ac:dyDescent="0.25">
      <c r="A764" t="s">
        <v>14</v>
      </c>
      <c r="B764" s="2">
        <v>42853</v>
      </c>
      <c r="C764">
        <v>2017</v>
      </c>
      <c r="E764" t="s">
        <v>6</v>
      </c>
      <c r="F764">
        <v>19.071399999999997</v>
      </c>
    </row>
    <row r="765" spans="1:6" x14ac:dyDescent="0.25">
      <c r="A765" t="s">
        <v>14</v>
      </c>
      <c r="B765" s="2">
        <v>42853</v>
      </c>
      <c r="C765">
        <v>2017</v>
      </c>
      <c r="E765" t="s">
        <v>6</v>
      </c>
      <c r="F765">
        <v>20.347199999999997</v>
      </c>
    </row>
    <row r="766" spans="1:6" x14ac:dyDescent="0.25">
      <c r="A766" t="s">
        <v>14</v>
      </c>
      <c r="B766" s="2">
        <v>42853</v>
      </c>
      <c r="C766">
        <v>2017</v>
      </c>
      <c r="E766" t="s">
        <v>6</v>
      </c>
      <c r="F766">
        <v>20.553000000000001</v>
      </c>
    </row>
    <row r="767" spans="1:6" x14ac:dyDescent="0.25">
      <c r="A767" t="s">
        <v>14</v>
      </c>
      <c r="B767" s="2">
        <v>42853</v>
      </c>
      <c r="C767">
        <v>2017</v>
      </c>
      <c r="E767" t="s">
        <v>6</v>
      </c>
      <c r="F767">
        <v>22.151000000000003</v>
      </c>
    </row>
    <row r="768" spans="1:6" x14ac:dyDescent="0.25">
      <c r="A768" t="s">
        <v>14</v>
      </c>
      <c r="B768" s="2">
        <v>42858</v>
      </c>
      <c r="C768">
        <v>2017</v>
      </c>
      <c r="E768" t="s">
        <v>6</v>
      </c>
      <c r="F768">
        <v>23.3748</v>
      </c>
    </row>
    <row r="769" spans="1:6" x14ac:dyDescent="0.25">
      <c r="A769" t="s">
        <v>14</v>
      </c>
      <c r="B769" s="2">
        <v>42859</v>
      </c>
      <c r="C769">
        <v>2017</v>
      </c>
      <c r="E769" t="s">
        <v>6</v>
      </c>
      <c r="F769">
        <v>21.057599999999997</v>
      </c>
    </row>
    <row r="770" spans="1:6" x14ac:dyDescent="0.25">
      <c r="A770" t="s">
        <v>14</v>
      </c>
      <c r="B770" s="2">
        <v>42860</v>
      </c>
      <c r="C770">
        <v>2017</v>
      </c>
      <c r="E770" t="s">
        <v>6</v>
      </c>
      <c r="F770">
        <v>19.488000000000003</v>
      </c>
    </row>
    <row r="771" spans="1:6" x14ac:dyDescent="0.25">
      <c r="A771" t="s">
        <v>14</v>
      </c>
      <c r="B771" s="2">
        <v>42860</v>
      </c>
      <c r="C771">
        <v>2017</v>
      </c>
      <c r="E771" t="s">
        <v>6</v>
      </c>
      <c r="F771">
        <v>20.897999999999996</v>
      </c>
    </row>
    <row r="772" spans="1:6" x14ac:dyDescent="0.25">
      <c r="A772" t="s">
        <v>14</v>
      </c>
      <c r="B772" s="2">
        <v>42872</v>
      </c>
      <c r="C772">
        <v>2017</v>
      </c>
      <c r="E772" t="s">
        <v>6</v>
      </c>
      <c r="F772">
        <v>23.063099999999999</v>
      </c>
    </row>
    <row r="773" spans="1:6" x14ac:dyDescent="0.25">
      <c r="A773" t="s">
        <v>14</v>
      </c>
      <c r="B773" s="2">
        <v>42873</v>
      </c>
      <c r="C773">
        <v>2017</v>
      </c>
      <c r="E773" t="s">
        <v>6</v>
      </c>
      <c r="F773">
        <v>20.915199999999999</v>
      </c>
    </row>
    <row r="774" spans="1:6" x14ac:dyDescent="0.25">
      <c r="A774" t="s">
        <v>14</v>
      </c>
      <c r="B774" s="2">
        <v>42873</v>
      </c>
      <c r="C774">
        <v>2017</v>
      </c>
      <c r="E774" t="s">
        <v>6</v>
      </c>
      <c r="F774">
        <v>21.977199999999996</v>
      </c>
    </row>
    <row r="775" spans="1:6" x14ac:dyDescent="0.25">
      <c r="A775" t="s">
        <v>14</v>
      </c>
      <c r="B775" s="2">
        <v>42873</v>
      </c>
      <c r="C775">
        <v>2017</v>
      </c>
      <c r="E775" t="s">
        <v>6</v>
      </c>
      <c r="F775">
        <v>21.648000000000003</v>
      </c>
    </row>
    <row r="776" spans="1:6" x14ac:dyDescent="0.25">
      <c r="A776" t="s">
        <v>14</v>
      </c>
      <c r="B776" s="2">
        <v>42886</v>
      </c>
      <c r="C776">
        <v>2017</v>
      </c>
      <c r="E776" t="s">
        <v>6</v>
      </c>
      <c r="F776">
        <v>23.957999999999998</v>
      </c>
    </row>
    <row r="777" spans="1:6" x14ac:dyDescent="0.25">
      <c r="A777" t="s">
        <v>14</v>
      </c>
      <c r="B777" s="2">
        <v>42887</v>
      </c>
      <c r="C777">
        <v>2017</v>
      </c>
      <c r="E777" t="s">
        <v>6</v>
      </c>
      <c r="F777">
        <v>20.253599999999999</v>
      </c>
    </row>
    <row r="778" spans="1:6" x14ac:dyDescent="0.25">
      <c r="A778" t="s">
        <v>14</v>
      </c>
      <c r="B778" s="2">
        <v>42887</v>
      </c>
      <c r="C778">
        <v>2017</v>
      </c>
      <c r="E778" t="s">
        <v>6</v>
      </c>
      <c r="F778">
        <v>22.2911</v>
      </c>
    </row>
    <row r="779" spans="1:6" x14ac:dyDescent="0.25">
      <c r="A779" t="s">
        <v>14</v>
      </c>
      <c r="B779" s="2">
        <v>42887</v>
      </c>
      <c r="C779">
        <v>2017</v>
      </c>
      <c r="E779" t="s">
        <v>6</v>
      </c>
      <c r="F779">
        <v>22.445999999999998</v>
      </c>
    </row>
    <row r="780" spans="1:6" x14ac:dyDescent="0.25">
      <c r="A780" t="s">
        <v>14</v>
      </c>
      <c r="B780" s="2">
        <v>42893</v>
      </c>
      <c r="C780">
        <v>2017</v>
      </c>
      <c r="E780" t="s">
        <v>6</v>
      </c>
      <c r="F780">
        <v>21.300999999999998</v>
      </c>
    </row>
    <row r="781" spans="1:6" x14ac:dyDescent="0.25">
      <c r="A781" t="s">
        <v>14</v>
      </c>
      <c r="B781" s="2">
        <v>42893</v>
      </c>
      <c r="C781">
        <v>2017</v>
      </c>
      <c r="E781" t="s">
        <v>6</v>
      </c>
      <c r="F781">
        <v>21.573600000000003</v>
      </c>
    </row>
    <row r="782" spans="1:6" x14ac:dyDescent="0.25">
      <c r="A782" t="s">
        <v>14</v>
      </c>
      <c r="B782" s="2">
        <v>42894</v>
      </c>
      <c r="C782">
        <v>2017</v>
      </c>
      <c r="E782" t="s">
        <v>6</v>
      </c>
      <c r="F782">
        <v>23.470199999999998</v>
      </c>
    </row>
    <row r="783" spans="1:6" x14ac:dyDescent="0.25">
      <c r="A783" t="s">
        <v>14</v>
      </c>
      <c r="B783" s="2">
        <v>42907</v>
      </c>
      <c r="C783">
        <v>2017</v>
      </c>
      <c r="E783" t="s">
        <v>6</v>
      </c>
      <c r="F783">
        <v>20.5625</v>
      </c>
    </row>
    <row r="784" spans="1:6" x14ac:dyDescent="0.25">
      <c r="A784" t="s">
        <v>14</v>
      </c>
      <c r="B784" s="2">
        <v>42907</v>
      </c>
      <c r="C784">
        <v>2017</v>
      </c>
      <c r="E784" t="s">
        <v>6</v>
      </c>
      <c r="F784">
        <v>21.905999999999999</v>
      </c>
    </row>
    <row r="785" spans="1:6" x14ac:dyDescent="0.25">
      <c r="A785" t="s">
        <v>14</v>
      </c>
      <c r="B785" s="2">
        <v>42908</v>
      </c>
      <c r="C785">
        <v>2017</v>
      </c>
      <c r="E785" t="s">
        <v>6</v>
      </c>
      <c r="F785">
        <v>23.157800000000002</v>
      </c>
    </row>
    <row r="786" spans="1:6" x14ac:dyDescent="0.25">
      <c r="A786" t="s">
        <v>15</v>
      </c>
      <c r="B786" s="2">
        <v>43116</v>
      </c>
      <c r="C786">
        <v>2018</v>
      </c>
      <c r="E786" t="s">
        <v>6</v>
      </c>
      <c r="F786">
        <v>4.8048000000000002</v>
      </c>
    </row>
    <row r="787" spans="1:6" x14ac:dyDescent="0.25">
      <c r="A787" t="s">
        <v>15</v>
      </c>
      <c r="B787" s="2">
        <v>43116</v>
      </c>
      <c r="C787">
        <v>2018</v>
      </c>
      <c r="E787" t="s">
        <v>6</v>
      </c>
      <c r="F787">
        <v>3.8827999999999996</v>
      </c>
    </row>
    <row r="788" spans="1:6" x14ac:dyDescent="0.25">
      <c r="A788" t="s">
        <v>15</v>
      </c>
      <c r="B788" s="2">
        <v>43151</v>
      </c>
      <c r="C788">
        <v>2018</v>
      </c>
      <c r="E788" t="s">
        <v>6</v>
      </c>
      <c r="F788">
        <v>10.344599999999998</v>
      </c>
    </row>
    <row r="789" spans="1:6" x14ac:dyDescent="0.25">
      <c r="A789" t="s">
        <v>15</v>
      </c>
      <c r="B789" s="2">
        <v>43151</v>
      </c>
      <c r="C789">
        <v>2018</v>
      </c>
      <c r="E789" t="s">
        <v>6</v>
      </c>
      <c r="F789">
        <v>9.0858000000000008</v>
      </c>
    </row>
    <row r="790" spans="1:6" x14ac:dyDescent="0.25">
      <c r="A790" t="s">
        <v>15</v>
      </c>
      <c r="B790" s="2">
        <v>43165</v>
      </c>
      <c r="C790">
        <v>2018</v>
      </c>
      <c r="E790" t="s">
        <v>6</v>
      </c>
      <c r="F790">
        <v>12.855700000000002</v>
      </c>
    </row>
    <row r="791" spans="1:6" x14ac:dyDescent="0.25">
      <c r="A791" t="s">
        <v>15</v>
      </c>
      <c r="B791" s="2">
        <v>43165</v>
      </c>
      <c r="C791">
        <v>2018</v>
      </c>
      <c r="E791" t="s">
        <v>6</v>
      </c>
      <c r="F791">
        <v>11.650799999999998</v>
      </c>
    </row>
    <row r="792" spans="1:6" x14ac:dyDescent="0.25">
      <c r="A792" t="s">
        <v>15</v>
      </c>
      <c r="B792" s="2">
        <v>43179</v>
      </c>
      <c r="C792">
        <v>2018</v>
      </c>
      <c r="E792" t="s">
        <v>6</v>
      </c>
      <c r="F792">
        <v>14.632400000000001</v>
      </c>
    </row>
    <row r="793" spans="1:6" x14ac:dyDescent="0.25">
      <c r="A793" t="s">
        <v>15</v>
      </c>
      <c r="B793" s="2">
        <v>43179</v>
      </c>
      <c r="C793">
        <v>2018</v>
      </c>
      <c r="E793" t="s">
        <v>6</v>
      </c>
      <c r="F793">
        <v>13.244699999999998</v>
      </c>
    </row>
    <row r="794" spans="1:6" x14ac:dyDescent="0.25">
      <c r="A794" t="s">
        <v>15</v>
      </c>
      <c r="B794" s="2">
        <v>43195</v>
      </c>
      <c r="C794">
        <v>2018</v>
      </c>
      <c r="E794" t="s">
        <v>6</v>
      </c>
      <c r="F794">
        <v>16.777199999999997</v>
      </c>
    </row>
    <row r="795" spans="1:6" x14ac:dyDescent="0.25">
      <c r="A795" t="s">
        <v>15</v>
      </c>
      <c r="B795" s="2">
        <v>43195</v>
      </c>
      <c r="C795">
        <v>2018</v>
      </c>
      <c r="E795" t="s">
        <v>6</v>
      </c>
      <c r="F795">
        <v>15.1228</v>
      </c>
    </row>
    <row r="796" spans="1:6" x14ac:dyDescent="0.25">
      <c r="A796" t="s">
        <v>15</v>
      </c>
      <c r="B796" s="2">
        <v>43201</v>
      </c>
      <c r="C796">
        <v>2018</v>
      </c>
      <c r="E796" t="s">
        <v>6</v>
      </c>
      <c r="F796">
        <v>17.513000000000002</v>
      </c>
    </row>
    <row r="797" spans="1:6" x14ac:dyDescent="0.25">
      <c r="A797" t="s">
        <v>15</v>
      </c>
      <c r="B797" s="2">
        <v>43201</v>
      </c>
      <c r="C797">
        <v>2018</v>
      </c>
      <c r="E797" t="s">
        <v>6</v>
      </c>
      <c r="F797">
        <v>15.6104</v>
      </c>
    </row>
    <row r="798" spans="1:6" x14ac:dyDescent="0.25">
      <c r="A798" t="s">
        <v>15</v>
      </c>
      <c r="B798" s="2">
        <v>43209</v>
      </c>
      <c r="C798">
        <v>2018</v>
      </c>
      <c r="E798" t="s">
        <v>6</v>
      </c>
      <c r="F798">
        <v>18.920000000000002</v>
      </c>
    </row>
    <row r="799" spans="1:6" x14ac:dyDescent="0.25">
      <c r="A799" t="s">
        <v>15</v>
      </c>
      <c r="B799" s="2">
        <v>43209</v>
      </c>
      <c r="C799">
        <v>2018</v>
      </c>
      <c r="E799" t="s">
        <v>6</v>
      </c>
      <c r="F799">
        <v>15.888</v>
      </c>
    </row>
    <row r="800" spans="1:6" x14ac:dyDescent="0.25">
      <c r="A800" t="s">
        <v>15</v>
      </c>
      <c r="B800" s="2">
        <v>43215</v>
      </c>
      <c r="C800">
        <v>2018</v>
      </c>
      <c r="E800" t="s">
        <v>6</v>
      </c>
      <c r="F800">
        <v>19.357200000000002</v>
      </c>
    </row>
    <row r="801" spans="1:6" x14ac:dyDescent="0.25">
      <c r="A801" t="s">
        <v>15</v>
      </c>
      <c r="B801" s="2">
        <v>43215</v>
      </c>
      <c r="C801">
        <v>2018</v>
      </c>
      <c r="E801" t="s">
        <v>6</v>
      </c>
      <c r="F801">
        <v>17.024000000000001</v>
      </c>
    </row>
    <row r="802" spans="1:6" x14ac:dyDescent="0.25">
      <c r="A802" t="s">
        <v>15</v>
      </c>
      <c r="B802" s="2">
        <v>43221</v>
      </c>
      <c r="C802">
        <v>2018</v>
      </c>
      <c r="E802" t="s">
        <v>6</v>
      </c>
      <c r="F802">
        <v>20.462399999999999</v>
      </c>
    </row>
    <row r="803" spans="1:6" x14ac:dyDescent="0.25">
      <c r="A803" t="s">
        <v>15</v>
      </c>
      <c r="B803" s="2">
        <v>43221</v>
      </c>
      <c r="C803">
        <v>2018</v>
      </c>
      <c r="E803" t="s">
        <v>6</v>
      </c>
      <c r="F803">
        <v>18.094000000000001</v>
      </c>
    </row>
    <row r="804" spans="1:6" x14ac:dyDescent="0.25">
      <c r="A804" t="s">
        <v>15</v>
      </c>
      <c r="B804" s="2">
        <v>43235</v>
      </c>
      <c r="C804">
        <v>2018</v>
      </c>
      <c r="E804" t="s">
        <v>6</v>
      </c>
      <c r="F804">
        <v>20.833099999999998</v>
      </c>
    </row>
    <row r="805" spans="1:6" x14ac:dyDescent="0.25">
      <c r="A805" t="s">
        <v>15</v>
      </c>
      <c r="B805" s="2">
        <v>43235</v>
      </c>
      <c r="C805">
        <v>2018</v>
      </c>
      <c r="E805" t="s">
        <v>6</v>
      </c>
      <c r="F805">
        <v>17.977800000000002</v>
      </c>
    </row>
    <row r="806" spans="1:6" x14ac:dyDescent="0.25">
      <c r="A806" t="s">
        <v>15</v>
      </c>
      <c r="B806" s="2">
        <v>43249</v>
      </c>
      <c r="C806">
        <v>2018</v>
      </c>
      <c r="E806" t="s">
        <v>6</v>
      </c>
      <c r="F806">
        <v>20.935199999999998</v>
      </c>
    </row>
    <row r="807" spans="1:6" x14ac:dyDescent="0.25">
      <c r="A807" t="s">
        <v>15</v>
      </c>
      <c r="B807" s="2">
        <v>43249</v>
      </c>
      <c r="C807">
        <v>2018</v>
      </c>
      <c r="E807" t="s">
        <v>6</v>
      </c>
      <c r="F807">
        <v>18.2515</v>
      </c>
    </row>
    <row r="808" spans="1:6" x14ac:dyDescent="0.25">
      <c r="A808" t="s">
        <v>15</v>
      </c>
      <c r="B808" s="2">
        <v>43116</v>
      </c>
      <c r="C808">
        <v>2018</v>
      </c>
      <c r="E808" t="s">
        <v>6</v>
      </c>
      <c r="F808">
        <v>4.3664999999999994</v>
      </c>
    </row>
    <row r="809" spans="1:6" x14ac:dyDescent="0.25">
      <c r="A809" t="s">
        <v>15</v>
      </c>
      <c r="B809" s="2">
        <v>43151</v>
      </c>
      <c r="C809">
        <v>2018</v>
      </c>
      <c r="E809" t="s">
        <v>6</v>
      </c>
      <c r="F809">
        <v>9.3225000000000016</v>
      </c>
    </row>
    <row r="810" spans="1:6" x14ac:dyDescent="0.25">
      <c r="A810" t="s">
        <v>15</v>
      </c>
      <c r="B810" s="2">
        <v>43165</v>
      </c>
      <c r="C810">
        <v>2018</v>
      </c>
      <c r="E810" t="s">
        <v>6</v>
      </c>
      <c r="F810">
        <v>12.8369</v>
      </c>
    </row>
    <row r="811" spans="1:6" x14ac:dyDescent="0.25">
      <c r="A811" t="s">
        <v>15</v>
      </c>
      <c r="B811" s="2">
        <v>43179</v>
      </c>
      <c r="C811">
        <v>2018</v>
      </c>
      <c r="E811" t="s">
        <v>6</v>
      </c>
      <c r="F811">
        <v>14.657400000000001</v>
      </c>
    </row>
    <row r="812" spans="1:6" x14ac:dyDescent="0.25">
      <c r="A812" t="s">
        <v>15</v>
      </c>
      <c r="B812" s="2">
        <v>43194</v>
      </c>
      <c r="C812">
        <v>2018</v>
      </c>
      <c r="E812" t="s">
        <v>6</v>
      </c>
      <c r="F812">
        <v>16.758600000000001</v>
      </c>
    </row>
    <row r="813" spans="1:6" x14ac:dyDescent="0.25">
      <c r="A813" t="s">
        <v>15</v>
      </c>
      <c r="B813" s="2">
        <v>43201</v>
      </c>
      <c r="C813">
        <v>2018</v>
      </c>
      <c r="E813" t="s">
        <v>6</v>
      </c>
      <c r="F813">
        <v>17.236800000000002</v>
      </c>
    </row>
    <row r="814" spans="1:6" x14ac:dyDescent="0.25">
      <c r="A814" t="s">
        <v>15</v>
      </c>
      <c r="B814" s="2">
        <v>43209</v>
      </c>
      <c r="C814">
        <v>2018</v>
      </c>
      <c r="E814" t="s">
        <v>6</v>
      </c>
      <c r="F814">
        <v>17.750700000000002</v>
      </c>
    </row>
    <row r="815" spans="1:6" x14ac:dyDescent="0.25">
      <c r="A815" t="s">
        <v>15</v>
      </c>
      <c r="B815" s="2">
        <v>43215</v>
      </c>
      <c r="C815">
        <v>2018</v>
      </c>
      <c r="E815" t="s">
        <v>6</v>
      </c>
      <c r="F815">
        <v>18.916800000000002</v>
      </c>
    </row>
    <row r="816" spans="1:6" x14ac:dyDescent="0.25">
      <c r="A816" t="s">
        <v>15</v>
      </c>
      <c r="B816" s="2">
        <v>43221</v>
      </c>
      <c r="C816">
        <v>2018</v>
      </c>
      <c r="E816" t="s">
        <v>6</v>
      </c>
      <c r="F816">
        <v>19.771000000000001</v>
      </c>
    </row>
    <row r="817" spans="1:6" x14ac:dyDescent="0.25">
      <c r="A817" t="s">
        <v>15</v>
      </c>
      <c r="B817" s="2">
        <v>43235</v>
      </c>
      <c r="C817">
        <v>2018</v>
      </c>
      <c r="E817" t="s">
        <v>6</v>
      </c>
      <c r="F817">
        <v>19.929600000000001</v>
      </c>
    </row>
    <row r="818" spans="1:6" x14ac:dyDescent="0.25">
      <c r="A818" t="s">
        <v>15</v>
      </c>
      <c r="B818" s="2">
        <v>43249</v>
      </c>
      <c r="C818">
        <v>2018</v>
      </c>
      <c r="E818" t="s">
        <v>6</v>
      </c>
      <c r="F818">
        <v>20.310400000000001</v>
      </c>
    </row>
    <row r="819" spans="1:6" x14ac:dyDescent="0.25">
      <c r="A819" t="s">
        <v>15</v>
      </c>
      <c r="B819" s="2">
        <v>43115</v>
      </c>
      <c r="C819">
        <v>2018</v>
      </c>
      <c r="E819" t="s">
        <v>6</v>
      </c>
      <c r="F819">
        <v>4.2911999999999999</v>
      </c>
    </row>
    <row r="820" spans="1:6" x14ac:dyDescent="0.25">
      <c r="A820" t="s">
        <v>15</v>
      </c>
      <c r="B820" s="2">
        <v>43115</v>
      </c>
      <c r="C820">
        <v>2018</v>
      </c>
      <c r="E820" t="s">
        <v>6</v>
      </c>
      <c r="F820">
        <v>5.2806000000000006</v>
      </c>
    </row>
    <row r="821" spans="1:6" x14ac:dyDescent="0.25">
      <c r="A821" t="s">
        <v>15</v>
      </c>
      <c r="B821" s="2">
        <v>43116</v>
      </c>
      <c r="C821">
        <v>2018</v>
      </c>
      <c r="E821" t="s">
        <v>6</v>
      </c>
      <c r="F821">
        <v>4.6694000000000004</v>
      </c>
    </row>
    <row r="822" spans="1:6" x14ac:dyDescent="0.25">
      <c r="A822" t="s">
        <v>15</v>
      </c>
      <c r="B822" s="2">
        <v>43116</v>
      </c>
      <c r="C822">
        <v>2018</v>
      </c>
      <c r="E822" t="s">
        <v>6</v>
      </c>
      <c r="F822">
        <v>5.0616000000000012</v>
      </c>
    </row>
    <row r="823" spans="1:6" x14ac:dyDescent="0.25">
      <c r="A823" t="s">
        <v>15</v>
      </c>
      <c r="B823" s="2">
        <v>43150</v>
      </c>
      <c r="C823">
        <v>2018</v>
      </c>
      <c r="E823" t="s">
        <v>6</v>
      </c>
      <c r="F823">
        <v>9.9429999999999996</v>
      </c>
    </row>
    <row r="824" spans="1:6" x14ac:dyDescent="0.25">
      <c r="A824" t="s">
        <v>15</v>
      </c>
      <c r="B824" s="2">
        <v>43150</v>
      </c>
      <c r="C824">
        <v>2018</v>
      </c>
      <c r="E824" t="s">
        <v>6</v>
      </c>
      <c r="F824">
        <v>10.384</v>
      </c>
    </row>
    <row r="825" spans="1:6" x14ac:dyDescent="0.25">
      <c r="A825" t="s">
        <v>15</v>
      </c>
      <c r="B825" s="2">
        <v>43151</v>
      </c>
      <c r="C825">
        <v>2018</v>
      </c>
      <c r="E825" t="s">
        <v>6</v>
      </c>
      <c r="F825">
        <v>8.9551999999999996</v>
      </c>
    </row>
    <row r="826" spans="1:6" x14ac:dyDescent="0.25">
      <c r="A826" t="s">
        <v>15</v>
      </c>
      <c r="B826" s="2">
        <v>43151</v>
      </c>
      <c r="C826">
        <v>2018</v>
      </c>
      <c r="E826" t="s">
        <v>6</v>
      </c>
      <c r="F826">
        <v>10.104000000000001</v>
      </c>
    </row>
    <row r="827" spans="1:6" x14ac:dyDescent="0.25">
      <c r="A827" t="s">
        <v>15</v>
      </c>
      <c r="B827" s="2">
        <v>43164</v>
      </c>
      <c r="C827">
        <v>2018</v>
      </c>
      <c r="E827" t="s">
        <v>6</v>
      </c>
      <c r="F827">
        <v>12.623800000000001</v>
      </c>
    </row>
    <row r="828" spans="1:6" x14ac:dyDescent="0.25">
      <c r="A828" t="s">
        <v>15</v>
      </c>
      <c r="B828" s="2">
        <v>43164</v>
      </c>
      <c r="C828">
        <v>2018</v>
      </c>
      <c r="E828" t="s">
        <v>6</v>
      </c>
      <c r="F828">
        <v>13.277000000000001</v>
      </c>
    </row>
    <row r="829" spans="1:6" x14ac:dyDescent="0.25">
      <c r="A829" t="s">
        <v>15</v>
      </c>
      <c r="B829" s="2">
        <v>43165</v>
      </c>
      <c r="C829">
        <v>2018</v>
      </c>
      <c r="E829" t="s">
        <v>6</v>
      </c>
      <c r="F829">
        <v>11.276800000000001</v>
      </c>
    </row>
    <row r="830" spans="1:6" x14ac:dyDescent="0.25">
      <c r="A830" t="s">
        <v>15</v>
      </c>
      <c r="B830" s="2">
        <v>43165</v>
      </c>
      <c r="C830">
        <v>2018</v>
      </c>
      <c r="E830" t="s">
        <v>6</v>
      </c>
      <c r="F830">
        <v>13.3527</v>
      </c>
    </row>
    <row r="831" spans="1:6" x14ac:dyDescent="0.25">
      <c r="A831" t="s">
        <v>15</v>
      </c>
      <c r="B831" s="2">
        <v>43178</v>
      </c>
      <c r="C831">
        <v>2018</v>
      </c>
      <c r="E831" t="s">
        <v>6</v>
      </c>
      <c r="F831">
        <v>14.0128</v>
      </c>
    </row>
    <row r="832" spans="1:6" x14ac:dyDescent="0.25">
      <c r="A832" t="s">
        <v>15</v>
      </c>
      <c r="B832" s="2">
        <v>43178</v>
      </c>
      <c r="C832">
        <v>2018</v>
      </c>
      <c r="E832" t="s">
        <v>6</v>
      </c>
      <c r="F832">
        <v>15.7628</v>
      </c>
    </row>
    <row r="833" spans="1:6" x14ac:dyDescent="0.25">
      <c r="A833" t="s">
        <v>15</v>
      </c>
      <c r="B833" s="2">
        <v>43179</v>
      </c>
      <c r="C833">
        <v>2018</v>
      </c>
      <c r="E833" t="s">
        <v>6</v>
      </c>
      <c r="F833">
        <v>13.127099999999999</v>
      </c>
    </row>
    <row r="834" spans="1:6" x14ac:dyDescent="0.25">
      <c r="A834" t="s">
        <v>15</v>
      </c>
      <c r="B834" s="2">
        <v>43179</v>
      </c>
      <c r="C834">
        <v>2018</v>
      </c>
      <c r="E834" t="s">
        <v>6</v>
      </c>
      <c r="F834">
        <v>14.7339</v>
      </c>
    </row>
    <row r="835" spans="1:6" x14ac:dyDescent="0.25">
      <c r="A835" t="s">
        <v>15</v>
      </c>
      <c r="B835" s="2">
        <v>43194</v>
      </c>
      <c r="C835">
        <v>2018</v>
      </c>
      <c r="E835" t="s">
        <v>6</v>
      </c>
      <c r="F835">
        <v>16.005600000000001</v>
      </c>
    </row>
    <row r="836" spans="1:6" x14ac:dyDescent="0.25">
      <c r="A836" t="s">
        <v>15</v>
      </c>
      <c r="B836" s="2">
        <v>43194</v>
      </c>
      <c r="C836">
        <v>2018</v>
      </c>
      <c r="E836" t="s">
        <v>6</v>
      </c>
      <c r="F836">
        <v>18.276600000000002</v>
      </c>
    </row>
    <row r="837" spans="1:6" x14ac:dyDescent="0.25">
      <c r="A837" t="s">
        <v>15</v>
      </c>
      <c r="B837" s="2">
        <v>43195</v>
      </c>
      <c r="C837">
        <v>2018</v>
      </c>
      <c r="E837" t="s">
        <v>6</v>
      </c>
      <c r="F837">
        <v>14.439400000000001</v>
      </c>
    </row>
    <row r="838" spans="1:6" x14ac:dyDescent="0.25">
      <c r="A838" t="s">
        <v>15</v>
      </c>
      <c r="B838" s="2">
        <v>43195</v>
      </c>
      <c r="C838">
        <v>2018</v>
      </c>
      <c r="E838" t="s">
        <v>6</v>
      </c>
      <c r="F838">
        <v>16.700600000000001</v>
      </c>
    </row>
    <row r="839" spans="1:6" x14ac:dyDescent="0.25">
      <c r="A839" t="s">
        <v>15</v>
      </c>
      <c r="B839" s="2">
        <v>43200</v>
      </c>
      <c r="C839">
        <v>2018</v>
      </c>
      <c r="E839" t="s">
        <v>6</v>
      </c>
      <c r="F839">
        <v>16.164400000000004</v>
      </c>
    </row>
    <row r="840" spans="1:6" x14ac:dyDescent="0.25">
      <c r="A840" t="s">
        <v>15</v>
      </c>
      <c r="B840" s="2">
        <v>43200</v>
      </c>
      <c r="C840">
        <v>2018</v>
      </c>
      <c r="E840" t="s">
        <v>6</v>
      </c>
      <c r="F840">
        <v>18.335199999999997</v>
      </c>
    </row>
    <row r="841" spans="1:6" x14ac:dyDescent="0.25">
      <c r="A841" t="s">
        <v>15</v>
      </c>
      <c r="B841" s="2">
        <v>43201</v>
      </c>
      <c r="C841">
        <v>2018</v>
      </c>
      <c r="E841" t="s">
        <v>6</v>
      </c>
      <c r="F841">
        <v>14.702199999999999</v>
      </c>
    </row>
    <row r="842" spans="1:6" x14ac:dyDescent="0.25">
      <c r="A842" t="s">
        <v>15</v>
      </c>
      <c r="B842" s="2">
        <v>43201</v>
      </c>
      <c r="C842">
        <v>2018</v>
      </c>
      <c r="E842" t="s">
        <v>6</v>
      </c>
      <c r="F842">
        <v>17.832200000000004</v>
      </c>
    </row>
    <row r="843" spans="1:6" x14ac:dyDescent="0.25">
      <c r="A843" t="s">
        <v>15</v>
      </c>
      <c r="B843" s="2">
        <v>43206</v>
      </c>
      <c r="C843">
        <v>2018</v>
      </c>
      <c r="E843" t="s">
        <v>6</v>
      </c>
      <c r="F843">
        <v>16.367999999999999</v>
      </c>
    </row>
    <row r="844" spans="1:6" x14ac:dyDescent="0.25">
      <c r="A844" t="s">
        <v>15</v>
      </c>
      <c r="B844" s="2">
        <v>43206</v>
      </c>
      <c r="C844">
        <v>2018</v>
      </c>
      <c r="E844" t="s">
        <v>6</v>
      </c>
      <c r="F844">
        <v>18.904</v>
      </c>
    </row>
    <row r="845" spans="1:6" x14ac:dyDescent="0.25">
      <c r="A845" t="s">
        <v>15</v>
      </c>
      <c r="B845" s="2">
        <v>43209</v>
      </c>
      <c r="C845">
        <v>2018</v>
      </c>
      <c r="E845" t="s">
        <v>6</v>
      </c>
      <c r="F845">
        <v>15.820200000000002</v>
      </c>
    </row>
    <row r="846" spans="1:6" x14ac:dyDescent="0.25">
      <c r="A846" t="s">
        <v>15</v>
      </c>
      <c r="B846" s="2">
        <v>43209</v>
      </c>
      <c r="C846">
        <v>2018</v>
      </c>
      <c r="E846" t="s">
        <v>6</v>
      </c>
      <c r="F846">
        <v>18.990400000000001</v>
      </c>
    </row>
    <row r="847" spans="1:6" x14ac:dyDescent="0.25">
      <c r="A847" t="s">
        <v>15</v>
      </c>
      <c r="B847" s="2">
        <v>43215</v>
      </c>
      <c r="C847">
        <v>2018</v>
      </c>
      <c r="E847" t="s">
        <v>6</v>
      </c>
      <c r="F847">
        <v>15.709200000000001</v>
      </c>
    </row>
    <row r="848" spans="1:6" x14ac:dyDescent="0.25">
      <c r="A848" t="s">
        <v>15</v>
      </c>
      <c r="B848" s="2">
        <v>43215</v>
      </c>
      <c r="C848">
        <v>2018</v>
      </c>
      <c r="E848" t="s">
        <v>6</v>
      </c>
      <c r="F848">
        <v>17.629200000000004</v>
      </c>
    </row>
    <row r="849" spans="1:6" x14ac:dyDescent="0.25">
      <c r="A849" t="s">
        <v>15</v>
      </c>
      <c r="B849" s="2">
        <v>43215</v>
      </c>
      <c r="C849">
        <v>2018</v>
      </c>
      <c r="E849" t="s">
        <v>6</v>
      </c>
      <c r="F849">
        <v>20.212200000000003</v>
      </c>
    </row>
    <row r="850" spans="1:6" x14ac:dyDescent="0.25">
      <c r="A850" t="s">
        <v>15</v>
      </c>
      <c r="B850" s="2">
        <v>43215</v>
      </c>
      <c r="C850">
        <v>2018</v>
      </c>
      <c r="E850" t="s">
        <v>6</v>
      </c>
      <c r="F850">
        <v>19.511100000000003</v>
      </c>
    </row>
    <row r="851" spans="1:6" x14ac:dyDescent="0.25">
      <c r="A851" t="s">
        <v>15</v>
      </c>
      <c r="B851" s="2">
        <v>43221</v>
      </c>
      <c r="C851">
        <v>2018</v>
      </c>
      <c r="E851" t="s">
        <v>6</v>
      </c>
      <c r="F851">
        <v>17.254300000000001</v>
      </c>
    </row>
    <row r="852" spans="1:6" x14ac:dyDescent="0.25">
      <c r="A852" t="s">
        <v>15</v>
      </c>
      <c r="B852" s="2">
        <v>43221</v>
      </c>
      <c r="C852">
        <v>2018</v>
      </c>
      <c r="E852" t="s">
        <v>6</v>
      </c>
      <c r="F852">
        <v>18.990400000000001</v>
      </c>
    </row>
    <row r="853" spans="1:6" x14ac:dyDescent="0.25">
      <c r="A853" t="s">
        <v>15</v>
      </c>
      <c r="B853" s="2">
        <v>43221</v>
      </c>
      <c r="C853">
        <v>2018</v>
      </c>
      <c r="E853" t="s">
        <v>6</v>
      </c>
      <c r="F853">
        <v>20.213000000000001</v>
      </c>
    </row>
    <row r="854" spans="1:6" x14ac:dyDescent="0.25">
      <c r="A854" t="s">
        <v>15</v>
      </c>
      <c r="B854" s="2">
        <v>43221</v>
      </c>
      <c r="C854">
        <v>2018</v>
      </c>
      <c r="E854" t="s">
        <v>6</v>
      </c>
      <c r="F854">
        <v>20.743199999999998</v>
      </c>
    </row>
    <row r="855" spans="1:6" x14ac:dyDescent="0.25">
      <c r="A855" t="s">
        <v>15</v>
      </c>
      <c r="B855" s="2">
        <v>43234</v>
      </c>
      <c r="C855">
        <v>2018</v>
      </c>
      <c r="E855" t="s">
        <v>6</v>
      </c>
      <c r="F855">
        <v>18.177</v>
      </c>
    </row>
    <row r="856" spans="1:6" x14ac:dyDescent="0.25">
      <c r="A856" t="s">
        <v>15</v>
      </c>
      <c r="B856" s="2">
        <v>43234</v>
      </c>
      <c r="C856">
        <v>2018</v>
      </c>
      <c r="E856" t="s">
        <v>6</v>
      </c>
      <c r="F856">
        <v>21.1936</v>
      </c>
    </row>
    <row r="857" spans="1:6" x14ac:dyDescent="0.25">
      <c r="A857" t="s">
        <v>15</v>
      </c>
      <c r="B857" s="2">
        <v>43235</v>
      </c>
      <c r="C857">
        <v>2018</v>
      </c>
      <c r="E857" t="s">
        <v>6</v>
      </c>
      <c r="F857">
        <v>17.12</v>
      </c>
    </row>
    <row r="858" spans="1:6" x14ac:dyDescent="0.25">
      <c r="A858" t="s">
        <v>15</v>
      </c>
      <c r="B858" s="2">
        <v>43235</v>
      </c>
      <c r="C858">
        <v>2018</v>
      </c>
      <c r="E858" t="s">
        <v>6</v>
      </c>
      <c r="F858">
        <v>20.638199999999998</v>
      </c>
    </row>
    <row r="859" spans="1:6" x14ac:dyDescent="0.25">
      <c r="A859" t="s">
        <v>15</v>
      </c>
      <c r="B859" s="2">
        <v>43248</v>
      </c>
      <c r="C859">
        <v>2018</v>
      </c>
      <c r="E859" t="s">
        <v>6</v>
      </c>
      <c r="F859">
        <v>19.418800000000001</v>
      </c>
    </row>
    <row r="860" spans="1:6" x14ac:dyDescent="0.25">
      <c r="A860" t="s">
        <v>15</v>
      </c>
      <c r="B860" s="2">
        <v>43248</v>
      </c>
      <c r="C860">
        <v>2018</v>
      </c>
      <c r="E860" t="s">
        <v>6</v>
      </c>
      <c r="F860">
        <v>21.730399999999996</v>
      </c>
    </row>
    <row r="861" spans="1:6" x14ac:dyDescent="0.25">
      <c r="A861" t="s">
        <v>15</v>
      </c>
      <c r="B861" s="2">
        <v>43249</v>
      </c>
      <c r="C861">
        <v>2018</v>
      </c>
      <c r="E861" t="s">
        <v>6</v>
      </c>
      <c r="F861">
        <v>17.313800000000001</v>
      </c>
    </row>
    <row r="862" spans="1:6" x14ac:dyDescent="0.25">
      <c r="A862" t="s">
        <v>15</v>
      </c>
      <c r="B862" s="2">
        <v>43249</v>
      </c>
      <c r="C862">
        <v>2018</v>
      </c>
      <c r="E862" t="s">
        <v>6</v>
      </c>
      <c r="F862">
        <v>21.0396</v>
      </c>
    </row>
    <row r="863" spans="1:6" x14ac:dyDescent="0.25">
      <c r="A863" t="s">
        <v>16</v>
      </c>
      <c r="B863" s="2">
        <v>43479</v>
      </c>
      <c r="C863">
        <v>2019</v>
      </c>
      <c r="E863" t="s">
        <v>6</v>
      </c>
      <c r="F863">
        <v>3.7132999999999998</v>
      </c>
    </row>
    <row r="864" spans="1:6" x14ac:dyDescent="0.25">
      <c r="A864" t="s">
        <v>16</v>
      </c>
      <c r="B864" s="2">
        <v>43515</v>
      </c>
      <c r="C864">
        <v>2019</v>
      </c>
      <c r="E864" t="s">
        <v>6</v>
      </c>
      <c r="F864">
        <v>9.0846</v>
      </c>
    </row>
    <row r="865" spans="1:6" x14ac:dyDescent="0.25">
      <c r="A865" t="s">
        <v>16</v>
      </c>
      <c r="B865" s="2">
        <v>43529</v>
      </c>
      <c r="C865">
        <v>2019</v>
      </c>
      <c r="E865" t="s">
        <v>6</v>
      </c>
      <c r="F865">
        <v>11.282700000000002</v>
      </c>
    </row>
    <row r="866" spans="1:6" x14ac:dyDescent="0.25">
      <c r="A866" t="s">
        <v>16</v>
      </c>
      <c r="B866" s="2">
        <v>43543</v>
      </c>
      <c r="C866">
        <v>2019</v>
      </c>
      <c r="E866" t="s">
        <v>6</v>
      </c>
      <c r="F866">
        <v>14.1492</v>
      </c>
    </row>
    <row r="867" spans="1:6" x14ac:dyDescent="0.25">
      <c r="A867" t="s">
        <v>16</v>
      </c>
      <c r="B867" s="2">
        <v>43557</v>
      </c>
      <c r="C867">
        <v>2019</v>
      </c>
      <c r="E867" t="s">
        <v>6</v>
      </c>
      <c r="F867">
        <v>15.68</v>
      </c>
    </row>
    <row r="868" spans="1:6" x14ac:dyDescent="0.25">
      <c r="A868" t="s">
        <v>16</v>
      </c>
      <c r="B868" s="2">
        <v>43564</v>
      </c>
      <c r="C868">
        <v>2019</v>
      </c>
      <c r="E868" t="s">
        <v>6</v>
      </c>
      <c r="F868">
        <v>16.533000000000001</v>
      </c>
    </row>
    <row r="869" spans="1:6" x14ac:dyDescent="0.25">
      <c r="A869" t="s">
        <v>16</v>
      </c>
      <c r="B869" s="2">
        <v>43570</v>
      </c>
      <c r="C869">
        <v>2019</v>
      </c>
      <c r="E869" t="s">
        <v>6</v>
      </c>
      <c r="F869">
        <v>17.297200000000004</v>
      </c>
    </row>
    <row r="870" spans="1:6" x14ac:dyDescent="0.25">
      <c r="A870" t="s">
        <v>16</v>
      </c>
      <c r="B870" s="2">
        <v>43577</v>
      </c>
      <c r="C870">
        <v>2019</v>
      </c>
      <c r="E870" t="s">
        <v>6</v>
      </c>
      <c r="F870">
        <v>16.7501</v>
      </c>
    </row>
    <row r="871" spans="1:6" x14ac:dyDescent="0.25">
      <c r="A871" t="s">
        <v>16</v>
      </c>
      <c r="B871" s="2">
        <v>43584</v>
      </c>
      <c r="C871">
        <v>2019</v>
      </c>
      <c r="E871" t="s">
        <v>6</v>
      </c>
      <c r="F871">
        <v>16.0398</v>
      </c>
    </row>
    <row r="872" spans="1:6" x14ac:dyDescent="0.25">
      <c r="A872" t="s">
        <v>16</v>
      </c>
      <c r="B872" s="2">
        <v>43613</v>
      </c>
      <c r="C872">
        <v>2019</v>
      </c>
      <c r="E872" t="s">
        <v>6</v>
      </c>
      <c r="F872">
        <v>18.956099999999999</v>
      </c>
    </row>
    <row r="873" spans="1:6" x14ac:dyDescent="0.25">
      <c r="A873" t="s">
        <v>16</v>
      </c>
      <c r="B873" s="2">
        <v>43479</v>
      </c>
      <c r="C873">
        <v>2019</v>
      </c>
      <c r="E873" t="s">
        <v>6</v>
      </c>
      <c r="F873">
        <v>4.1318000000000001</v>
      </c>
    </row>
    <row r="874" spans="1:6" x14ac:dyDescent="0.25">
      <c r="A874" t="s">
        <v>16</v>
      </c>
      <c r="B874" s="2">
        <v>43515</v>
      </c>
      <c r="C874">
        <v>2019</v>
      </c>
      <c r="E874" t="s">
        <v>6</v>
      </c>
      <c r="F874">
        <v>9.7136999999999993</v>
      </c>
    </row>
    <row r="875" spans="1:6" x14ac:dyDescent="0.25">
      <c r="A875" t="s">
        <v>16</v>
      </c>
      <c r="B875" s="2">
        <v>43529</v>
      </c>
      <c r="C875">
        <v>2019</v>
      </c>
      <c r="E875" t="s">
        <v>6</v>
      </c>
      <c r="F875">
        <v>12.059599999999998</v>
      </c>
    </row>
    <row r="876" spans="1:6" x14ac:dyDescent="0.25">
      <c r="A876" t="s">
        <v>16</v>
      </c>
      <c r="B876" s="2">
        <v>43543</v>
      </c>
      <c r="C876">
        <v>2019</v>
      </c>
      <c r="E876" t="s">
        <v>6</v>
      </c>
      <c r="F876">
        <v>14.828099999999999</v>
      </c>
    </row>
    <row r="877" spans="1:6" x14ac:dyDescent="0.25">
      <c r="A877" t="s">
        <v>16</v>
      </c>
      <c r="B877" s="2">
        <v>43557</v>
      </c>
      <c r="C877">
        <v>2019</v>
      </c>
      <c r="E877" t="s">
        <v>6</v>
      </c>
      <c r="F877">
        <v>17.16</v>
      </c>
    </row>
    <row r="878" spans="1:6" x14ac:dyDescent="0.25">
      <c r="A878" t="s">
        <v>16</v>
      </c>
      <c r="B878" s="2">
        <v>43564</v>
      </c>
      <c r="C878">
        <v>2019</v>
      </c>
      <c r="E878" t="s">
        <v>6</v>
      </c>
      <c r="F878">
        <v>17.0183</v>
      </c>
    </row>
    <row r="879" spans="1:6" x14ac:dyDescent="0.25">
      <c r="A879" t="s">
        <v>16</v>
      </c>
      <c r="B879" s="2">
        <v>43570</v>
      </c>
      <c r="C879">
        <v>2019</v>
      </c>
      <c r="E879" t="s">
        <v>6</v>
      </c>
      <c r="F879">
        <v>17.153000000000002</v>
      </c>
    </row>
    <row r="880" spans="1:6" x14ac:dyDescent="0.25">
      <c r="A880" t="s">
        <v>16</v>
      </c>
      <c r="B880" s="2">
        <v>43577</v>
      </c>
      <c r="C880">
        <v>2019</v>
      </c>
      <c r="E880" t="s">
        <v>6</v>
      </c>
      <c r="F880">
        <v>18.1996</v>
      </c>
    </row>
    <row r="881" spans="1:6" x14ac:dyDescent="0.25">
      <c r="A881" t="s">
        <v>16</v>
      </c>
      <c r="B881" s="2">
        <v>43584</v>
      </c>
      <c r="C881">
        <v>2019</v>
      </c>
      <c r="E881" t="s">
        <v>6</v>
      </c>
      <c r="F881">
        <v>16.344999999999999</v>
      </c>
    </row>
    <row r="882" spans="1:6" x14ac:dyDescent="0.25">
      <c r="A882" t="s">
        <v>16</v>
      </c>
      <c r="B882" s="2">
        <v>43613</v>
      </c>
      <c r="C882">
        <v>2019</v>
      </c>
      <c r="E882" t="s">
        <v>6</v>
      </c>
      <c r="F882">
        <v>20.093399999999999</v>
      </c>
    </row>
    <row r="883" spans="1:6" x14ac:dyDescent="0.25">
      <c r="A883" t="s">
        <v>16</v>
      </c>
      <c r="B883" s="2">
        <v>43479</v>
      </c>
      <c r="C883">
        <v>2019</v>
      </c>
      <c r="E883" t="s">
        <v>6</v>
      </c>
      <c r="F883">
        <v>4.6560000000000006</v>
      </c>
    </row>
    <row r="884" spans="1:6" x14ac:dyDescent="0.25">
      <c r="A884" t="s">
        <v>16</v>
      </c>
      <c r="B884" s="2">
        <v>43479</v>
      </c>
      <c r="C884">
        <v>2019</v>
      </c>
      <c r="E884" t="s">
        <v>6</v>
      </c>
      <c r="F884">
        <v>4.2772000000000006</v>
      </c>
    </row>
    <row r="885" spans="1:6" x14ac:dyDescent="0.25">
      <c r="A885" t="s">
        <v>16</v>
      </c>
      <c r="B885" s="2">
        <v>43479</v>
      </c>
      <c r="C885">
        <v>2019</v>
      </c>
      <c r="E885" t="s">
        <v>6</v>
      </c>
      <c r="F885">
        <v>4.8944000000000001</v>
      </c>
    </row>
    <row r="886" spans="1:6" x14ac:dyDescent="0.25">
      <c r="A886" t="s">
        <v>16</v>
      </c>
      <c r="B886" s="2">
        <v>43479</v>
      </c>
      <c r="C886">
        <v>2019</v>
      </c>
      <c r="E886" t="s">
        <v>6</v>
      </c>
      <c r="F886">
        <v>3.9389999999999996</v>
      </c>
    </row>
    <row r="887" spans="1:6" x14ac:dyDescent="0.25">
      <c r="A887" t="s">
        <v>16</v>
      </c>
      <c r="B887" s="2">
        <v>43514</v>
      </c>
      <c r="C887">
        <v>2019</v>
      </c>
      <c r="E887" t="s">
        <v>6</v>
      </c>
      <c r="F887">
        <v>10.8528</v>
      </c>
    </row>
    <row r="888" spans="1:6" x14ac:dyDescent="0.25">
      <c r="A888" t="s">
        <v>16</v>
      </c>
      <c r="B888" s="2">
        <v>43514</v>
      </c>
      <c r="C888">
        <v>2019</v>
      </c>
      <c r="E888" t="s">
        <v>6</v>
      </c>
      <c r="F888">
        <v>10.956800000000001</v>
      </c>
    </row>
    <row r="889" spans="1:6" x14ac:dyDescent="0.25">
      <c r="A889" t="s">
        <v>16</v>
      </c>
      <c r="B889" s="2">
        <v>43514</v>
      </c>
      <c r="C889">
        <v>2019</v>
      </c>
      <c r="E889" t="s">
        <v>6</v>
      </c>
      <c r="F889">
        <v>11.326199999999998</v>
      </c>
    </row>
    <row r="890" spans="1:6" x14ac:dyDescent="0.25">
      <c r="A890" t="s">
        <v>16</v>
      </c>
      <c r="B890" s="2">
        <v>43514</v>
      </c>
      <c r="C890">
        <v>2019</v>
      </c>
      <c r="E890" t="s">
        <v>6</v>
      </c>
      <c r="F890">
        <v>9.9293999999999993</v>
      </c>
    </row>
    <row r="891" spans="1:6" x14ac:dyDescent="0.25">
      <c r="A891" t="s">
        <v>16</v>
      </c>
      <c r="B891" s="2">
        <v>43528</v>
      </c>
      <c r="C891">
        <v>2019</v>
      </c>
      <c r="E891" t="s">
        <v>6</v>
      </c>
      <c r="F891">
        <v>13.165999999999999</v>
      </c>
    </row>
    <row r="892" spans="1:6" x14ac:dyDescent="0.25">
      <c r="A892" t="s">
        <v>16</v>
      </c>
      <c r="B892" s="2">
        <v>43528</v>
      </c>
      <c r="C892">
        <v>2019</v>
      </c>
      <c r="E892" t="s">
        <v>6</v>
      </c>
      <c r="F892">
        <v>10.804500000000001</v>
      </c>
    </row>
    <row r="893" spans="1:6" x14ac:dyDescent="0.25">
      <c r="A893" t="s">
        <v>16</v>
      </c>
      <c r="B893" s="2">
        <v>43529</v>
      </c>
      <c r="C893">
        <v>2019</v>
      </c>
      <c r="E893" t="s">
        <v>6</v>
      </c>
      <c r="F893">
        <v>12.7376</v>
      </c>
    </row>
    <row r="894" spans="1:6" x14ac:dyDescent="0.25">
      <c r="A894" t="s">
        <v>16</v>
      </c>
      <c r="B894" s="2">
        <v>43542</v>
      </c>
      <c r="C894">
        <v>2019</v>
      </c>
      <c r="E894" t="s">
        <v>6</v>
      </c>
      <c r="F894">
        <v>15.515600000000001</v>
      </c>
    </row>
    <row r="895" spans="1:6" x14ac:dyDescent="0.25">
      <c r="A895" t="s">
        <v>16</v>
      </c>
      <c r="B895" s="2">
        <v>43542</v>
      </c>
      <c r="C895">
        <v>2019</v>
      </c>
      <c r="E895" t="s">
        <v>6</v>
      </c>
      <c r="F895">
        <v>12.581800000000001</v>
      </c>
    </row>
    <row r="896" spans="1:6" x14ac:dyDescent="0.25">
      <c r="A896" t="s">
        <v>16</v>
      </c>
      <c r="B896" s="2">
        <v>43543</v>
      </c>
      <c r="C896">
        <v>2019</v>
      </c>
      <c r="E896" t="s">
        <v>6</v>
      </c>
      <c r="F896">
        <v>15.232000000000001</v>
      </c>
    </row>
    <row r="897" spans="1:6" x14ac:dyDescent="0.25">
      <c r="A897" t="s">
        <v>16</v>
      </c>
      <c r="B897" s="2">
        <v>43557</v>
      </c>
      <c r="C897">
        <v>2019</v>
      </c>
      <c r="E897" t="s">
        <v>6</v>
      </c>
      <c r="F897">
        <v>16.212700000000002</v>
      </c>
    </row>
    <row r="898" spans="1:6" x14ac:dyDescent="0.25">
      <c r="A898" t="s">
        <v>16</v>
      </c>
      <c r="B898" s="2">
        <v>43557</v>
      </c>
      <c r="C898">
        <v>2019</v>
      </c>
      <c r="E898" t="s">
        <v>6</v>
      </c>
      <c r="F898">
        <v>17.384</v>
      </c>
    </row>
    <row r="899" spans="1:6" x14ac:dyDescent="0.25">
      <c r="A899" t="s">
        <v>16</v>
      </c>
      <c r="B899" s="2">
        <v>43557</v>
      </c>
      <c r="C899">
        <v>2019</v>
      </c>
      <c r="E899" t="s">
        <v>6</v>
      </c>
      <c r="F899">
        <v>17.828400000000002</v>
      </c>
    </row>
    <row r="900" spans="1:6" x14ac:dyDescent="0.25">
      <c r="A900" t="s">
        <v>16</v>
      </c>
      <c r="B900" s="2">
        <v>43557</v>
      </c>
      <c r="C900">
        <v>2019</v>
      </c>
      <c r="E900" t="s">
        <v>6</v>
      </c>
      <c r="F900">
        <v>14.051499999999999</v>
      </c>
    </row>
    <row r="901" spans="1:6" x14ac:dyDescent="0.25">
      <c r="A901" t="s">
        <v>16</v>
      </c>
      <c r="B901" s="2">
        <v>43564</v>
      </c>
      <c r="C901">
        <v>2019</v>
      </c>
      <c r="E901" t="s">
        <v>6</v>
      </c>
      <c r="F901">
        <v>16.912500000000001</v>
      </c>
    </row>
    <row r="902" spans="1:6" x14ac:dyDescent="0.25">
      <c r="A902" t="s">
        <v>16</v>
      </c>
      <c r="B902" s="2">
        <v>43564</v>
      </c>
      <c r="C902">
        <v>2019</v>
      </c>
      <c r="E902" t="s">
        <v>6</v>
      </c>
      <c r="F902">
        <v>17.995200000000001</v>
      </c>
    </row>
    <row r="903" spans="1:6" x14ac:dyDescent="0.25">
      <c r="A903" t="s">
        <v>16</v>
      </c>
      <c r="B903" s="2">
        <v>43564</v>
      </c>
      <c r="C903">
        <v>2019</v>
      </c>
      <c r="E903" t="s">
        <v>6</v>
      </c>
      <c r="F903">
        <v>18.420999999999999</v>
      </c>
    </row>
    <row r="904" spans="1:6" x14ac:dyDescent="0.25">
      <c r="A904" t="s">
        <v>16</v>
      </c>
      <c r="B904" s="2">
        <v>43564</v>
      </c>
      <c r="C904">
        <v>2019</v>
      </c>
      <c r="E904" t="s">
        <v>6</v>
      </c>
      <c r="F904">
        <v>15.370899999999999</v>
      </c>
    </row>
    <row r="905" spans="1:6" x14ac:dyDescent="0.25">
      <c r="A905" t="s">
        <v>16</v>
      </c>
      <c r="B905" s="2">
        <v>43570</v>
      </c>
      <c r="C905">
        <v>2019</v>
      </c>
      <c r="E905" t="s">
        <v>6</v>
      </c>
      <c r="F905">
        <v>17.330400000000001</v>
      </c>
    </row>
    <row r="906" spans="1:6" x14ac:dyDescent="0.25">
      <c r="A906" t="s">
        <v>16</v>
      </c>
      <c r="B906" s="2">
        <v>43570</v>
      </c>
      <c r="C906">
        <v>2019</v>
      </c>
      <c r="E906" t="s">
        <v>6</v>
      </c>
      <c r="F906">
        <v>18.035999999999998</v>
      </c>
    </row>
    <row r="907" spans="1:6" x14ac:dyDescent="0.25">
      <c r="A907" t="s">
        <v>16</v>
      </c>
      <c r="B907" s="2">
        <v>43570</v>
      </c>
      <c r="C907">
        <v>2019</v>
      </c>
      <c r="E907" t="s">
        <v>6</v>
      </c>
      <c r="F907">
        <v>19.583600000000001</v>
      </c>
    </row>
    <row r="908" spans="1:6" x14ac:dyDescent="0.25">
      <c r="A908" t="s">
        <v>16</v>
      </c>
      <c r="B908" s="2">
        <v>43570</v>
      </c>
      <c r="C908">
        <v>2019</v>
      </c>
      <c r="E908" t="s">
        <v>6</v>
      </c>
      <c r="F908">
        <v>15.481599999999998</v>
      </c>
    </row>
    <row r="909" spans="1:6" x14ac:dyDescent="0.25">
      <c r="A909" t="s">
        <v>16</v>
      </c>
      <c r="B909" s="2">
        <v>43577</v>
      </c>
      <c r="C909">
        <v>2019</v>
      </c>
      <c r="E909" t="s">
        <v>6</v>
      </c>
      <c r="F909">
        <v>16.8264</v>
      </c>
    </row>
    <row r="910" spans="1:6" x14ac:dyDescent="0.25">
      <c r="A910" t="s">
        <v>16</v>
      </c>
      <c r="B910" s="2">
        <v>43577</v>
      </c>
      <c r="C910">
        <v>2019</v>
      </c>
      <c r="E910" t="s">
        <v>6</v>
      </c>
      <c r="F910">
        <v>18.564</v>
      </c>
    </row>
    <row r="911" spans="1:6" x14ac:dyDescent="0.25">
      <c r="A911" t="s">
        <v>16</v>
      </c>
      <c r="B911" s="2">
        <v>43577</v>
      </c>
      <c r="C911">
        <v>2019</v>
      </c>
      <c r="E911" t="s">
        <v>6</v>
      </c>
      <c r="F911">
        <v>18.948599999999999</v>
      </c>
    </row>
    <row r="912" spans="1:6" x14ac:dyDescent="0.25">
      <c r="A912" t="s">
        <v>16</v>
      </c>
      <c r="B912" s="2">
        <v>43577</v>
      </c>
      <c r="C912">
        <v>2019</v>
      </c>
      <c r="E912" t="s">
        <v>6</v>
      </c>
      <c r="F912">
        <v>15.484999999999999</v>
      </c>
    </row>
    <row r="913" spans="1:6" x14ac:dyDescent="0.25">
      <c r="A913" t="s">
        <v>16</v>
      </c>
      <c r="B913" s="2">
        <v>43584</v>
      </c>
      <c r="C913">
        <v>2019</v>
      </c>
      <c r="E913" t="s">
        <v>6</v>
      </c>
      <c r="F913">
        <v>15.664599999999998</v>
      </c>
    </row>
    <row r="914" spans="1:6" x14ac:dyDescent="0.25">
      <c r="A914" t="s">
        <v>16</v>
      </c>
      <c r="B914" s="2">
        <v>43584</v>
      </c>
      <c r="C914">
        <v>2019</v>
      </c>
      <c r="E914" t="s">
        <v>6</v>
      </c>
      <c r="F914">
        <v>16.6465</v>
      </c>
    </row>
    <row r="915" spans="1:6" x14ac:dyDescent="0.25">
      <c r="A915" t="s">
        <v>16</v>
      </c>
      <c r="B915" s="2">
        <v>43584</v>
      </c>
      <c r="C915">
        <v>2019</v>
      </c>
      <c r="E915" t="s">
        <v>6</v>
      </c>
      <c r="F915">
        <v>18.004799999999999</v>
      </c>
    </row>
    <row r="916" spans="1:6" x14ac:dyDescent="0.25">
      <c r="A916" t="s">
        <v>16</v>
      </c>
      <c r="B916" s="2">
        <v>43584</v>
      </c>
      <c r="C916">
        <v>2019</v>
      </c>
      <c r="E916" t="s">
        <v>6</v>
      </c>
      <c r="F916">
        <v>14.176400000000003</v>
      </c>
    </row>
    <row r="917" spans="1:6" x14ac:dyDescent="0.25">
      <c r="A917" t="s">
        <v>16</v>
      </c>
      <c r="B917" s="2">
        <v>43612</v>
      </c>
      <c r="C917">
        <v>2019</v>
      </c>
      <c r="E917" t="s">
        <v>6</v>
      </c>
      <c r="F917">
        <v>21.337800000000001</v>
      </c>
    </row>
    <row r="918" spans="1:6" x14ac:dyDescent="0.25">
      <c r="A918" t="s">
        <v>16</v>
      </c>
      <c r="B918" s="2">
        <v>43612</v>
      </c>
      <c r="C918">
        <v>2019</v>
      </c>
      <c r="E918" t="s">
        <v>6</v>
      </c>
      <c r="F918">
        <v>17.0625</v>
      </c>
    </row>
    <row r="919" spans="1:6" x14ac:dyDescent="0.25">
      <c r="A919" t="s">
        <v>16</v>
      </c>
      <c r="B919" s="2">
        <v>43613</v>
      </c>
      <c r="C919">
        <v>2019</v>
      </c>
      <c r="E919" t="s">
        <v>6</v>
      </c>
      <c r="F919">
        <v>18.391999999999999</v>
      </c>
    </row>
    <row r="920" spans="1:6" x14ac:dyDescent="0.25">
      <c r="A920" t="s">
        <v>16</v>
      </c>
      <c r="B920" s="2">
        <v>43613</v>
      </c>
      <c r="C920">
        <v>2019</v>
      </c>
      <c r="E920" t="s">
        <v>6</v>
      </c>
      <c r="F920">
        <v>20.178000000000001</v>
      </c>
    </row>
    <row r="921" spans="1:6" x14ac:dyDescent="0.25">
      <c r="A921" t="s">
        <v>17</v>
      </c>
      <c r="B921" s="2">
        <v>43850</v>
      </c>
      <c r="C921">
        <v>2020</v>
      </c>
      <c r="E921" t="s">
        <v>6</v>
      </c>
      <c r="F921">
        <v>4.7547000000000006</v>
      </c>
    </row>
    <row r="922" spans="1:6" x14ac:dyDescent="0.25">
      <c r="A922" t="s">
        <v>17</v>
      </c>
      <c r="B922" s="2">
        <v>43880</v>
      </c>
      <c r="C922">
        <v>2020</v>
      </c>
      <c r="E922" t="s">
        <v>6</v>
      </c>
      <c r="F922">
        <v>9.8704000000000001</v>
      </c>
    </row>
    <row r="923" spans="1:6" x14ac:dyDescent="0.25">
      <c r="A923" t="s">
        <v>17</v>
      </c>
      <c r="B923" s="2">
        <v>43892</v>
      </c>
      <c r="C923">
        <v>2020</v>
      </c>
      <c r="E923" t="s">
        <v>6</v>
      </c>
      <c r="F923">
        <v>10.906000000000001</v>
      </c>
    </row>
    <row r="924" spans="1:6" x14ac:dyDescent="0.25">
      <c r="A924" t="s">
        <v>17</v>
      </c>
      <c r="B924" s="2">
        <v>43906</v>
      </c>
      <c r="C924">
        <v>2020</v>
      </c>
      <c r="E924" t="s">
        <v>6</v>
      </c>
      <c r="F924">
        <v>13.64</v>
      </c>
    </row>
    <row r="925" spans="1:6" x14ac:dyDescent="0.25">
      <c r="A925" t="s">
        <v>17</v>
      </c>
      <c r="B925" s="2">
        <v>43950</v>
      </c>
      <c r="C925">
        <v>2020</v>
      </c>
      <c r="E925" t="s">
        <v>6</v>
      </c>
      <c r="F925">
        <v>18.305</v>
      </c>
    </row>
    <row r="926" spans="1:6" x14ac:dyDescent="0.25">
      <c r="A926" t="s">
        <v>17</v>
      </c>
      <c r="B926" s="2">
        <v>43963</v>
      </c>
      <c r="C926">
        <v>2020</v>
      </c>
      <c r="E926" t="s">
        <v>6</v>
      </c>
      <c r="F926">
        <v>18.266399999999997</v>
      </c>
    </row>
    <row r="927" spans="1:6" x14ac:dyDescent="0.25">
      <c r="A927" t="s">
        <v>17</v>
      </c>
      <c r="B927" s="2">
        <v>43977</v>
      </c>
      <c r="C927">
        <v>2020</v>
      </c>
      <c r="E927" t="s">
        <v>6</v>
      </c>
      <c r="F927">
        <v>17.912400000000002</v>
      </c>
    </row>
    <row r="928" spans="1:6" x14ac:dyDescent="0.25">
      <c r="A928" t="s">
        <v>17</v>
      </c>
      <c r="B928" s="2">
        <v>43851</v>
      </c>
      <c r="C928">
        <v>2020</v>
      </c>
      <c r="E928" t="s">
        <v>6</v>
      </c>
      <c r="F928">
        <v>5.3330999999999991</v>
      </c>
    </row>
    <row r="929" spans="1:6" x14ac:dyDescent="0.25">
      <c r="A929" t="s">
        <v>17</v>
      </c>
      <c r="B929" s="2">
        <v>43880</v>
      </c>
      <c r="C929">
        <v>2020</v>
      </c>
      <c r="E929" t="s">
        <v>6</v>
      </c>
      <c r="F929">
        <v>11.4168</v>
      </c>
    </row>
    <row r="930" spans="1:6" x14ac:dyDescent="0.25">
      <c r="A930" t="s">
        <v>17</v>
      </c>
      <c r="B930" s="2">
        <v>43894</v>
      </c>
      <c r="C930">
        <v>2020</v>
      </c>
      <c r="E930" t="s">
        <v>6</v>
      </c>
      <c r="F930">
        <v>12.3223</v>
      </c>
    </row>
    <row r="931" spans="1:6" x14ac:dyDescent="0.25">
      <c r="A931" t="s">
        <v>17</v>
      </c>
      <c r="B931" s="2">
        <v>43907</v>
      </c>
      <c r="C931">
        <v>2020</v>
      </c>
      <c r="E931" t="s">
        <v>6</v>
      </c>
      <c r="F931">
        <v>15.345000000000001</v>
      </c>
    </row>
    <row r="932" spans="1:6" x14ac:dyDescent="0.25">
      <c r="A932" t="s">
        <v>17</v>
      </c>
      <c r="B932" s="2">
        <v>43951</v>
      </c>
      <c r="C932">
        <v>2020</v>
      </c>
      <c r="E932" t="s">
        <v>6</v>
      </c>
      <c r="F932">
        <v>20.304000000000002</v>
      </c>
    </row>
    <row r="933" spans="1:6" x14ac:dyDescent="0.25">
      <c r="A933" t="s">
        <v>17</v>
      </c>
      <c r="B933" s="2">
        <v>43963</v>
      </c>
      <c r="C933">
        <v>2020</v>
      </c>
      <c r="E933" t="s">
        <v>6</v>
      </c>
      <c r="F933">
        <v>20.374199999999998</v>
      </c>
    </row>
    <row r="934" spans="1:6" x14ac:dyDescent="0.25">
      <c r="A934" t="s">
        <v>17</v>
      </c>
      <c r="B934" s="2">
        <v>43979</v>
      </c>
      <c r="C934">
        <v>2020</v>
      </c>
      <c r="E934" t="s">
        <v>6</v>
      </c>
      <c r="F934">
        <v>21.040500000000002</v>
      </c>
    </row>
    <row r="935" spans="1:6" x14ac:dyDescent="0.25">
      <c r="A935" t="s">
        <v>17</v>
      </c>
      <c r="B935" s="2">
        <v>43850</v>
      </c>
      <c r="C935">
        <v>2020</v>
      </c>
      <c r="E935" t="s">
        <v>6</v>
      </c>
      <c r="F935">
        <v>4.8761999999999999</v>
      </c>
    </row>
    <row r="936" spans="1:6" x14ac:dyDescent="0.25">
      <c r="A936" t="s">
        <v>17</v>
      </c>
      <c r="B936" s="2">
        <v>43850</v>
      </c>
      <c r="C936">
        <v>2020</v>
      </c>
      <c r="E936" t="s">
        <v>6</v>
      </c>
      <c r="F936">
        <v>6.0888</v>
      </c>
    </row>
    <row r="937" spans="1:6" x14ac:dyDescent="0.25">
      <c r="A937" t="s">
        <v>17</v>
      </c>
      <c r="B937" s="2">
        <v>43851</v>
      </c>
      <c r="C937">
        <v>2020</v>
      </c>
      <c r="E937" t="s">
        <v>6</v>
      </c>
      <c r="F937">
        <v>6.6393999999999993</v>
      </c>
    </row>
    <row r="938" spans="1:6" x14ac:dyDescent="0.25">
      <c r="A938" t="s">
        <v>17</v>
      </c>
      <c r="B938" s="2">
        <v>43878</v>
      </c>
      <c r="C938">
        <v>2020</v>
      </c>
      <c r="E938" t="s">
        <v>6</v>
      </c>
      <c r="F938">
        <v>10.094700000000001</v>
      </c>
    </row>
    <row r="939" spans="1:6" x14ac:dyDescent="0.25">
      <c r="A939" t="s">
        <v>17</v>
      </c>
      <c r="B939" s="2">
        <v>43878</v>
      </c>
      <c r="C939">
        <v>2020</v>
      </c>
      <c r="E939" t="s">
        <v>6</v>
      </c>
      <c r="F939">
        <v>11.238399999999999</v>
      </c>
    </row>
    <row r="940" spans="1:6" x14ac:dyDescent="0.25">
      <c r="A940" t="s">
        <v>17</v>
      </c>
      <c r="B940" s="2">
        <v>43880</v>
      </c>
      <c r="C940">
        <v>2020</v>
      </c>
      <c r="E940" t="s">
        <v>6</v>
      </c>
      <c r="F940">
        <v>11.596500000000001</v>
      </c>
    </row>
    <row r="941" spans="1:6" x14ac:dyDescent="0.25">
      <c r="A941" t="s">
        <v>17</v>
      </c>
      <c r="B941" s="2">
        <v>43892</v>
      </c>
      <c r="C941">
        <v>2020</v>
      </c>
      <c r="E941" t="s">
        <v>6</v>
      </c>
      <c r="F941">
        <v>11.636900000000001</v>
      </c>
    </row>
    <row r="942" spans="1:6" x14ac:dyDescent="0.25">
      <c r="A942" t="s">
        <v>17</v>
      </c>
      <c r="B942" s="2">
        <v>43892</v>
      </c>
      <c r="C942">
        <v>2020</v>
      </c>
      <c r="E942" t="s">
        <v>6</v>
      </c>
      <c r="F942">
        <v>14.870200000000001</v>
      </c>
    </row>
    <row r="943" spans="1:6" x14ac:dyDescent="0.25">
      <c r="A943" t="s">
        <v>17</v>
      </c>
      <c r="B943" s="2">
        <v>43894</v>
      </c>
      <c r="C943">
        <v>2020</v>
      </c>
      <c r="E943" t="s">
        <v>6</v>
      </c>
      <c r="F943">
        <v>13.32</v>
      </c>
    </row>
    <row r="944" spans="1:6" x14ac:dyDescent="0.25">
      <c r="A944" t="s">
        <v>17</v>
      </c>
      <c r="B944" s="2">
        <v>43906</v>
      </c>
      <c r="C944">
        <v>2020</v>
      </c>
      <c r="E944" t="s">
        <v>6</v>
      </c>
      <c r="F944">
        <v>13.488</v>
      </c>
    </row>
    <row r="945" spans="1:6" x14ac:dyDescent="0.25">
      <c r="A945" t="s">
        <v>17</v>
      </c>
      <c r="B945" s="2">
        <v>43906</v>
      </c>
      <c r="C945">
        <v>2020</v>
      </c>
      <c r="E945" t="s">
        <v>6</v>
      </c>
      <c r="F945">
        <v>17.408000000000001</v>
      </c>
    </row>
    <row r="946" spans="1:6" x14ac:dyDescent="0.25">
      <c r="A946" t="s">
        <v>17</v>
      </c>
      <c r="B946" s="2">
        <v>43907</v>
      </c>
      <c r="C946">
        <v>2020</v>
      </c>
      <c r="E946" t="s">
        <v>6</v>
      </c>
      <c r="F946">
        <v>15.384600000000001</v>
      </c>
    </row>
    <row r="947" spans="1:6" x14ac:dyDescent="0.25">
      <c r="A947" t="s">
        <v>17</v>
      </c>
      <c r="B947" s="2">
        <v>43950</v>
      </c>
      <c r="C947">
        <v>2020</v>
      </c>
      <c r="E947" t="s">
        <v>6</v>
      </c>
      <c r="F947">
        <v>17.500999999999998</v>
      </c>
    </row>
    <row r="948" spans="1:6" x14ac:dyDescent="0.25">
      <c r="A948" t="s">
        <v>17</v>
      </c>
      <c r="B948" s="2">
        <v>43950</v>
      </c>
      <c r="C948">
        <v>2020</v>
      </c>
      <c r="E948" t="s">
        <v>6</v>
      </c>
      <c r="F948">
        <v>22.477499999999999</v>
      </c>
    </row>
    <row r="949" spans="1:6" x14ac:dyDescent="0.25">
      <c r="A949" t="s">
        <v>17</v>
      </c>
      <c r="B949" s="2">
        <v>43950</v>
      </c>
      <c r="C949">
        <v>2020</v>
      </c>
      <c r="E949" t="s">
        <v>6</v>
      </c>
      <c r="F949">
        <v>19.583600000000001</v>
      </c>
    </row>
    <row r="950" spans="1:6" x14ac:dyDescent="0.25">
      <c r="A950" t="s">
        <v>17</v>
      </c>
      <c r="B950" s="2">
        <v>43963</v>
      </c>
      <c r="C950">
        <v>2020</v>
      </c>
      <c r="E950" t="s">
        <v>6</v>
      </c>
      <c r="F950">
        <v>23.190299999999997</v>
      </c>
    </row>
    <row r="951" spans="1:6" x14ac:dyDescent="0.25">
      <c r="A951" t="s">
        <v>17</v>
      </c>
      <c r="B951" s="2">
        <v>43964</v>
      </c>
      <c r="C951">
        <v>2020</v>
      </c>
      <c r="E951" t="s">
        <v>6</v>
      </c>
      <c r="F951">
        <v>18.668399999999998</v>
      </c>
    </row>
    <row r="952" spans="1:6" x14ac:dyDescent="0.25">
      <c r="A952" t="s">
        <v>17</v>
      </c>
      <c r="B952" s="2">
        <v>43964</v>
      </c>
      <c r="C952">
        <v>2020</v>
      </c>
      <c r="E952" t="s">
        <v>6</v>
      </c>
      <c r="F952">
        <v>21.14</v>
      </c>
    </row>
    <row r="953" spans="1:6" x14ac:dyDescent="0.25">
      <c r="A953" t="s">
        <v>17</v>
      </c>
      <c r="B953" s="2">
        <v>43978</v>
      </c>
      <c r="C953">
        <v>2020</v>
      </c>
      <c r="E953" t="s">
        <v>6</v>
      </c>
      <c r="F953">
        <v>17.422999999999998</v>
      </c>
    </row>
    <row r="954" spans="1:6" x14ac:dyDescent="0.25">
      <c r="A954" t="s">
        <v>17</v>
      </c>
      <c r="B954" s="2">
        <v>43978</v>
      </c>
      <c r="C954">
        <v>2020</v>
      </c>
      <c r="E954" t="s">
        <v>6</v>
      </c>
      <c r="F954">
        <v>21.057399999999998</v>
      </c>
    </row>
    <row r="955" spans="1:6" x14ac:dyDescent="0.25">
      <c r="A955" t="s">
        <v>22</v>
      </c>
      <c r="B955" s="2">
        <v>43850</v>
      </c>
      <c r="C955">
        <v>2020</v>
      </c>
      <c r="E955" t="s">
        <v>10</v>
      </c>
      <c r="F955">
        <v>6.0801999999999996</v>
      </c>
    </row>
    <row r="956" spans="1:6" x14ac:dyDescent="0.25">
      <c r="A956" t="s">
        <v>22</v>
      </c>
      <c r="B956" s="2">
        <v>43880</v>
      </c>
      <c r="C956">
        <v>2020</v>
      </c>
      <c r="E956" t="s">
        <v>10</v>
      </c>
      <c r="F956">
        <v>12.821400000000001</v>
      </c>
    </row>
    <row r="957" spans="1:6" x14ac:dyDescent="0.25">
      <c r="A957" t="s">
        <v>22</v>
      </c>
      <c r="B957" s="2">
        <v>43892</v>
      </c>
      <c r="C957">
        <v>2020</v>
      </c>
      <c r="E957" t="s">
        <v>10</v>
      </c>
      <c r="F957">
        <v>14.503500000000001</v>
      </c>
    </row>
    <row r="958" spans="1:6" x14ac:dyDescent="0.25">
      <c r="A958" t="s">
        <v>22</v>
      </c>
      <c r="B958" s="2">
        <v>43906</v>
      </c>
      <c r="C958">
        <v>2020</v>
      </c>
      <c r="E958" t="s">
        <v>10</v>
      </c>
      <c r="F958">
        <v>15.633099999999999</v>
      </c>
    </row>
    <row r="959" spans="1:6" x14ac:dyDescent="0.25">
      <c r="A959" t="s">
        <v>22</v>
      </c>
      <c r="B959" s="2">
        <v>43949</v>
      </c>
      <c r="C959">
        <v>2020</v>
      </c>
      <c r="E959" t="s">
        <v>10</v>
      </c>
      <c r="F959">
        <v>18.143800000000002</v>
      </c>
    </row>
    <row r="960" spans="1:6" x14ac:dyDescent="0.25">
      <c r="A960" t="s">
        <v>22</v>
      </c>
      <c r="B960" s="2">
        <v>43963</v>
      </c>
      <c r="C960">
        <v>2020</v>
      </c>
      <c r="E960" t="s">
        <v>10</v>
      </c>
      <c r="F960">
        <v>19.821999999999999</v>
      </c>
    </row>
    <row r="961" spans="1:6" x14ac:dyDescent="0.25">
      <c r="A961" t="s">
        <v>22</v>
      </c>
      <c r="B961" s="2">
        <v>43976</v>
      </c>
      <c r="C961">
        <v>2020</v>
      </c>
      <c r="E961" t="s">
        <v>10</v>
      </c>
      <c r="F961">
        <v>20.206400000000002</v>
      </c>
    </row>
    <row r="962" spans="1:6" x14ac:dyDescent="0.25">
      <c r="A962" t="s">
        <v>18</v>
      </c>
      <c r="B962" s="2">
        <v>44223</v>
      </c>
      <c r="C962">
        <v>2021</v>
      </c>
      <c r="E962" t="s">
        <v>6</v>
      </c>
      <c r="F962">
        <v>6.2172349019108983</v>
      </c>
    </row>
    <row r="963" spans="1:6" x14ac:dyDescent="0.25">
      <c r="A963" t="s">
        <v>18</v>
      </c>
      <c r="B963" s="2">
        <v>44244</v>
      </c>
      <c r="C963">
        <v>2021</v>
      </c>
      <c r="E963" t="s">
        <v>6</v>
      </c>
      <c r="F963">
        <v>8.8543295541579354</v>
      </c>
    </row>
    <row r="964" spans="1:6" x14ac:dyDescent="0.25">
      <c r="A964" t="s">
        <v>18</v>
      </c>
      <c r="B964" s="2">
        <v>44258</v>
      </c>
      <c r="C964">
        <v>2021</v>
      </c>
      <c r="E964" t="s">
        <v>6</v>
      </c>
      <c r="F964">
        <v>11.907888730774177</v>
      </c>
    </row>
    <row r="965" spans="1:6" x14ac:dyDescent="0.25">
      <c r="A965" t="s">
        <v>18</v>
      </c>
      <c r="B965" s="2">
        <v>44272</v>
      </c>
      <c r="C965">
        <v>2021</v>
      </c>
      <c r="E965" t="s">
        <v>6</v>
      </c>
      <c r="F965">
        <v>13.959946145677179</v>
      </c>
    </row>
    <row r="966" spans="1:6" x14ac:dyDescent="0.25">
      <c r="A966" t="s">
        <v>18</v>
      </c>
      <c r="B966" s="2">
        <v>44286</v>
      </c>
      <c r="C966">
        <v>2021</v>
      </c>
      <c r="E966" t="s">
        <v>6</v>
      </c>
      <c r="F966">
        <v>15.94766682715896</v>
      </c>
    </row>
    <row r="967" spans="1:6" x14ac:dyDescent="0.25">
      <c r="A967" t="s">
        <v>18</v>
      </c>
      <c r="B967" s="2">
        <v>44300</v>
      </c>
      <c r="C967">
        <v>2021</v>
      </c>
      <c r="E967" t="s">
        <v>6</v>
      </c>
      <c r="F967">
        <v>16.847079172988892</v>
      </c>
    </row>
    <row r="968" spans="1:6" x14ac:dyDescent="0.25">
      <c r="A968" t="s">
        <v>18</v>
      </c>
      <c r="B968" s="2">
        <v>44307</v>
      </c>
      <c r="C968">
        <v>2021</v>
      </c>
      <c r="E968" t="s">
        <v>6</v>
      </c>
      <c r="F968">
        <v>17.673615128971232</v>
      </c>
    </row>
    <row r="969" spans="1:6" x14ac:dyDescent="0.25">
      <c r="A969" t="s">
        <v>18</v>
      </c>
      <c r="B969" s="2">
        <v>44315</v>
      </c>
      <c r="C969">
        <v>2021</v>
      </c>
      <c r="E969" t="s">
        <v>6</v>
      </c>
      <c r="F969">
        <v>17.494817081223879</v>
      </c>
    </row>
    <row r="970" spans="1:6" x14ac:dyDescent="0.25">
      <c r="A970" t="s">
        <v>18</v>
      </c>
      <c r="B970" s="2">
        <v>44321</v>
      </c>
      <c r="C970">
        <v>2021</v>
      </c>
      <c r="E970" t="s">
        <v>6</v>
      </c>
      <c r="F970">
        <v>19.714894814967227</v>
      </c>
    </row>
    <row r="971" spans="1:6" x14ac:dyDescent="0.25">
      <c r="A971" t="s">
        <v>18</v>
      </c>
      <c r="B971" s="2">
        <v>44335</v>
      </c>
      <c r="C971">
        <v>2021</v>
      </c>
      <c r="E971" t="s">
        <v>6</v>
      </c>
      <c r="F971">
        <v>19.764897653038307</v>
      </c>
    </row>
    <row r="972" spans="1:6" x14ac:dyDescent="0.25">
      <c r="A972" t="s">
        <v>18</v>
      </c>
      <c r="B972" s="2">
        <v>44348</v>
      </c>
      <c r="C972">
        <v>2021</v>
      </c>
      <c r="E972" t="s">
        <v>6</v>
      </c>
      <c r="F972">
        <v>20.837102416927618</v>
      </c>
    </row>
    <row r="973" spans="1:6" x14ac:dyDescent="0.25">
      <c r="A973" t="s">
        <v>18</v>
      </c>
      <c r="B973" s="2">
        <v>44223</v>
      </c>
      <c r="C973">
        <v>2021</v>
      </c>
      <c r="E973" t="s">
        <v>6</v>
      </c>
      <c r="F973">
        <v>6.9319183664277553</v>
      </c>
    </row>
    <row r="974" spans="1:6" x14ac:dyDescent="0.25">
      <c r="A974" t="s">
        <v>18</v>
      </c>
      <c r="B974" s="2">
        <v>44258</v>
      </c>
      <c r="C974">
        <v>2021</v>
      </c>
      <c r="E974" t="s">
        <v>6</v>
      </c>
      <c r="F974">
        <v>13.780894783470638</v>
      </c>
    </row>
    <row r="975" spans="1:6" x14ac:dyDescent="0.25">
      <c r="A975" t="s">
        <v>18</v>
      </c>
      <c r="B975" s="2">
        <v>44272</v>
      </c>
      <c r="C975">
        <v>2021</v>
      </c>
      <c r="E975" t="s">
        <v>6</v>
      </c>
      <c r="F975">
        <v>16.191051188890199</v>
      </c>
    </row>
    <row r="976" spans="1:6" x14ac:dyDescent="0.25">
      <c r="A976" t="s">
        <v>18</v>
      </c>
      <c r="B976" s="2">
        <v>44286</v>
      </c>
      <c r="C976">
        <v>2021</v>
      </c>
      <c r="E976" t="s">
        <v>6</v>
      </c>
      <c r="F976">
        <v>17.405492056011052</v>
      </c>
    </row>
    <row r="977" spans="1:6" x14ac:dyDescent="0.25">
      <c r="A977" t="s">
        <v>18</v>
      </c>
      <c r="B977" s="2">
        <v>44300</v>
      </c>
      <c r="C977">
        <v>2021</v>
      </c>
      <c r="E977" t="s">
        <v>6</v>
      </c>
      <c r="F977">
        <v>18.476749288753865</v>
      </c>
    </row>
    <row r="978" spans="1:6" x14ac:dyDescent="0.25">
      <c r="A978" t="s">
        <v>18</v>
      </c>
      <c r="B978" s="2">
        <v>44307</v>
      </c>
      <c r="C978">
        <v>2021</v>
      </c>
      <c r="E978" t="s">
        <v>6</v>
      </c>
      <c r="F978">
        <v>18.760523213785294</v>
      </c>
    </row>
    <row r="979" spans="1:6" x14ac:dyDescent="0.25">
      <c r="A979" t="s">
        <v>18</v>
      </c>
      <c r="B979" s="2">
        <v>44315</v>
      </c>
      <c r="C979">
        <v>2021</v>
      </c>
      <c r="E979" t="s">
        <v>6</v>
      </c>
      <c r="F979">
        <v>19.48157763281246</v>
      </c>
    </row>
    <row r="980" spans="1:6" x14ac:dyDescent="0.25">
      <c r="A980" t="s">
        <v>18</v>
      </c>
      <c r="B980" s="2">
        <v>44321</v>
      </c>
      <c r="C980">
        <v>2021</v>
      </c>
      <c r="E980" t="s">
        <v>6</v>
      </c>
      <c r="F980">
        <v>17.781141937861513</v>
      </c>
    </row>
    <row r="981" spans="1:6" x14ac:dyDescent="0.25">
      <c r="A981" t="s">
        <v>18</v>
      </c>
      <c r="B981" s="2">
        <v>44335</v>
      </c>
      <c r="C981">
        <v>2021</v>
      </c>
      <c r="E981" t="s">
        <v>6</v>
      </c>
      <c r="F981">
        <v>20.557990280205107</v>
      </c>
    </row>
    <row r="982" spans="1:6" x14ac:dyDescent="0.25">
      <c r="A982" t="s">
        <v>18</v>
      </c>
      <c r="B982" s="2">
        <v>44348</v>
      </c>
      <c r="C982">
        <v>2021</v>
      </c>
      <c r="E982" t="s">
        <v>6</v>
      </c>
      <c r="F982">
        <v>19.39898301327348</v>
      </c>
    </row>
    <row r="983" spans="1:6" x14ac:dyDescent="0.25">
      <c r="A983" t="s">
        <v>18</v>
      </c>
      <c r="B983" s="2">
        <v>44223</v>
      </c>
      <c r="C983">
        <v>2021</v>
      </c>
      <c r="E983" t="s">
        <v>6</v>
      </c>
      <c r="F983">
        <v>6.9315123712321158</v>
      </c>
    </row>
    <row r="984" spans="1:6" x14ac:dyDescent="0.25">
      <c r="A984" t="s">
        <v>18</v>
      </c>
      <c r="B984" s="2">
        <v>44223</v>
      </c>
      <c r="C984">
        <v>2021</v>
      </c>
      <c r="E984" t="s">
        <v>6</v>
      </c>
      <c r="F984">
        <v>5.4313511084294808</v>
      </c>
    </row>
    <row r="985" spans="1:6" x14ac:dyDescent="0.25">
      <c r="A985" t="s">
        <v>18</v>
      </c>
      <c r="B985" s="2">
        <v>44224</v>
      </c>
      <c r="C985">
        <v>2021</v>
      </c>
      <c r="E985" t="s">
        <v>6</v>
      </c>
      <c r="F985">
        <v>5.7144543386675126</v>
      </c>
    </row>
    <row r="986" spans="1:6" x14ac:dyDescent="0.25">
      <c r="A986" t="s">
        <v>18</v>
      </c>
      <c r="B986" s="2">
        <v>44244</v>
      </c>
      <c r="C986">
        <v>2021</v>
      </c>
      <c r="E986" t="s">
        <v>6</v>
      </c>
      <c r="F986">
        <v>8.8291548744930903</v>
      </c>
    </row>
    <row r="987" spans="1:6" x14ac:dyDescent="0.25">
      <c r="A987" t="s">
        <v>18</v>
      </c>
      <c r="B987" s="2">
        <v>44245</v>
      </c>
      <c r="C987">
        <v>2021</v>
      </c>
      <c r="E987" t="s">
        <v>6</v>
      </c>
      <c r="F987">
        <v>8.3138487145662179</v>
      </c>
    </row>
    <row r="988" spans="1:6" x14ac:dyDescent="0.25">
      <c r="A988" t="s">
        <v>18</v>
      </c>
      <c r="B988" s="2">
        <v>44245</v>
      </c>
      <c r="C988">
        <v>2021</v>
      </c>
      <c r="E988" t="s">
        <v>6</v>
      </c>
      <c r="F988">
        <v>8.0472565935445601</v>
      </c>
    </row>
    <row r="989" spans="1:6" x14ac:dyDescent="0.25">
      <c r="A989" t="s">
        <v>18</v>
      </c>
      <c r="B989" s="2">
        <v>44258</v>
      </c>
      <c r="C989">
        <v>2021</v>
      </c>
      <c r="E989" t="s">
        <v>6</v>
      </c>
      <c r="F989">
        <v>11.28362013570101</v>
      </c>
    </row>
    <row r="990" spans="1:6" x14ac:dyDescent="0.25">
      <c r="A990" t="s">
        <v>18</v>
      </c>
      <c r="B990" s="2">
        <v>44258</v>
      </c>
      <c r="C990">
        <v>2021</v>
      </c>
      <c r="E990" t="s">
        <v>6</v>
      </c>
      <c r="F990">
        <v>12.996873220121543</v>
      </c>
    </row>
    <row r="991" spans="1:6" x14ac:dyDescent="0.25">
      <c r="A991" t="s">
        <v>18</v>
      </c>
      <c r="B991" s="2">
        <v>44258</v>
      </c>
      <c r="C991">
        <v>2021</v>
      </c>
      <c r="E991" t="s">
        <v>6</v>
      </c>
      <c r="F991">
        <v>11.020121811353031</v>
      </c>
    </row>
    <row r="992" spans="1:6" x14ac:dyDescent="0.25">
      <c r="A992" t="s">
        <v>18</v>
      </c>
      <c r="B992" s="2">
        <v>44272</v>
      </c>
      <c r="C992">
        <v>2021</v>
      </c>
      <c r="E992" t="s">
        <v>6</v>
      </c>
      <c r="F992">
        <v>13.065476193540855</v>
      </c>
    </row>
    <row r="993" spans="1:6" x14ac:dyDescent="0.25">
      <c r="A993" t="s">
        <v>18</v>
      </c>
      <c r="B993" s="2">
        <v>44272</v>
      </c>
      <c r="C993">
        <v>2021</v>
      </c>
      <c r="E993" t="s">
        <v>6</v>
      </c>
      <c r="F993">
        <v>15.870028059077221</v>
      </c>
    </row>
    <row r="994" spans="1:6" x14ac:dyDescent="0.25">
      <c r="A994" t="s">
        <v>18</v>
      </c>
      <c r="B994" s="2">
        <v>44272</v>
      </c>
      <c r="C994">
        <v>2021</v>
      </c>
      <c r="E994" t="s">
        <v>6</v>
      </c>
      <c r="F994">
        <v>14.223498689674621</v>
      </c>
    </row>
    <row r="995" spans="1:6" x14ac:dyDescent="0.25">
      <c r="A995" t="s">
        <v>18</v>
      </c>
      <c r="B995" s="2">
        <v>44286</v>
      </c>
      <c r="C995">
        <v>2021</v>
      </c>
      <c r="E995" t="s">
        <v>6</v>
      </c>
      <c r="F995">
        <v>17.699191578753037</v>
      </c>
    </row>
    <row r="996" spans="1:6" x14ac:dyDescent="0.25">
      <c r="A996" t="s">
        <v>18</v>
      </c>
      <c r="B996" s="2">
        <v>44287</v>
      </c>
      <c r="C996">
        <v>2021</v>
      </c>
      <c r="E996" t="s">
        <v>6</v>
      </c>
      <c r="F996">
        <v>15.108312942068499</v>
      </c>
    </row>
    <row r="997" spans="1:6" x14ac:dyDescent="0.25">
      <c r="A997" t="s">
        <v>18</v>
      </c>
      <c r="B997" s="2">
        <v>44287</v>
      </c>
      <c r="C997">
        <v>2021</v>
      </c>
      <c r="E997" t="s">
        <v>6</v>
      </c>
      <c r="F997">
        <v>15.438316897742517</v>
      </c>
    </row>
    <row r="998" spans="1:6" x14ac:dyDescent="0.25">
      <c r="A998" t="s">
        <v>18</v>
      </c>
      <c r="B998" s="2">
        <v>44300</v>
      </c>
      <c r="C998">
        <v>2021</v>
      </c>
      <c r="E998" t="s">
        <v>6</v>
      </c>
      <c r="F998">
        <v>18.205173511905102</v>
      </c>
    </row>
    <row r="999" spans="1:6" x14ac:dyDescent="0.25">
      <c r="A999" t="s">
        <v>18</v>
      </c>
      <c r="B999" s="2">
        <v>44301</v>
      </c>
      <c r="C999">
        <v>2021</v>
      </c>
      <c r="E999" t="s">
        <v>6</v>
      </c>
      <c r="F999">
        <v>17.222989608255027</v>
      </c>
    </row>
    <row r="1000" spans="1:6" x14ac:dyDescent="0.25">
      <c r="A1000" t="s">
        <v>18</v>
      </c>
      <c r="B1000" s="2">
        <v>44301</v>
      </c>
      <c r="C1000">
        <v>2021</v>
      </c>
      <c r="E1000" t="s">
        <v>6</v>
      </c>
      <c r="F1000">
        <v>16.211048258733999</v>
      </c>
    </row>
    <row r="1001" spans="1:6" x14ac:dyDescent="0.25">
      <c r="A1001" t="s">
        <v>18</v>
      </c>
      <c r="B1001" s="2">
        <v>44307</v>
      </c>
      <c r="C1001">
        <v>2021</v>
      </c>
      <c r="E1001" t="s">
        <v>6</v>
      </c>
      <c r="F1001">
        <v>16.707643098532472</v>
      </c>
    </row>
    <row r="1002" spans="1:6" x14ac:dyDescent="0.25">
      <c r="A1002" t="s">
        <v>18</v>
      </c>
      <c r="B1002" s="2">
        <v>44307</v>
      </c>
      <c r="C1002">
        <v>2021</v>
      </c>
      <c r="E1002" t="s">
        <v>6</v>
      </c>
      <c r="F1002">
        <v>19.537145853036414</v>
      </c>
    </row>
    <row r="1003" spans="1:6" x14ac:dyDescent="0.25">
      <c r="A1003" t="s">
        <v>18</v>
      </c>
      <c r="B1003" s="2">
        <v>44307</v>
      </c>
      <c r="C1003">
        <v>2021</v>
      </c>
      <c r="E1003" t="s">
        <v>6</v>
      </c>
      <c r="F1003">
        <v>17.291765167818632</v>
      </c>
    </row>
    <row r="1004" spans="1:6" x14ac:dyDescent="0.25">
      <c r="A1004" t="s">
        <v>18</v>
      </c>
      <c r="B1004" s="2">
        <v>44315</v>
      </c>
      <c r="C1004">
        <v>2021</v>
      </c>
      <c r="E1004" t="s">
        <v>6</v>
      </c>
      <c r="F1004">
        <v>19.369444542004405</v>
      </c>
    </row>
    <row r="1005" spans="1:6" x14ac:dyDescent="0.25">
      <c r="A1005" t="s">
        <v>18</v>
      </c>
      <c r="B1005" s="2">
        <v>44316</v>
      </c>
      <c r="C1005">
        <v>2021</v>
      </c>
      <c r="E1005" t="s">
        <v>6</v>
      </c>
      <c r="F1005">
        <v>17.499025054421459</v>
      </c>
    </row>
    <row r="1006" spans="1:6" x14ac:dyDescent="0.25">
      <c r="A1006" t="s">
        <v>18</v>
      </c>
      <c r="B1006" s="2">
        <v>44316</v>
      </c>
      <c r="C1006">
        <v>2021</v>
      </c>
      <c r="E1006" t="s">
        <v>6</v>
      </c>
      <c r="F1006">
        <v>17.650603109848099</v>
      </c>
    </row>
    <row r="1007" spans="1:6" x14ac:dyDescent="0.25">
      <c r="A1007" t="s">
        <v>18</v>
      </c>
      <c r="B1007" s="2">
        <v>44321</v>
      </c>
      <c r="C1007">
        <v>2021</v>
      </c>
      <c r="E1007" t="s">
        <v>6</v>
      </c>
      <c r="F1007">
        <v>20.26370901829625</v>
      </c>
    </row>
    <row r="1008" spans="1:6" x14ac:dyDescent="0.25">
      <c r="A1008" t="s">
        <v>18</v>
      </c>
      <c r="B1008" s="2">
        <v>44322</v>
      </c>
      <c r="C1008">
        <v>2021</v>
      </c>
      <c r="E1008" t="s">
        <v>6</v>
      </c>
      <c r="F1008">
        <v>17.354245507768088</v>
      </c>
    </row>
    <row r="1009" spans="1:6" x14ac:dyDescent="0.25">
      <c r="A1009" t="s">
        <v>18</v>
      </c>
      <c r="B1009" s="2">
        <v>44322</v>
      </c>
      <c r="C1009">
        <v>2021</v>
      </c>
      <c r="E1009" t="s">
        <v>6</v>
      </c>
      <c r="F1009">
        <v>18.87174342283873</v>
      </c>
    </row>
    <row r="1010" spans="1:6" x14ac:dyDescent="0.25">
      <c r="A1010" t="s">
        <v>18</v>
      </c>
      <c r="B1010" s="2">
        <v>44335</v>
      </c>
      <c r="C1010">
        <v>2021</v>
      </c>
      <c r="E1010" t="s">
        <v>6</v>
      </c>
      <c r="F1010">
        <v>22.047358999831484</v>
      </c>
    </row>
    <row r="1011" spans="1:6" x14ac:dyDescent="0.25">
      <c r="A1011" t="s">
        <v>18</v>
      </c>
      <c r="B1011" s="2">
        <v>44336</v>
      </c>
      <c r="C1011">
        <v>2021</v>
      </c>
      <c r="E1011" t="s">
        <v>6</v>
      </c>
      <c r="F1011">
        <v>17.740085747275025</v>
      </c>
    </row>
    <row r="1012" spans="1:6" x14ac:dyDescent="0.25">
      <c r="A1012" t="s">
        <v>18</v>
      </c>
      <c r="B1012" s="2">
        <v>44336</v>
      </c>
      <c r="C1012">
        <v>2021</v>
      </c>
      <c r="E1012" t="s">
        <v>6</v>
      </c>
      <c r="F1012">
        <v>20.371931094087373</v>
      </c>
    </row>
    <row r="1013" spans="1:6" x14ac:dyDescent="0.25">
      <c r="A1013" t="s">
        <v>18</v>
      </c>
      <c r="B1013" s="2">
        <v>44348</v>
      </c>
      <c r="C1013">
        <v>2021</v>
      </c>
      <c r="E1013" t="s">
        <v>6</v>
      </c>
      <c r="F1013">
        <v>21.524553643903822</v>
      </c>
    </row>
    <row r="1014" spans="1:6" x14ac:dyDescent="0.25">
      <c r="A1014" t="s">
        <v>18</v>
      </c>
      <c r="B1014" s="2">
        <v>44349</v>
      </c>
      <c r="C1014">
        <v>2021</v>
      </c>
      <c r="E1014" t="s">
        <v>6</v>
      </c>
      <c r="F1014">
        <v>18.5648614072737</v>
      </c>
    </row>
    <row r="1015" spans="1:6" x14ac:dyDescent="0.25">
      <c r="A1015" t="s">
        <v>18</v>
      </c>
      <c r="B1015" s="2">
        <v>44349</v>
      </c>
      <c r="C1015">
        <v>2021</v>
      </c>
      <c r="E1015" t="s">
        <v>6</v>
      </c>
      <c r="F1015">
        <v>19.349351733779123</v>
      </c>
    </row>
    <row r="1016" spans="1:6" x14ac:dyDescent="0.25">
      <c r="A1016" t="s">
        <v>23</v>
      </c>
      <c r="B1016" s="2">
        <v>44221</v>
      </c>
      <c r="C1016">
        <v>2021</v>
      </c>
      <c r="E1016" t="s">
        <v>10</v>
      </c>
      <c r="F1016">
        <v>6.7398628846985886</v>
      </c>
    </row>
    <row r="1017" spans="1:6" x14ac:dyDescent="0.25">
      <c r="A1017" t="s">
        <v>23</v>
      </c>
      <c r="B1017" s="2">
        <v>44245</v>
      </c>
      <c r="C1017">
        <v>2021</v>
      </c>
      <c r="E1017" t="s">
        <v>10</v>
      </c>
      <c r="F1017">
        <v>10.311391387844139</v>
      </c>
    </row>
    <row r="1018" spans="1:6" x14ac:dyDescent="0.25">
      <c r="A1018" t="s">
        <v>23</v>
      </c>
      <c r="B1018" s="2">
        <v>44256</v>
      </c>
      <c r="C1018">
        <v>2021</v>
      </c>
      <c r="E1018" t="s">
        <v>10</v>
      </c>
      <c r="F1018">
        <v>12.270177875075783</v>
      </c>
    </row>
    <row r="1019" spans="1:6" x14ac:dyDescent="0.25">
      <c r="A1019" t="s">
        <v>23</v>
      </c>
      <c r="B1019" s="2">
        <v>44271</v>
      </c>
      <c r="C1019">
        <v>2021</v>
      </c>
      <c r="E1019" t="s">
        <v>10</v>
      </c>
      <c r="F1019">
        <v>13.619012088702434</v>
      </c>
    </row>
    <row r="1020" spans="1:6" x14ac:dyDescent="0.25">
      <c r="A1020" t="s">
        <v>23</v>
      </c>
      <c r="B1020" s="2">
        <v>44284</v>
      </c>
      <c r="C1020">
        <v>2021</v>
      </c>
      <c r="E1020" t="s">
        <v>10</v>
      </c>
      <c r="F1020">
        <v>15.027232099000203</v>
      </c>
    </row>
    <row r="1021" spans="1:6" x14ac:dyDescent="0.25">
      <c r="A1021" t="s">
        <v>23</v>
      </c>
      <c r="B1021" s="2">
        <v>44298</v>
      </c>
      <c r="C1021">
        <v>2021</v>
      </c>
      <c r="E1021" t="s">
        <v>10</v>
      </c>
      <c r="F1021">
        <v>16.272488100957471</v>
      </c>
    </row>
    <row r="1022" spans="1:6" x14ac:dyDescent="0.25">
      <c r="A1022" t="s">
        <v>23</v>
      </c>
      <c r="B1022" s="2">
        <v>44307</v>
      </c>
      <c r="C1022">
        <v>2021</v>
      </c>
      <c r="E1022" t="s">
        <v>10</v>
      </c>
      <c r="F1022">
        <v>17.020663419496199</v>
      </c>
    </row>
    <row r="1023" spans="1:6" x14ac:dyDescent="0.25">
      <c r="A1023" t="s">
        <v>23</v>
      </c>
      <c r="B1023" s="2">
        <v>44315</v>
      </c>
      <c r="C1023">
        <v>2021</v>
      </c>
      <c r="E1023" t="s">
        <v>10</v>
      </c>
      <c r="F1023">
        <v>18.753000702450848</v>
      </c>
    </row>
    <row r="1024" spans="1:6" x14ac:dyDescent="0.25">
      <c r="A1024" t="s">
        <v>23</v>
      </c>
      <c r="B1024" s="2">
        <v>44321</v>
      </c>
      <c r="C1024">
        <v>2021</v>
      </c>
      <c r="E1024" t="s">
        <v>10</v>
      </c>
      <c r="F1024">
        <v>18.060959017147049</v>
      </c>
    </row>
    <row r="1025" spans="1:6" x14ac:dyDescent="0.25">
      <c r="A1025" t="s">
        <v>23</v>
      </c>
      <c r="B1025" s="2">
        <v>44333</v>
      </c>
      <c r="C1025">
        <v>2021</v>
      </c>
      <c r="E1025" t="s">
        <v>10</v>
      </c>
      <c r="F1025">
        <v>18.922415892599915</v>
      </c>
    </row>
    <row r="1026" spans="1:6" x14ac:dyDescent="0.25">
      <c r="A1026" t="s">
        <v>23</v>
      </c>
      <c r="B1026" s="2">
        <v>44347</v>
      </c>
      <c r="C1026">
        <v>2021</v>
      </c>
      <c r="E1026" t="s">
        <v>10</v>
      </c>
      <c r="F1026">
        <v>20.1101714011625</v>
      </c>
    </row>
    <row r="1027" spans="1:6" x14ac:dyDescent="0.25">
      <c r="A1027" t="s">
        <v>19</v>
      </c>
      <c r="B1027" s="2">
        <v>44603</v>
      </c>
      <c r="C1027">
        <v>2022</v>
      </c>
      <c r="D1027" s="2"/>
      <c r="E1027" t="s">
        <v>6</v>
      </c>
      <c r="F1027">
        <v>7.4897999999999998</v>
      </c>
    </row>
    <row r="1028" spans="1:6" x14ac:dyDescent="0.25">
      <c r="A1028" t="s">
        <v>19</v>
      </c>
      <c r="B1028" s="2">
        <v>44608</v>
      </c>
      <c r="C1028">
        <v>2022</v>
      </c>
      <c r="E1028" t="s">
        <v>6</v>
      </c>
      <c r="F1028">
        <v>10.318</v>
      </c>
    </row>
    <row r="1029" spans="1:6" x14ac:dyDescent="0.25">
      <c r="A1029" t="s">
        <v>19</v>
      </c>
      <c r="B1029" s="2">
        <v>44622</v>
      </c>
      <c r="C1029">
        <v>2022</v>
      </c>
      <c r="E1029" t="s">
        <v>6</v>
      </c>
      <c r="F1029">
        <v>12.741299999999999</v>
      </c>
    </row>
    <row r="1030" spans="1:6" x14ac:dyDescent="0.25">
      <c r="A1030" t="s">
        <v>19</v>
      </c>
      <c r="B1030" s="2">
        <v>44636</v>
      </c>
      <c r="C1030">
        <v>2022</v>
      </c>
      <c r="E1030" t="s">
        <v>6</v>
      </c>
      <c r="F1030">
        <v>10.8872</v>
      </c>
    </row>
    <row r="1031" spans="1:6" x14ac:dyDescent="0.25">
      <c r="A1031" t="s">
        <v>19</v>
      </c>
      <c r="B1031" s="2">
        <v>44650</v>
      </c>
      <c r="C1031">
        <v>2022</v>
      </c>
      <c r="E1031" t="s">
        <v>6</v>
      </c>
      <c r="F1031">
        <v>13.892000000000001</v>
      </c>
    </row>
    <row r="1032" spans="1:6" x14ac:dyDescent="0.25">
      <c r="A1032" t="s">
        <v>19</v>
      </c>
      <c r="B1032" s="2">
        <v>44664</v>
      </c>
      <c r="C1032">
        <v>2022</v>
      </c>
      <c r="E1032" t="s">
        <v>6</v>
      </c>
      <c r="F1032">
        <v>15.2</v>
      </c>
    </row>
    <row r="1033" spans="1:6" x14ac:dyDescent="0.25">
      <c r="A1033" t="s">
        <v>19</v>
      </c>
      <c r="B1033" s="2">
        <v>44672</v>
      </c>
      <c r="C1033">
        <v>2022</v>
      </c>
      <c r="E1033" t="s">
        <v>6</v>
      </c>
      <c r="F1033">
        <v>16.432000000000002</v>
      </c>
    </row>
    <row r="1034" spans="1:6" x14ac:dyDescent="0.25">
      <c r="A1034" t="s">
        <v>19</v>
      </c>
      <c r="B1034" s="2">
        <v>44680</v>
      </c>
      <c r="C1034">
        <v>2022</v>
      </c>
      <c r="E1034" t="s">
        <v>6</v>
      </c>
      <c r="F1034">
        <v>16.502500000000001</v>
      </c>
    </row>
    <row r="1035" spans="1:6" x14ac:dyDescent="0.25">
      <c r="A1035" t="s">
        <v>19</v>
      </c>
      <c r="B1035" s="2">
        <v>44685</v>
      </c>
      <c r="C1035">
        <v>2022</v>
      </c>
      <c r="E1035" t="s">
        <v>6</v>
      </c>
      <c r="F1035">
        <v>16.732200000000002</v>
      </c>
    </row>
    <row r="1036" spans="1:6" x14ac:dyDescent="0.25">
      <c r="A1036" t="s">
        <v>19</v>
      </c>
      <c r="B1036" s="2">
        <v>44699</v>
      </c>
      <c r="C1036">
        <v>2022</v>
      </c>
      <c r="E1036" t="s">
        <v>6</v>
      </c>
      <c r="F1036">
        <v>17.0655</v>
      </c>
    </row>
    <row r="1037" spans="1:6" x14ac:dyDescent="0.25">
      <c r="A1037" t="s">
        <v>19</v>
      </c>
      <c r="B1037" s="2">
        <v>44713</v>
      </c>
      <c r="C1037">
        <v>2022</v>
      </c>
      <c r="E1037" t="s">
        <v>6</v>
      </c>
      <c r="F1037">
        <v>17.685500000000001</v>
      </c>
    </row>
    <row r="1038" spans="1:6" x14ac:dyDescent="0.25">
      <c r="A1038" t="s">
        <v>19</v>
      </c>
      <c r="B1038" s="2">
        <v>44595</v>
      </c>
      <c r="C1038">
        <v>2022</v>
      </c>
      <c r="E1038" t="s">
        <v>6</v>
      </c>
      <c r="F1038">
        <v>9.6047999999999991</v>
      </c>
    </row>
    <row r="1039" spans="1:6" x14ac:dyDescent="0.25">
      <c r="A1039" t="s">
        <v>19</v>
      </c>
      <c r="B1039" s="2">
        <v>44608</v>
      </c>
      <c r="C1039">
        <v>2022</v>
      </c>
      <c r="E1039" t="s">
        <v>6</v>
      </c>
      <c r="F1039">
        <v>12.738</v>
      </c>
    </row>
    <row r="1040" spans="1:6" x14ac:dyDescent="0.25">
      <c r="A1040" t="s">
        <v>19</v>
      </c>
      <c r="B1040" s="2">
        <v>44622</v>
      </c>
      <c r="C1040">
        <v>2022</v>
      </c>
      <c r="E1040" t="s">
        <v>6</v>
      </c>
      <c r="F1040">
        <v>14.497</v>
      </c>
    </row>
    <row r="1041" spans="1:6" x14ac:dyDescent="0.25">
      <c r="A1041" t="s">
        <v>19</v>
      </c>
      <c r="B1041" s="2">
        <v>44636</v>
      </c>
      <c r="C1041">
        <v>2022</v>
      </c>
      <c r="E1041" t="s">
        <v>6</v>
      </c>
      <c r="F1041">
        <v>17.078399999999998</v>
      </c>
    </row>
    <row r="1042" spans="1:6" x14ac:dyDescent="0.25">
      <c r="A1042" t="s">
        <v>19</v>
      </c>
      <c r="B1042" s="2">
        <v>44650</v>
      </c>
      <c r="C1042">
        <v>2022</v>
      </c>
      <c r="E1042" t="s">
        <v>6</v>
      </c>
      <c r="F1042">
        <v>20.495999999999999</v>
      </c>
    </row>
    <row r="1043" spans="1:6" x14ac:dyDescent="0.25">
      <c r="A1043" t="s">
        <v>19</v>
      </c>
      <c r="B1043" s="2">
        <v>44664</v>
      </c>
      <c r="C1043">
        <v>2022</v>
      </c>
      <c r="E1043" t="s">
        <v>6</v>
      </c>
      <c r="F1043">
        <v>22.349699999999999</v>
      </c>
    </row>
    <row r="1044" spans="1:6" x14ac:dyDescent="0.25">
      <c r="A1044" t="s">
        <v>19</v>
      </c>
      <c r="B1044" s="2">
        <v>44672</v>
      </c>
      <c r="C1044">
        <v>2022</v>
      </c>
      <c r="E1044" t="s">
        <v>6</v>
      </c>
      <c r="F1044">
        <v>23.020800000000005</v>
      </c>
    </row>
    <row r="1045" spans="1:6" x14ac:dyDescent="0.25">
      <c r="A1045" t="s">
        <v>19</v>
      </c>
      <c r="B1045" s="2">
        <v>44680</v>
      </c>
      <c r="C1045">
        <v>2022</v>
      </c>
      <c r="E1045" t="s">
        <v>6</v>
      </c>
      <c r="F1045">
        <v>23.687999999999999</v>
      </c>
    </row>
    <row r="1046" spans="1:6" x14ac:dyDescent="0.25">
      <c r="A1046" t="s">
        <v>19</v>
      </c>
      <c r="B1046" s="2">
        <v>44685</v>
      </c>
      <c r="C1046">
        <v>2022</v>
      </c>
      <c r="E1046" t="s">
        <v>6</v>
      </c>
      <c r="F1046">
        <v>24.631799999999998</v>
      </c>
    </row>
    <row r="1047" spans="1:6" x14ac:dyDescent="0.25">
      <c r="A1047" t="s">
        <v>19</v>
      </c>
      <c r="B1047" s="2">
        <v>44699</v>
      </c>
      <c r="C1047">
        <v>2022</v>
      </c>
      <c r="E1047" t="s">
        <v>6</v>
      </c>
      <c r="F1047">
        <v>25.207600000000003</v>
      </c>
    </row>
    <row r="1048" spans="1:6" x14ac:dyDescent="0.25">
      <c r="A1048" t="s">
        <v>19</v>
      </c>
      <c r="B1048" s="2">
        <v>44713</v>
      </c>
      <c r="C1048">
        <v>2022</v>
      </c>
      <c r="E1048" t="s">
        <v>6</v>
      </c>
      <c r="F1048">
        <v>24.039699999999996</v>
      </c>
    </row>
    <row r="1049" spans="1:6" x14ac:dyDescent="0.25">
      <c r="A1049" t="s">
        <v>19</v>
      </c>
      <c r="B1049" s="2">
        <v>44595</v>
      </c>
      <c r="C1049">
        <v>2022</v>
      </c>
      <c r="D1049" s="2"/>
      <c r="E1049" t="s">
        <v>6</v>
      </c>
      <c r="F1049">
        <v>7.4561999999999991</v>
      </c>
    </row>
    <row r="1050" spans="1:6" x14ac:dyDescent="0.25">
      <c r="A1050" t="s">
        <v>19</v>
      </c>
      <c r="B1050" s="2">
        <v>44608</v>
      </c>
      <c r="C1050">
        <v>2022</v>
      </c>
      <c r="E1050" t="s">
        <v>6</v>
      </c>
      <c r="F1050">
        <v>11.081100000000001</v>
      </c>
    </row>
    <row r="1051" spans="1:6" x14ac:dyDescent="0.25">
      <c r="A1051" t="s">
        <v>19</v>
      </c>
      <c r="B1051" s="2">
        <v>44622</v>
      </c>
      <c r="C1051">
        <v>2022</v>
      </c>
      <c r="E1051" t="s">
        <v>6</v>
      </c>
      <c r="F1051">
        <v>12.922000000000001</v>
      </c>
    </row>
    <row r="1052" spans="1:6" x14ac:dyDescent="0.25">
      <c r="A1052" t="s">
        <v>19</v>
      </c>
      <c r="B1052" s="2">
        <v>44636</v>
      </c>
      <c r="C1052">
        <v>2022</v>
      </c>
      <c r="E1052" t="s">
        <v>6</v>
      </c>
      <c r="F1052">
        <v>16.5564</v>
      </c>
    </row>
    <row r="1053" spans="1:6" x14ac:dyDescent="0.25">
      <c r="A1053" t="s">
        <v>19</v>
      </c>
      <c r="B1053" s="2">
        <v>44650</v>
      </c>
      <c r="C1053">
        <v>2022</v>
      </c>
      <c r="E1053" t="s">
        <v>6</v>
      </c>
      <c r="F1053">
        <v>17.243100000000002</v>
      </c>
    </row>
    <row r="1054" spans="1:6" x14ac:dyDescent="0.25">
      <c r="A1054" t="s">
        <v>19</v>
      </c>
      <c r="B1054" s="2">
        <v>44664</v>
      </c>
      <c r="C1054">
        <v>2022</v>
      </c>
      <c r="E1054" t="s">
        <v>6</v>
      </c>
      <c r="F1054">
        <v>18.874200000000002</v>
      </c>
    </row>
    <row r="1055" spans="1:6" x14ac:dyDescent="0.25">
      <c r="A1055" t="s">
        <v>19</v>
      </c>
      <c r="B1055" s="2">
        <v>44673</v>
      </c>
      <c r="C1055">
        <v>2022</v>
      </c>
      <c r="E1055" t="s">
        <v>6</v>
      </c>
      <c r="F1055">
        <v>19.495000000000001</v>
      </c>
    </row>
    <row r="1056" spans="1:6" x14ac:dyDescent="0.25">
      <c r="A1056" t="s">
        <v>19</v>
      </c>
      <c r="B1056" s="2">
        <v>44680</v>
      </c>
      <c r="C1056">
        <v>2022</v>
      </c>
      <c r="E1056" t="s">
        <v>6</v>
      </c>
      <c r="F1056">
        <v>20.399199999999997</v>
      </c>
    </row>
    <row r="1057" spans="1:6" x14ac:dyDescent="0.25">
      <c r="A1057" t="s">
        <v>19</v>
      </c>
      <c r="B1057" s="2">
        <v>44685</v>
      </c>
      <c r="C1057">
        <v>2022</v>
      </c>
      <c r="E1057" t="s">
        <v>6</v>
      </c>
      <c r="F1057">
        <v>22.8123</v>
      </c>
    </row>
    <row r="1058" spans="1:6" x14ac:dyDescent="0.25">
      <c r="A1058" t="s">
        <v>19</v>
      </c>
      <c r="B1058" s="2">
        <v>44699</v>
      </c>
      <c r="C1058">
        <v>2022</v>
      </c>
      <c r="E1058" t="s">
        <v>6</v>
      </c>
      <c r="F1058">
        <v>22.352000000000004</v>
      </c>
    </row>
    <row r="1059" spans="1:6" x14ac:dyDescent="0.25">
      <c r="A1059" t="s">
        <v>19</v>
      </c>
      <c r="B1059" s="2">
        <v>44713</v>
      </c>
      <c r="C1059">
        <v>2022</v>
      </c>
      <c r="E1059" t="s">
        <v>6</v>
      </c>
      <c r="F1059">
        <v>22.697199999999999</v>
      </c>
    </row>
    <row r="1060" spans="1:6" x14ac:dyDescent="0.25">
      <c r="A1060" t="s">
        <v>19</v>
      </c>
      <c r="B1060" s="2">
        <v>44595</v>
      </c>
      <c r="C1060">
        <v>2022</v>
      </c>
      <c r="E1060" t="s">
        <v>6</v>
      </c>
      <c r="F1060">
        <v>6.96</v>
      </c>
    </row>
    <row r="1061" spans="1:6" x14ac:dyDescent="0.25">
      <c r="A1061" t="s">
        <v>19</v>
      </c>
      <c r="B1061" s="2">
        <v>44608</v>
      </c>
      <c r="C1061">
        <v>2022</v>
      </c>
      <c r="E1061" t="s">
        <v>6</v>
      </c>
      <c r="F1061">
        <v>9.7843999999999998</v>
      </c>
    </row>
    <row r="1062" spans="1:6" x14ac:dyDescent="0.25">
      <c r="A1062" t="s">
        <v>19</v>
      </c>
      <c r="B1062" s="2">
        <v>44622</v>
      </c>
      <c r="C1062">
        <v>2022</v>
      </c>
      <c r="E1062" t="s">
        <v>6</v>
      </c>
      <c r="F1062">
        <v>12.097799999999999</v>
      </c>
    </row>
    <row r="1063" spans="1:6" x14ac:dyDescent="0.25">
      <c r="A1063" t="s">
        <v>19</v>
      </c>
      <c r="B1063" s="2">
        <v>44636</v>
      </c>
      <c r="C1063">
        <v>2022</v>
      </c>
      <c r="E1063" t="s">
        <v>6</v>
      </c>
      <c r="F1063">
        <v>13.3996</v>
      </c>
    </row>
    <row r="1064" spans="1:6" x14ac:dyDescent="0.25">
      <c r="A1064" t="s">
        <v>19</v>
      </c>
      <c r="B1064" s="2">
        <v>44650</v>
      </c>
      <c r="C1064">
        <v>2022</v>
      </c>
      <c r="E1064" t="s">
        <v>6</v>
      </c>
      <c r="F1064">
        <v>18.352399999999999</v>
      </c>
    </row>
    <row r="1065" spans="1:6" x14ac:dyDescent="0.25">
      <c r="A1065" t="s">
        <v>19</v>
      </c>
      <c r="B1065" s="2">
        <v>44664</v>
      </c>
      <c r="C1065">
        <v>2022</v>
      </c>
      <c r="E1065" t="s">
        <v>6</v>
      </c>
      <c r="F1065">
        <v>17.783999999999999</v>
      </c>
    </row>
    <row r="1066" spans="1:6" x14ac:dyDescent="0.25">
      <c r="A1066" t="s">
        <v>19</v>
      </c>
      <c r="B1066" s="2">
        <v>44673</v>
      </c>
      <c r="C1066">
        <v>2022</v>
      </c>
      <c r="E1066" t="s">
        <v>6</v>
      </c>
      <c r="F1066">
        <v>17.6967</v>
      </c>
    </row>
    <row r="1067" spans="1:6" x14ac:dyDescent="0.25">
      <c r="A1067" t="s">
        <v>19</v>
      </c>
      <c r="B1067" s="2">
        <v>44680</v>
      </c>
      <c r="C1067">
        <v>2022</v>
      </c>
      <c r="E1067" t="s">
        <v>6</v>
      </c>
      <c r="F1067">
        <v>19.3248</v>
      </c>
    </row>
    <row r="1068" spans="1:6" x14ac:dyDescent="0.25">
      <c r="A1068" t="s">
        <v>19</v>
      </c>
      <c r="B1068" s="2">
        <v>44685</v>
      </c>
      <c r="C1068">
        <v>2022</v>
      </c>
      <c r="E1068" t="s">
        <v>6</v>
      </c>
      <c r="F1068">
        <v>20.511399999999998</v>
      </c>
    </row>
    <row r="1069" spans="1:6" x14ac:dyDescent="0.25">
      <c r="A1069" t="s">
        <v>19</v>
      </c>
      <c r="B1069" s="2">
        <v>44699</v>
      </c>
      <c r="C1069">
        <v>2022</v>
      </c>
      <c r="E1069" t="s">
        <v>6</v>
      </c>
      <c r="F1069">
        <v>20.461199999999998</v>
      </c>
    </row>
    <row r="1070" spans="1:6" x14ac:dyDescent="0.25">
      <c r="A1070" t="s">
        <v>19</v>
      </c>
      <c r="B1070" s="2">
        <v>44713</v>
      </c>
      <c r="C1070">
        <v>2022</v>
      </c>
      <c r="E1070" t="s">
        <v>6</v>
      </c>
      <c r="F1070">
        <v>21.339900000000004</v>
      </c>
    </row>
    <row r="1071" spans="1:6" x14ac:dyDescent="0.25">
      <c r="A1071" t="s">
        <v>19</v>
      </c>
      <c r="B1071" s="2">
        <v>44595</v>
      </c>
      <c r="C1071">
        <v>2022</v>
      </c>
      <c r="E1071" t="s">
        <v>6</v>
      </c>
      <c r="F1071">
        <v>8.0898000000000003</v>
      </c>
    </row>
    <row r="1072" spans="1:6" x14ac:dyDescent="0.25">
      <c r="A1072" t="s">
        <v>19</v>
      </c>
      <c r="B1072" s="2">
        <v>44608</v>
      </c>
      <c r="C1072">
        <v>2022</v>
      </c>
      <c r="E1072" t="s">
        <v>6</v>
      </c>
      <c r="F1072">
        <v>10.7502</v>
      </c>
    </row>
    <row r="1073" spans="1:6" x14ac:dyDescent="0.25">
      <c r="A1073" t="s">
        <v>19</v>
      </c>
      <c r="B1073" s="2">
        <v>44622</v>
      </c>
      <c r="C1073">
        <v>2022</v>
      </c>
      <c r="E1073" t="s">
        <v>6</v>
      </c>
      <c r="F1073">
        <v>13.171200000000001</v>
      </c>
    </row>
    <row r="1074" spans="1:6" x14ac:dyDescent="0.25">
      <c r="A1074" t="s">
        <v>19</v>
      </c>
      <c r="B1074" s="2">
        <v>44636</v>
      </c>
      <c r="C1074">
        <v>2022</v>
      </c>
      <c r="E1074" t="s">
        <v>6</v>
      </c>
      <c r="F1074">
        <v>12.583999999999998</v>
      </c>
    </row>
    <row r="1075" spans="1:6" x14ac:dyDescent="0.25">
      <c r="A1075" t="s">
        <v>19</v>
      </c>
      <c r="B1075" s="2">
        <v>44650</v>
      </c>
      <c r="C1075">
        <v>2022</v>
      </c>
      <c r="E1075" t="s">
        <v>6</v>
      </c>
      <c r="F1075">
        <v>16.5564</v>
      </c>
    </row>
    <row r="1076" spans="1:6" x14ac:dyDescent="0.25">
      <c r="A1076" t="s">
        <v>19</v>
      </c>
      <c r="B1076" s="2">
        <v>44664</v>
      </c>
      <c r="C1076">
        <v>2022</v>
      </c>
      <c r="E1076" t="s">
        <v>6</v>
      </c>
      <c r="F1076">
        <v>18.115200000000002</v>
      </c>
    </row>
    <row r="1077" spans="1:6" x14ac:dyDescent="0.25">
      <c r="A1077" t="s">
        <v>19</v>
      </c>
      <c r="B1077" s="2">
        <v>44672</v>
      </c>
      <c r="C1077">
        <v>2022</v>
      </c>
      <c r="E1077" t="s">
        <v>6</v>
      </c>
      <c r="F1077">
        <v>19.6692</v>
      </c>
    </row>
    <row r="1078" spans="1:6" x14ac:dyDescent="0.25">
      <c r="A1078" t="s">
        <v>19</v>
      </c>
      <c r="B1078" s="2">
        <v>44680</v>
      </c>
      <c r="C1078">
        <v>2022</v>
      </c>
      <c r="E1078" t="s">
        <v>6</v>
      </c>
      <c r="F1078">
        <v>20.550599999999999</v>
      </c>
    </row>
    <row r="1079" spans="1:6" x14ac:dyDescent="0.25">
      <c r="A1079" t="s">
        <v>19</v>
      </c>
      <c r="B1079" s="2">
        <v>44685</v>
      </c>
      <c r="C1079">
        <v>2022</v>
      </c>
      <c r="E1079" t="s">
        <v>6</v>
      </c>
      <c r="F1079">
        <v>19.724599999999999</v>
      </c>
    </row>
    <row r="1080" spans="1:6" x14ac:dyDescent="0.25">
      <c r="A1080" t="s">
        <v>19</v>
      </c>
      <c r="B1080" s="2">
        <v>44699</v>
      </c>
      <c r="C1080">
        <v>2022</v>
      </c>
      <c r="E1080" t="s">
        <v>6</v>
      </c>
      <c r="F1080">
        <v>21.819800000000001</v>
      </c>
    </row>
    <row r="1081" spans="1:6" x14ac:dyDescent="0.25">
      <c r="A1081" t="s">
        <v>19</v>
      </c>
      <c r="B1081" s="2">
        <v>44713</v>
      </c>
      <c r="C1081">
        <v>2022</v>
      </c>
      <c r="E1081" t="s">
        <v>6</v>
      </c>
      <c r="F1081">
        <v>22.72</v>
      </c>
    </row>
    <row r="1082" spans="1:6" x14ac:dyDescent="0.25">
      <c r="A1082" t="s">
        <v>24</v>
      </c>
      <c r="B1082" s="2">
        <v>44607</v>
      </c>
      <c r="C1082">
        <v>2022</v>
      </c>
      <c r="E1082" t="s">
        <v>10</v>
      </c>
      <c r="F1082">
        <v>6.507200000000001</v>
      </c>
    </row>
    <row r="1083" spans="1:6" x14ac:dyDescent="0.25">
      <c r="A1083" t="s">
        <v>24</v>
      </c>
      <c r="B1083" s="2">
        <v>44608</v>
      </c>
      <c r="C1083">
        <v>2022</v>
      </c>
      <c r="E1083" t="s">
        <v>10</v>
      </c>
      <c r="F1083">
        <v>9.6515999999999984</v>
      </c>
    </row>
    <row r="1084" spans="1:6" x14ac:dyDescent="0.25">
      <c r="A1084" t="s">
        <v>24</v>
      </c>
      <c r="B1084" s="2">
        <v>44622</v>
      </c>
      <c r="C1084">
        <v>2022</v>
      </c>
      <c r="E1084" t="s">
        <v>10</v>
      </c>
      <c r="F1084">
        <v>12.1128</v>
      </c>
    </row>
    <row r="1085" spans="1:6" x14ac:dyDescent="0.25">
      <c r="A1085" t="s">
        <v>24</v>
      </c>
      <c r="B1085" s="2">
        <v>44622</v>
      </c>
      <c r="C1085">
        <v>2022</v>
      </c>
      <c r="E1085" t="s">
        <v>10</v>
      </c>
      <c r="F1085">
        <v>16.083900000000003</v>
      </c>
    </row>
    <row r="1086" spans="1:6" x14ac:dyDescent="0.25">
      <c r="A1086" t="s">
        <v>24</v>
      </c>
      <c r="B1086" s="2">
        <v>44635</v>
      </c>
      <c r="C1086">
        <v>2022</v>
      </c>
      <c r="E1086" t="s">
        <v>10</v>
      </c>
      <c r="F1086">
        <v>13.984200000000001</v>
      </c>
    </row>
    <row r="1087" spans="1:6" x14ac:dyDescent="0.25">
      <c r="A1087" t="s">
        <v>24</v>
      </c>
      <c r="B1087" s="2">
        <v>44662</v>
      </c>
      <c r="C1087">
        <v>2022</v>
      </c>
      <c r="E1087" t="s">
        <v>10</v>
      </c>
      <c r="F1087">
        <v>17.474599999999999</v>
      </c>
    </row>
    <row r="1088" spans="1:6" x14ac:dyDescent="0.25">
      <c r="A1088" t="s">
        <v>24</v>
      </c>
      <c r="B1088" s="2">
        <v>44669</v>
      </c>
      <c r="C1088">
        <v>2022</v>
      </c>
      <c r="E1088" t="s">
        <v>10</v>
      </c>
      <c r="F1088">
        <v>18.167499999999997</v>
      </c>
    </row>
    <row r="1089" spans="1:6" x14ac:dyDescent="0.25">
      <c r="A1089" t="s">
        <v>24</v>
      </c>
      <c r="B1089" s="2">
        <v>44677</v>
      </c>
      <c r="C1089">
        <v>2022</v>
      </c>
      <c r="E1089" t="s">
        <v>10</v>
      </c>
      <c r="F1089">
        <v>18.589999999999996</v>
      </c>
    </row>
    <row r="1090" spans="1:6" x14ac:dyDescent="0.25">
      <c r="A1090" t="s">
        <v>24</v>
      </c>
      <c r="B1090" s="2">
        <v>44683</v>
      </c>
      <c r="C1090">
        <v>2022</v>
      </c>
      <c r="E1090" t="s">
        <v>10</v>
      </c>
      <c r="F1090">
        <v>19.700099999999999</v>
      </c>
    </row>
    <row r="1091" spans="1:6" x14ac:dyDescent="0.25">
      <c r="A1091" t="s">
        <v>24</v>
      </c>
      <c r="B1091" s="2">
        <v>44697</v>
      </c>
      <c r="C1091">
        <v>2022</v>
      </c>
      <c r="E1091" t="s">
        <v>10</v>
      </c>
      <c r="F1091">
        <v>20.844000000000001</v>
      </c>
    </row>
    <row r="1092" spans="1:6" x14ac:dyDescent="0.25">
      <c r="A1092" t="s">
        <v>24</v>
      </c>
      <c r="B1092" s="2">
        <v>44711</v>
      </c>
      <c r="C1092">
        <v>2022</v>
      </c>
      <c r="E1092" t="s">
        <v>10</v>
      </c>
      <c r="F1092">
        <v>21.191399999999998</v>
      </c>
    </row>
    <row r="1093" spans="1:6" x14ac:dyDescent="0.25">
      <c r="A1093" t="s">
        <v>20</v>
      </c>
      <c r="B1093" s="2">
        <v>44952</v>
      </c>
      <c r="C1093">
        <v>2023</v>
      </c>
      <c r="E1093" t="s">
        <v>6</v>
      </c>
      <c r="F1093">
        <v>6.3356000000000003</v>
      </c>
    </row>
    <row r="1094" spans="1:6" x14ac:dyDescent="0.25">
      <c r="A1094" t="s">
        <v>20</v>
      </c>
      <c r="B1094" s="2">
        <v>44973</v>
      </c>
      <c r="C1094">
        <v>2023</v>
      </c>
      <c r="E1094" t="s">
        <v>6</v>
      </c>
      <c r="F1094">
        <v>9.4124999999999996</v>
      </c>
    </row>
    <row r="1095" spans="1:6" x14ac:dyDescent="0.25">
      <c r="A1095" t="s">
        <v>20</v>
      </c>
      <c r="B1095" s="2">
        <v>44984</v>
      </c>
      <c r="C1095">
        <v>2023</v>
      </c>
      <c r="E1095" t="s">
        <v>6</v>
      </c>
      <c r="F1095">
        <v>11.8299</v>
      </c>
    </row>
    <row r="1096" spans="1:6" x14ac:dyDescent="0.25">
      <c r="A1096" t="s">
        <v>20</v>
      </c>
      <c r="B1096" s="2">
        <v>45000</v>
      </c>
      <c r="C1096">
        <v>2023</v>
      </c>
      <c r="E1096" t="s">
        <v>6</v>
      </c>
      <c r="F1096">
        <v>14.16</v>
      </c>
    </row>
    <row r="1097" spans="1:6" x14ac:dyDescent="0.25">
      <c r="A1097" t="s">
        <v>20</v>
      </c>
      <c r="B1097" s="2">
        <v>45015</v>
      </c>
      <c r="C1097">
        <v>2023</v>
      </c>
      <c r="E1097" t="s">
        <v>6</v>
      </c>
      <c r="F1097">
        <v>15.593</v>
      </c>
    </row>
    <row r="1098" spans="1:6" x14ac:dyDescent="0.25">
      <c r="A1098" t="s">
        <v>20</v>
      </c>
      <c r="B1098" s="2">
        <v>45029</v>
      </c>
      <c r="C1098">
        <v>2023</v>
      </c>
      <c r="E1098" t="s">
        <v>6</v>
      </c>
      <c r="F1098">
        <v>16.170999999999999</v>
      </c>
    </row>
    <row r="1099" spans="1:6" x14ac:dyDescent="0.25">
      <c r="A1099" t="s">
        <v>20</v>
      </c>
      <c r="B1099" s="2">
        <v>45041</v>
      </c>
      <c r="C1099">
        <v>2023</v>
      </c>
      <c r="E1099" t="s">
        <v>6</v>
      </c>
      <c r="F1099">
        <v>18.248999999999999</v>
      </c>
    </row>
    <row r="1100" spans="1:6" x14ac:dyDescent="0.25">
      <c r="A1100" t="s">
        <v>20</v>
      </c>
      <c r="B1100" s="2">
        <v>45049</v>
      </c>
      <c r="C1100">
        <v>2023</v>
      </c>
      <c r="E1100" t="s">
        <v>6</v>
      </c>
      <c r="F1100">
        <v>18.7944</v>
      </c>
    </row>
    <row r="1101" spans="1:6" x14ac:dyDescent="0.25">
      <c r="A1101" t="s">
        <v>20</v>
      </c>
      <c r="B1101" s="2">
        <v>45062</v>
      </c>
      <c r="C1101">
        <v>2023</v>
      </c>
      <c r="E1101" t="s">
        <v>6</v>
      </c>
      <c r="F1101">
        <v>19.488899999999997</v>
      </c>
    </row>
    <row r="1102" spans="1:6" x14ac:dyDescent="0.25">
      <c r="A1102" t="s">
        <v>20</v>
      </c>
      <c r="B1102" s="2">
        <v>45076</v>
      </c>
      <c r="C1102">
        <v>2023</v>
      </c>
      <c r="E1102" t="s">
        <v>6</v>
      </c>
      <c r="F1102">
        <v>20.195999999999998</v>
      </c>
    </row>
    <row r="1103" spans="1:6" x14ac:dyDescent="0.25">
      <c r="A1103" t="s">
        <v>20</v>
      </c>
      <c r="B1103" s="2">
        <v>45083</v>
      </c>
      <c r="C1103">
        <v>2023</v>
      </c>
      <c r="E1103" t="s">
        <v>6</v>
      </c>
      <c r="F1103">
        <v>19.545300000000001</v>
      </c>
    </row>
    <row r="1104" spans="1:6" x14ac:dyDescent="0.25">
      <c r="A1104" t="s">
        <v>20</v>
      </c>
      <c r="B1104" s="2">
        <v>44952</v>
      </c>
      <c r="C1104">
        <v>2023</v>
      </c>
      <c r="E1104" t="s">
        <v>6</v>
      </c>
      <c r="F1104">
        <v>7.68</v>
      </c>
    </row>
    <row r="1105" spans="1:6" x14ac:dyDescent="0.25">
      <c r="A1105" t="s">
        <v>20</v>
      </c>
      <c r="B1105" s="2">
        <v>44974</v>
      </c>
      <c r="C1105">
        <v>2023</v>
      </c>
      <c r="E1105" t="s">
        <v>6</v>
      </c>
      <c r="F1105">
        <v>11.2468</v>
      </c>
    </row>
    <row r="1106" spans="1:6" x14ac:dyDescent="0.25">
      <c r="A1106" t="s">
        <v>20</v>
      </c>
      <c r="B1106" s="2">
        <v>44984</v>
      </c>
      <c r="C1106">
        <v>2023</v>
      </c>
      <c r="E1106" t="s">
        <v>6</v>
      </c>
      <c r="F1106">
        <v>14.643999999999998</v>
      </c>
    </row>
    <row r="1107" spans="1:6" x14ac:dyDescent="0.25">
      <c r="A1107" t="s">
        <v>20</v>
      </c>
      <c r="B1107" s="2">
        <v>45000</v>
      </c>
      <c r="C1107">
        <v>2023</v>
      </c>
      <c r="E1107" t="s">
        <v>6</v>
      </c>
      <c r="F1107">
        <v>18.2835</v>
      </c>
    </row>
    <row r="1108" spans="1:6" x14ac:dyDescent="0.25">
      <c r="A1108" t="s">
        <v>20</v>
      </c>
      <c r="B1108" s="2">
        <v>45015</v>
      </c>
      <c r="C1108">
        <v>2023</v>
      </c>
      <c r="E1108" t="s">
        <v>6</v>
      </c>
      <c r="F1108">
        <v>20.590500000000002</v>
      </c>
    </row>
    <row r="1109" spans="1:6" x14ac:dyDescent="0.25">
      <c r="A1109" t="s">
        <v>20</v>
      </c>
      <c r="B1109" s="2">
        <v>45029</v>
      </c>
      <c r="C1109">
        <v>2023</v>
      </c>
      <c r="E1109" t="s">
        <v>6</v>
      </c>
      <c r="F1109">
        <v>22.845600000000001</v>
      </c>
    </row>
    <row r="1110" spans="1:6" x14ac:dyDescent="0.25">
      <c r="A1110" t="s">
        <v>20</v>
      </c>
      <c r="B1110" s="2">
        <v>45041</v>
      </c>
      <c r="C1110">
        <v>2023</v>
      </c>
      <c r="E1110" t="s">
        <v>6</v>
      </c>
      <c r="F1110">
        <v>23.795200000000001</v>
      </c>
    </row>
    <row r="1111" spans="1:6" x14ac:dyDescent="0.25">
      <c r="A1111" t="s">
        <v>20</v>
      </c>
      <c r="B1111" s="2">
        <v>45049</v>
      </c>
      <c r="C1111">
        <v>2023</v>
      </c>
      <c r="E1111" t="s">
        <v>6</v>
      </c>
      <c r="F1111">
        <v>24.320799999999998</v>
      </c>
    </row>
    <row r="1112" spans="1:6" x14ac:dyDescent="0.25">
      <c r="A1112" t="s">
        <v>20</v>
      </c>
      <c r="B1112" s="2">
        <v>45062</v>
      </c>
      <c r="C1112">
        <v>2023</v>
      </c>
      <c r="E1112" t="s">
        <v>6</v>
      </c>
      <c r="F1112">
        <v>24.446999999999999</v>
      </c>
    </row>
    <row r="1113" spans="1:6" x14ac:dyDescent="0.25">
      <c r="A1113" t="s">
        <v>20</v>
      </c>
      <c r="B1113" s="2">
        <v>45077</v>
      </c>
      <c r="C1113">
        <v>2023</v>
      </c>
      <c r="E1113" t="s">
        <v>6</v>
      </c>
      <c r="F1113">
        <v>24.847199999999997</v>
      </c>
    </row>
    <row r="1114" spans="1:6" x14ac:dyDescent="0.25">
      <c r="A1114" t="s">
        <v>20</v>
      </c>
      <c r="B1114" s="2">
        <v>45083</v>
      </c>
      <c r="C1114">
        <v>2023</v>
      </c>
      <c r="E1114" t="s">
        <v>6</v>
      </c>
      <c r="F1114">
        <v>22.531999999999996</v>
      </c>
    </row>
    <row r="1115" spans="1:6" x14ac:dyDescent="0.25">
      <c r="A1115" t="s">
        <v>20</v>
      </c>
      <c r="B1115" s="2">
        <v>44952</v>
      </c>
      <c r="C1115">
        <v>2023</v>
      </c>
      <c r="E1115" t="s">
        <v>6</v>
      </c>
      <c r="F1115">
        <v>7.3137999999999996</v>
      </c>
    </row>
    <row r="1116" spans="1:6" x14ac:dyDescent="0.25">
      <c r="A1116" t="s">
        <v>20</v>
      </c>
      <c r="B1116" s="2">
        <v>44973</v>
      </c>
      <c r="C1116">
        <v>2023</v>
      </c>
      <c r="E1116" t="s">
        <v>6</v>
      </c>
      <c r="F1116">
        <v>11.023599999999998</v>
      </c>
    </row>
    <row r="1117" spans="1:6" x14ac:dyDescent="0.25">
      <c r="A1117" t="s">
        <v>20</v>
      </c>
      <c r="B1117" s="2">
        <v>44987</v>
      </c>
      <c r="C1117">
        <v>2023</v>
      </c>
      <c r="E1117" t="s">
        <v>6</v>
      </c>
      <c r="F1117">
        <v>13.492799999999999</v>
      </c>
    </row>
    <row r="1118" spans="1:6" x14ac:dyDescent="0.25">
      <c r="A1118" t="s">
        <v>20</v>
      </c>
      <c r="B1118" s="2">
        <v>45001</v>
      </c>
      <c r="C1118">
        <v>2023</v>
      </c>
      <c r="E1118" t="s">
        <v>6</v>
      </c>
      <c r="F1118">
        <v>16.840599999999998</v>
      </c>
    </row>
    <row r="1119" spans="1:6" x14ac:dyDescent="0.25">
      <c r="A1119" t="s">
        <v>20</v>
      </c>
      <c r="B1119" s="2">
        <v>45014</v>
      </c>
      <c r="C1119">
        <v>2023</v>
      </c>
      <c r="E1119" t="s">
        <v>6</v>
      </c>
      <c r="F1119">
        <v>19.481999999999999</v>
      </c>
    </row>
    <row r="1120" spans="1:6" x14ac:dyDescent="0.25">
      <c r="A1120" t="s">
        <v>20</v>
      </c>
      <c r="B1120" s="2">
        <v>45029</v>
      </c>
      <c r="C1120">
        <v>2023</v>
      </c>
      <c r="E1120" t="s">
        <v>6</v>
      </c>
      <c r="F1120">
        <v>22.633600000000001</v>
      </c>
    </row>
    <row r="1121" spans="1:6" x14ac:dyDescent="0.25">
      <c r="A1121" t="s">
        <v>20</v>
      </c>
      <c r="B1121" s="2">
        <v>45041</v>
      </c>
      <c r="C1121">
        <v>2023</v>
      </c>
      <c r="E1121" t="s">
        <v>6</v>
      </c>
      <c r="F1121">
        <v>24.105599999999999</v>
      </c>
    </row>
    <row r="1122" spans="1:6" x14ac:dyDescent="0.25">
      <c r="A1122" t="s">
        <v>20</v>
      </c>
      <c r="B1122" s="2">
        <v>45049</v>
      </c>
      <c r="C1122">
        <v>2023</v>
      </c>
      <c r="E1122" t="s">
        <v>6</v>
      </c>
      <c r="F1122">
        <v>25.936899999999994</v>
      </c>
    </row>
    <row r="1123" spans="1:6" x14ac:dyDescent="0.25">
      <c r="A1123" t="s">
        <v>20</v>
      </c>
      <c r="B1123" s="2">
        <v>45062</v>
      </c>
      <c r="C1123">
        <v>2023</v>
      </c>
      <c r="E1123" t="s">
        <v>6</v>
      </c>
      <c r="F1123">
        <v>24.915800000000001</v>
      </c>
    </row>
    <row r="1124" spans="1:6" x14ac:dyDescent="0.25">
      <c r="A1124" t="s">
        <v>20</v>
      </c>
      <c r="B1124" s="2">
        <v>45076</v>
      </c>
      <c r="C1124">
        <v>2023</v>
      </c>
      <c r="E1124" t="s">
        <v>6</v>
      </c>
      <c r="F1124">
        <v>24.590499999999999</v>
      </c>
    </row>
    <row r="1125" spans="1:6" x14ac:dyDescent="0.25">
      <c r="A1125" t="s">
        <v>20</v>
      </c>
      <c r="B1125" s="2">
        <v>45083</v>
      </c>
      <c r="C1125">
        <v>2023</v>
      </c>
      <c r="E1125" t="s">
        <v>6</v>
      </c>
      <c r="F1125">
        <v>25.136999999999997</v>
      </c>
    </row>
    <row r="1126" spans="1:6" x14ac:dyDescent="0.25">
      <c r="A1126" t="s">
        <v>20</v>
      </c>
      <c r="B1126" s="2">
        <v>44950</v>
      </c>
      <c r="C1126">
        <v>2023</v>
      </c>
      <c r="E1126" t="s">
        <v>6</v>
      </c>
      <c r="F1126">
        <v>5.7330000000000005</v>
      </c>
    </row>
    <row r="1127" spans="1:6" x14ac:dyDescent="0.25">
      <c r="A1127" t="s">
        <v>20</v>
      </c>
      <c r="B1127" s="2">
        <v>44974</v>
      </c>
      <c r="C1127">
        <v>2023</v>
      </c>
      <c r="E1127" t="s">
        <v>6</v>
      </c>
      <c r="F1127">
        <v>8.2151000000000014</v>
      </c>
    </row>
    <row r="1128" spans="1:6" x14ac:dyDescent="0.25">
      <c r="A1128" t="s">
        <v>20</v>
      </c>
      <c r="B1128" s="2">
        <v>44987</v>
      </c>
      <c r="C1128">
        <v>2023</v>
      </c>
      <c r="E1128" t="s">
        <v>6</v>
      </c>
      <c r="F1128">
        <v>10.610999999999999</v>
      </c>
    </row>
    <row r="1129" spans="1:6" x14ac:dyDescent="0.25">
      <c r="A1129" t="s">
        <v>20</v>
      </c>
      <c r="B1129" s="2">
        <v>45001</v>
      </c>
      <c r="C1129">
        <v>2023</v>
      </c>
      <c r="E1129" t="s">
        <v>6</v>
      </c>
      <c r="F1129">
        <v>13.234500000000001</v>
      </c>
    </row>
    <row r="1130" spans="1:6" x14ac:dyDescent="0.25">
      <c r="A1130" t="s">
        <v>20</v>
      </c>
      <c r="B1130" s="2">
        <v>45014</v>
      </c>
      <c r="C1130">
        <v>2023</v>
      </c>
      <c r="E1130" t="s">
        <v>6</v>
      </c>
      <c r="F1130">
        <v>15.264000000000001</v>
      </c>
    </row>
    <row r="1131" spans="1:6" x14ac:dyDescent="0.25">
      <c r="A1131" t="s">
        <v>20</v>
      </c>
      <c r="B1131" s="2">
        <v>45031</v>
      </c>
      <c r="C1131">
        <v>2023</v>
      </c>
      <c r="E1131" t="s">
        <v>6</v>
      </c>
      <c r="F1131">
        <v>16.933800000000002</v>
      </c>
    </row>
    <row r="1132" spans="1:6" x14ac:dyDescent="0.25">
      <c r="A1132" t="s">
        <v>20</v>
      </c>
      <c r="B1132" s="2">
        <v>45041</v>
      </c>
      <c r="C1132">
        <v>2023</v>
      </c>
      <c r="E1132" t="s">
        <v>6</v>
      </c>
      <c r="F1132">
        <v>18.791999999999998</v>
      </c>
    </row>
    <row r="1133" spans="1:6" x14ac:dyDescent="0.25">
      <c r="A1133" t="s">
        <v>20</v>
      </c>
      <c r="B1133" s="2">
        <v>45049</v>
      </c>
      <c r="C1133">
        <v>2023</v>
      </c>
      <c r="E1133" t="s">
        <v>6</v>
      </c>
      <c r="F1133">
        <v>19.670000000000002</v>
      </c>
    </row>
    <row r="1134" spans="1:6" x14ac:dyDescent="0.25">
      <c r="A1134" t="s">
        <v>20</v>
      </c>
      <c r="B1134" s="2">
        <v>45062</v>
      </c>
      <c r="C1134">
        <v>2023</v>
      </c>
      <c r="E1134" t="s">
        <v>6</v>
      </c>
      <c r="F1134">
        <v>20.914999999999999</v>
      </c>
    </row>
    <row r="1135" spans="1:6" x14ac:dyDescent="0.25">
      <c r="A1135" t="s">
        <v>20</v>
      </c>
      <c r="B1135" s="2">
        <v>45077</v>
      </c>
      <c r="C1135">
        <v>2023</v>
      </c>
      <c r="E1135" t="s">
        <v>6</v>
      </c>
      <c r="F1135">
        <v>20.790399999999998</v>
      </c>
    </row>
    <row r="1136" spans="1:6" x14ac:dyDescent="0.25">
      <c r="A1136" t="s">
        <v>20</v>
      </c>
      <c r="B1136" s="2">
        <v>45083</v>
      </c>
      <c r="C1136">
        <v>2023</v>
      </c>
      <c r="E1136" t="s">
        <v>6</v>
      </c>
      <c r="F1136">
        <v>20.262799999999999</v>
      </c>
    </row>
    <row r="1137" spans="1:6" x14ac:dyDescent="0.25">
      <c r="A1137" t="s">
        <v>20</v>
      </c>
      <c r="B1137" s="2">
        <v>44952</v>
      </c>
      <c r="C1137">
        <v>2023</v>
      </c>
      <c r="E1137" t="s">
        <v>6</v>
      </c>
      <c r="F1137">
        <v>5.0961999999999996</v>
      </c>
    </row>
    <row r="1138" spans="1:6" x14ac:dyDescent="0.25">
      <c r="A1138" t="s">
        <v>20</v>
      </c>
      <c r="B1138" s="2">
        <v>44974</v>
      </c>
      <c r="C1138">
        <v>2023</v>
      </c>
      <c r="E1138" t="s">
        <v>6</v>
      </c>
      <c r="F1138">
        <v>7.1189999999999998</v>
      </c>
    </row>
    <row r="1139" spans="1:6" x14ac:dyDescent="0.25">
      <c r="A1139" t="s">
        <v>20</v>
      </c>
      <c r="B1139" s="2">
        <v>44984</v>
      </c>
      <c r="C1139">
        <v>2023</v>
      </c>
      <c r="E1139" t="s">
        <v>6</v>
      </c>
      <c r="F1139">
        <v>9.0643999999999991</v>
      </c>
    </row>
    <row r="1140" spans="1:6" x14ac:dyDescent="0.25">
      <c r="A1140" t="s">
        <v>20</v>
      </c>
      <c r="B1140" s="2">
        <v>45000</v>
      </c>
      <c r="C1140">
        <v>2023</v>
      </c>
      <c r="E1140" t="s">
        <v>6</v>
      </c>
      <c r="F1140">
        <v>11.168299999999999</v>
      </c>
    </row>
    <row r="1141" spans="1:6" x14ac:dyDescent="0.25">
      <c r="A1141" t="s">
        <v>20</v>
      </c>
      <c r="B1141" s="2">
        <v>45015</v>
      </c>
      <c r="C1141">
        <v>2023</v>
      </c>
      <c r="E1141" t="s">
        <v>6</v>
      </c>
      <c r="F1141">
        <v>12.615</v>
      </c>
    </row>
    <row r="1142" spans="1:6" x14ac:dyDescent="0.25">
      <c r="A1142" t="s">
        <v>20</v>
      </c>
      <c r="B1142" s="2">
        <v>45029</v>
      </c>
      <c r="C1142">
        <v>2023</v>
      </c>
      <c r="E1142" t="s">
        <v>6</v>
      </c>
      <c r="F1142">
        <v>13.9345</v>
      </c>
    </row>
    <row r="1143" spans="1:6" x14ac:dyDescent="0.25">
      <c r="A1143" t="s">
        <v>20</v>
      </c>
      <c r="B1143" s="2">
        <v>45041</v>
      </c>
      <c r="C1143">
        <v>2023</v>
      </c>
      <c r="E1143" t="s">
        <v>6</v>
      </c>
      <c r="F1143">
        <v>15.344000000000001</v>
      </c>
    </row>
    <row r="1144" spans="1:6" x14ac:dyDescent="0.25">
      <c r="A1144" t="s">
        <v>20</v>
      </c>
      <c r="B1144" s="2">
        <v>45049</v>
      </c>
      <c r="C1144">
        <v>2023</v>
      </c>
      <c r="E1144" t="s">
        <v>6</v>
      </c>
      <c r="F1144">
        <v>15.1944</v>
      </c>
    </row>
    <row r="1145" spans="1:6" x14ac:dyDescent="0.25">
      <c r="A1145" t="s">
        <v>20</v>
      </c>
      <c r="B1145" s="2">
        <v>45062</v>
      </c>
      <c r="C1145">
        <v>2023</v>
      </c>
      <c r="E1145" t="s">
        <v>6</v>
      </c>
      <c r="F1145">
        <v>15.061199999999999</v>
      </c>
    </row>
    <row r="1146" spans="1:6" x14ac:dyDescent="0.25">
      <c r="A1146" t="s">
        <v>20</v>
      </c>
      <c r="B1146" s="2">
        <v>45076</v>
      </c>
      <c r="C1146">
        <v>2023</v>
      </c>
      <c r="E1146" t="s">
        <v>6</v>
      </c>
      <c r="F1146">
        <v>15.968</v>
      </c>
    </row>
    <row r="1147" spans="1:6" x14ac:dyDescent="0.25">
      <c r="A1147" t="s">
        <v>20</v>
      </c>
      <c r="B1147" s="2">
        <v>45083</v>
      </c>
      <c r="C1147">
        <v>2023</v>
      </c>
      <c r="E1147" t="s">
        <v>6</v>
      </c>
      <c r="F1147">
        <v>18.631999999999998</v>
      </c>
    </row>
    <row r="1148" spans="1:6" x14ac:dyDescent="0.25">
      <c r="A1148" t="s">
        <v>25</v>
      </c>
      <c r="B1148" s="2">
        <v>44949</v>
      </c>
      <c r="C1148">
        <v>2023</v>
      </c>
      <c r="E1148" t="s">
        <v>10</v>
      </c>
      <c r="F1148">
        <v>6.8713999999999995</v>
      </c>
    </row>
    <row r="1149" spans="1:6" x14ac:dyDescent="0.25">
      <c r="A1149" t="s">
        <v>25</v>
      </c>
      <c r="B1149" s="2">
        <v>44971</v>
      </c>
      <c r="C1149">
        <v>2023</v>
      </c>
      <c r="E1149" t="s">
        <v>10</v>
      </c>
      <c r="F1149">
        <v>11.225600000000002</v>
      </c>
    </row>
    <row r="1150" spans="1:6" x14ac:dyDescent="0.25">
      <c r="A1150" t="s">
        <v>25</v>
      </c>
      <c r="B1150" s="2">
        <v>44987</v>
      </c>
      <c r="C1150">
        <v>2023</v>
      </c>
      <c r="E1150" t="s">
        <v>10</v>
      </c>
      <c r="F1150">
        <v>15.862</v>
      </c>
    </row>
    <row r="1151" spans="1:6" x14ac:dyDescent="0.25">
      <c r="A1151" t="s">
        <v>25</v>
      </c>
      <c r="B1151" s="2">
        <v>44998</v>
      </c>
      <c r="C1151">
        <v>2023</v>
      </c>
      <c r="E1151" t="s">
        <v>10</v>
      </c>
      <c r="F1151">
        <v>16.912800000000001</v>
      </c>
    </row>
    <row r="1152" spans="1:6" x14ac:dyDescent="0.25">
      <c r="A1152" t="s">
        <v>25</v>
      </c>
      <c r="B1152" s="2">
        <v>45014</v>
      </c>
      <c r="C1152">
        <v>2023</v>
      </c>
      <c r="E1152" t="s">
        <v>10</v>
      </c>
      <c r="F1152">
        <v>20.674400000000002</v>
      </c>
    </row>
    <row r="1153" spans="1:6" x14ac:dyDescent="0.25">
      <c r="A1153" t="s">
        <v>25</v>
      </c>
      <c r="B1153" s="2">
        <v>45027</v>
      </c>
      <c r="C1153">
        <v>2023</v>
      </c>
      <c r="E1153" t="s">
        <v>10</v>
      </c>
      <c r="F1153">
        <v>22.05</v>
      </c>
    </row>
    <row r="1154" spans="1:6" x14ac:dyDescent="0.25">
      <c r="A1154" t="s">
        <v>25</v>
      </c>
      <c r="B1154" s="2">
        <v>45040</v>
      </c>
      <c r="C1154">
        <v>2023</v>
      </c>
      <c r="E1154" t="s">
        <v>10</v>
      </c>
      <c r="F1154">
        <v>23.294399999999996</v>
      </c>
    </row>
    <row r="1155" spans="1:6" x14ac:dyDescent="0.25">
      <c r="A1155" t="s">
        <v>25</v>
      </c>
      <c r="B1155" s="2">
        <v>45047</v>
      </c>
      <c r="C1155">
        <v>2023</v>
      </c>
      <c r="E1155" t="s">
        <v>10</v>
      </c>
      <c r="F1155">
        <v>23.439500000000002</v>
      </c>
    </row>
    <row r="1156" spans="1:6" x14ac:dyDescent="0.25">
      <c r="A1156" t="s">
        <v>25</v>
      </c>
      <c r="B1156" s="2">
        <v>45062</v>
      </c>
      <c r="C1156">
        <v>2023</v>
      </c>
      <c r="E1156" t="s">
        <v>10</v>
      </c>
      <c r="F1156">
        <v>24.252000000000002</v>
      </c>
    </row>
    <row r="1157" spans="1:6" x14ac:dyDescent="0.25">
      <c r="A1157" t="s">
        <v>25</v>
      </c>
      <c r="B1157" s="2">
        <v>45076</v>
      </c>
      <c r="C1157">
        <v>2023</v>
      </c>
      <c r="E1157" t="s">
        <v>10</v>
      </c>
      <c r="F1157">
        <v>24.935600000000001</v>
      </c>
    </row>
    <row r="1158" spans="1:6" x14ac:dyDescent="0.25">
      <c r="A1158" t="s">
        <v>25</v>
      </c>
      <c r="B1158" s="2">
        <v>45083</v>
      </c>
      <c r="C1158">
        <v>2023</v>
      </c>
      <c r="E1158" t="s">
        <v>10</v>
      </c>
      <c r="F1158">
        <v>24.414500000000004</v>
      </c>
    </row>
    <row r="1159" spans="1:6" x14ac:dyDescent="0.25">
      <c r="A1159" t="s">
        <v>21</v>
      </c>
      <c r="B1159" s="2">
        <v>45316</v>
      </c>
      <c r="C1159">
        <v>2024</v>
      </c>
      <c r="E1159" t="s">
        <v>6</v>
      </c>
      <c r="F1159">
        <v>5.22</v>
      </c>
    </row>
    <row r="1160" spans="1:6" x14ac:dyDescent="0.25">
      <c r="A1160" t="s">
        <v>21</v>
      </c>
      <c r="B1160" s="2">
        <v>45337</v>
      </c>
      <c r="C1160">
        <v>2024</v>
      </c>
      <c r="E1160" t="s">
        <v>6</v>
      </c>
      <c r="F1160">
        <v>8.4240000000000013</v>
      </c>
    </row>
    <row r="1161" spans="1:6" x14ac:dyDescent="0.25">
      <c r="A1161" t="s">
        <v>21</v>
      </c>
      <c r="B1161" s="2">
        <v>45350</v>
      </c>
      <c r="C1161">
        <v>2024</v>
      </c>
      <c r="E1161" t="s">
        <v>6</v>
      </c>
      <c r="F1161">
        <v>10.503</v>
      </c>
    </row>
    <row r="1162" spans="1:6" x14ac:dyDescent="0.25">
      <c r="A1162" t="s">
        <v>21</v>
      </c>
      <c r="B1162" s="2">
        <v>45364</v>
      </c>
      <c r="C1162">
        <v>2024</v>
      </c>
      <c r="E1162" t="s">
        <v>6</v>
      </c>
      <c r="F1162">
        <v>12.1472</v>
      </c>
    </row>
    <row r="1163" spans="1:6" x14ac:dyDescent="0.25">
      <c r="A1163" t="s">
        <v>21</v>
      </c>
      <c r="B1163" s="2">
        <v>45378</v>
      </c>
      <c r="C1163">
        <v>2024</v>
      </c>
      <c r="E1163" t="s">
        <v>6</v>
      </c>
      <c r="F1163">
        <v>13.311000000000002</v>
      </c>
    </row>
    <row r="1164" spans="1:6" x14ac:dyDescent="0.25">
      <c r="A1164" t="s">
        <v>21</v>
      </c>
      <c r="B1164" s="2">
        <v>45390</v>
      </c>
      <c r="C1164">
        <v>2024</v>
      </c>
      <c r="E1164" t="s">
        <v>6</v>
      </c>
      <c r="F1164">
        <v>12.973500000000001</v>
      </c>
    </row>
    <row r="1165" spans="1:6" x14ac:dyDescent="0.25">
      <c r="A1165" t="s">
        <v>21</v>
      </c>
      <c r="B1165" s="2">
        <v>45404</v>
      </c>
      <c r="C1165">
        <v>2024</v>
      </c>
      <c r="E1165" t="s">
        <v>6</v>
      </c>
      <c r="F1165">
        <v>14.267999999999999</v>
      </c>
    </row>
    <row r="1166" spans="1:6" x14ac:dyDescent="0.25">
      <c r="A1166" t="s">
        <v>21</v>
      </c>
      <c r="B1166" s="2">
        <v>45414</v>
      </c>
      <c r="C1166">
        <v>2024</v>
      </c>
      <c r="E1166" t="s">
        <v>6</v>
      </c>
      <c r="F1166">
        <v>15.624000000000001</v>
      </c>
    </row>
    <row r="1167" spans="1:6" x14ac:dyDescent="0.25">
      <c r="A1167" t="s">
        <v>21</v>
      </c>
      <c r="B1167" s="2">
        <v>45425</v>
      </c>
      <c r="C1167">
        <v>2024</v>
      </c>
      <c r="E1167" t="s">
        <v>6</v>
      </c>
      <c r="F1167">
        <v>15.652000000000001</v>
      </c>
    </row>
    <row r="1168" spans="1:6" x14ac:dyDescent="0.25">
      <c r="A1168" t="s">
        <v>21</v>
      </c>
      <c r="B1168" s="2">
        <v>45439</v>
      </c>
      <c r="C1168">
        <v>2024</v>
      </c>
      <c r="E1168" t="s">
        <v>6</v>
      </c>
      <c r="F1168">
        <v>14.858400000000001</v>
      </c>
    </row>
    <row r="1169" spans="1:6" x14ac:dyDescent="0.25">
      <c r="A1169" t="s">
        <v>21</v>
      </c>
      <c r="B1169" s="2">
        <v>45454</v>
      </c>
      <c r="C1169">
        <v>2024</v>
      </c>
      <c r="E1169" t="s">
        <v>6</v>
      </c>
      <c r="F1169">
        <v>14.500800000000002</v>
      </c>
    </row>
    <row r="1170" spans="1:6" x14ac:dyDescent="0.25">
      <c r="A1170" t="s">
        <v>21</v>
      </c>
      <c r="B1170" s="2">
        <v>45314</v>
      </c>
      <c r="C1170">
        <v>2024</v>
      </c>
      <c r="E1170" t="s">
        <v>6</v>
      </c>
      <c r="F1170">
        <v>5.7376000000000014</v>
      </c>
    </row>
    <row r="1171" spans="1:6" x14ac:dyDescent="0.25">
      <c r="A1171" t="s">
        <v>21</v>
      </c>
      <c r="B1171" s="2">
        <v>45337</v>
      </c>
      <c r="C1171">
        <v>2024</v>
      </c>
      <c r="E1171" t="s">
        <v>6</v>
      </c>
      <c r="F1171">
        <v>10.566399999999998</v>
      </c>
    </row>
    <row r="1172" spans="1:6" x14ac:dyDescent="0.25">
      <c r="A1172" t="s">
        <v>21</v>
      </c>
      <c r="B1172" s="2">
        <v>45348</v>
      </c>
      <c r="C1172">
        <v>2024</v>
      </c>
      <c r="E1172" t="s">
        <v>6</v>
      </c>
      <c r="F1172">
        <v>11.4376</v>
      </c>
    </row>
    <row r="1173" spans="1:6" x14ac:dyDescent="0.25">
      <c r="A1173" t="s">
        <v>21</v>
      </c>
      <c r="B1173" s="2">
        <v>45365</v>
      </c>
      <c r="C1173">
        <v>2024</v>
      </c>
      <c r="E1173" t="s">
        <v>6</v>
      </c>
      <c r="F1173">
        <v>14.351400000000002</v>
      </c>
    </row>
    <row r="1174" spans="1:6" x14ac:dyDescent="0.25">
      <c r="A1174" t="s">
        <v>21</v>
      </c>
      <c r="B1174" s="2">
        <v>45379</v>
      </c>
      <c r="C1174">
        <v>2024</v>
      </c>
      <c r="E1174" t="s">
        <v>6</v>
      </c>
      <c r="F1174">
        <v>16.467200000000002</v>
      </c>
    </row>
    <row r="1175" spans="1:6" x14ac:dyDescent="0.25">
      <c r="A1175" t="s">
        <v>21</v>
      </c>
      <c r="B1175" s="2">
        <v>45393</v>
      </c>
      <c r="C1175">
        <v>2024</v>
      </c>
      <c r="E1175" t="s">
        <v>6</v>
      </c>
      <c r="F1175">
        <v>17.629000000000001</v>
      </c>
    </row>
    <row r="1176" spans="1:6" x14ac:dyDescent="0.25">
      <c r="A1176" t="s">
        <v>21</v>
      </c>
      <c r="B1176" s="2">
        <v>45407</v>
      </c>
      <c r="C1176">
        <v>2024</v>
      </c>
      <c r="E1176" t="s">
        <v>6</v>
      </c>
      <c r="F1176">
        <v>18.948599999999999</v>
      </c>
    </row>
    <row r="1177" spans="1:6" x14ac:dyDescent="0.25">
      <c r="A1177" t="s">
        <v>21</v>
      </c>
      <c r="B1177" s="2">
        <v>45414</v>
      </c>
      <c r="C1177">
        <v>2024</v>
      </c>
      <c r="E1177" t="s">
        <v>6</v>
      </c>
      <c r="F1177">
        <v>20.6096</v>
      </c>
    </row>
    <row r="1178" spans="1:6" x14ac:dyDescent="0.25">
      <c r="A1178" t="s">
        <v>21</v>
      </c>
      <c r="B1178" s="2">
        <v>45425</v>
      </c>
      <c r="C1178">
        <v>2024</v>
      </c>
      <c r="E1178" t="s">
        <v>6</v>
      </c>
      <c r="F1178">
        <v>20.810399999999994</v>
      </c>
    </row>
    <row r="1179" spans="1:6" x14ac:dyDescent="0.25">
      <c r="A1179" t="s">
        <v>21</v>
      </c>
      <c r="B1179" s="2">
        <v>45441</v>
      </c>
      <c r="C1179">
        <v>2024</v>
      </c>
      <c r="E1179" t="s">
        <v>6</v>
      </c>
      <c r="F1179">
        <v>20.833099999999998</v>
      </c>
    </row>
    <row r="1180" spans="1:6" x14ac:dyDescent="0.25">
      <c r="A1180" t="s">
        <v>21</v>
      </c>
      <c r="B1180" s="2">
        <v>45453</v>
      </c>
      <c r="C1180">
        <v>2024</v>
      </c>
      <c r="E1180" t="s">
        <v>6</v>
      </c>
      <c r="F1180">
        <v>20.495499999999996</v>
      </c>
    </row>
    <row r="1181" spans="1:6" x14ac:dyDescent="0.25">
      <c r="A1181" t="s">
        <v>21</v>
      </c>
      <c r="B1181" s="2">
        <v>45314</v>
      </c>
      <c r="C1181">
        <v>2024</v>
      </c>
      <c r="E1181" t="s">
        <v>6</v>
      </c>
      <c r="F1181">
        <v>4.9717000000000002</v>
      </c>
    </row>
    <row r="1182" spans="1:6" x14ac:dyDescent="0.25">
      <c r="A1182" t="s">
        <v>21</v>
      </c>
      <c r="B1182" s="2">
        <v>45336</v>
      </c>
      <c r="C1182">
        <v>2024</v>
      </c>
      <c r="E1182" t="s">
        <v>6</v>
      </c>
      <c r="F1182">
        <v>7.9373000000000005</v>
      </c>
    </row>
    <row r="1183" spans="1:6" x14ac:dyDescent="0.25">
      <c r="A1183" t="s">
        <v>21</v>
      </c>
      <c r="B1183" s="2">
        <v>45348</v>
      </c>
      <c r="C1183">
        <v>2024</v>
      </c>
      <c r="E1183" t="s">
        <v>6</v>
      </c>
      <c r="F1183">
        <v>10.111500000000001</v>
      </c>
    </row>
    <row r="1184" spans="1:6" x14ac:dyDescent="0.25">
      <c r="A1184" t="s">
        <v>21</v>
      </c>
      <c r="B1184" s="2">
        <v>45365</v>
      </c>
      <c r="C1184">
        <v>2024</v>
      </c>
      <c r="E1184" t="s">
        <v>6</v>
      </c>
      <c r="F1184">
        <v>12.935199999999998</v>
      </c>
    </row>
    <row r="1185" spans="1:6" x14ac:dyDescent="0.25">
      <c r="A1185" t="s">
        <v>21</v>
      </c>
      <c r="B1185" s="2">
        <v>45379</v>
      </c>
      <c r="C1185">
        <v>2024</v>
      </c>
      <c r="E1185" t="s">
        <v>6</v>
      </c>
      <c r="F1185">
        <v>14.8748</v>
      </c>
    </row>
    <row r="1186" spans="1:6" x14ac:dyDescent="0.25">
      <c r="A1186" t="s">
        <v>21</v>
      </c>
      <c r="B1186" s="2">
        <v>45390</v>
      </c>
      <c r="C1186">
        <v>2024</v>
      </c>
      <c r="E1186" t="s">
        <v>6</v>
      </c>
      <c r="F1186">
        <v>15.4224</v>
      </c>
    </row>
    <row r="1187" spans="1:6" x14ac:dyDescent="0.25">
      <c r="A1187" t="s">
        <v>21</v>
      </c>
      <c r="B1187" s="2">
        <v>45404</v>
      </c>
      <c r="C1187">
        <v>2024</v>
      </c>
      <c r="E1187" t="s">
        <v>6</v>
      </c>
      <c r="F1187">
        <v>16.8904</v>
      </c>
    </row>
    <row r="1188" spans="1:6" x14ac:dyDescent="0.25">
      <c r="A1188" t="s">
        <v>21</v>
      </c>
      <c r="B1188" s="2">
        <v>45413</v>
      </c>
      <c r="C1188">
        <v>2024</v>
      </c>
      <c r="E1188" t="s">
        <v>6</v>
      </c>
      <c r="F1188">
        <v>18.000899999999998</v>
      </c>
    </row>
    <row r="1189" spans="1:6" x14ac:dyDescent="0.25">
      <c r="A1189" t="s">
        <v>21</v>
      </c>
      <c r="B1189" s="2">
        <v>45425</v>
      </c>
      <c r="C1189">
        <v>2024</v>
      </c>
      <c r="E1189" t="s">
        <v>6</v>
      </c>
      <c r="F1189">
        <v>19.007199999999997</v>
      </c>
    </row>
    <row r="1190" spans="1:6" x14ac:dyDescent="0.25">
      <c r="A1190" t="s">
        <v>21</v>
      </c>
      <c r="B1190" s="2">
        <v>45441</v>
      </c>
      <c r="C1190">
        <v>2024</v>
      </c>
      <c r="E1190" t="s">
        <v>6</v>
      </c>
      <c r="F1190">
        <v>17.756799999999998</v>
      </c>
    </row>
    <row r="1191" spans="1:6" x14ac:dyDescent="0.25">
      <c r="A1191" t="s">
        <v>21</v>
      </c>
      <c r="B1191" s="2">
        <v>45453</v>
      </c>
      <c r="C1191">
        <v>2024</v>
      </c>
      <c r="E1191" t="s">
        <v>6</v>
      </c>
      <c r="F1191">
        <v>17.963999999999999</v>
      </c>
    </row>
    <row r="1192" spans="1:6" x14ac:dyDescent="0.25">
      <c r="A1192" t="s">
        <v>21</v>
      </c>
      <c r="B1192" s="2">
        <v>45316</v>
      </c>
      <c r="C1192">
        <v>2024</v>
      </c>
      <c r="E1192" t="s">
        <v>6</v>
      </c>
      <c r="F1192">
        <v>4.739300000000001</v>
      </c>
    </row>
    <row r="1193" spans="1:6" x14ac:dyDescent="0.25">
      <c r="A1193" t="s">
        <v>21</v>
      </c>
      <c r="B1193" s="2">
        <v>45337</v>
      </c>
      <c r="C1193">
        <v>2024</v>
      </c>
      <c r="E1193" t="s">
        <v>6</v>
      </c>
      <c r="F1193">
        <v>8.3186999999999998</v>
      </c>
    </row>
    <row r="1194" spans="1:6" x14ac:dyDescent="0.25">
      <c r="A1194" t="s">
        <v>21</v>
      </c>
      <c r="B1194" s="2">
        <v>45350</v>
      </c>
      <c r="C1194">
        <v>2024</v>
      </c>
      <c r="E1194" t="s">
        <v>6</v>
      </c>
      <c r="F1194">
        <v>10.472000000000001</v>
      </c>
    </row>
    <row r="1195" spans="1:6" x14ac:dyDescent="0.25">
      <c r="A1195" t="s">
        <v>21</v>
      </c>
      <c r="B1195" s="2">
        <v>45364</v>
      </c>
      <c r="C1195">
        <v>2024</v>
      </c>
      <c r="E1195" t="s">
        <v>6</v>
      </c>
      <c r="F1195">
        <v>12.465</v>
      </c>
    </row>
    <row r="1196" spans="1:6" x14ac:dyDescent="0.25">
      <c r="A1196" t="s">
        <v>21</v>
      </c>
      <c r="B1196" s="2">
        <v>45378</v>
      </c>
      <c r="C1196">
        <v>2024</v>
      </c>
      <c r="E1196" t="s">
        <v>6</v>
      </c>
      <c r="F1196">
        <v>13.880699999999999</v>
      </c>
    </row>
    <row r="1197" spans="1:6" x14ac:dyDescent="0.25">
      <c r="A1197" t="s">
        <v>21</v>
      </c>
      <c r="B1197" s="2">
        <v>45393</v>
      </c>
      <c r="C1197">
        <v>2024</v>
      </c>
      <c r="E1197" t="s">
        <v>6</v>
      </c>
      <c r="F1197">
        <v>14.1158</v>
      </c>
    </row>
    <row r="1198" spans="1:6" x14ac:dyDescent="0.25">
      <c r="A1198" t="s">
        <v>21</v>
      </c>
      <c r="B1198" s="2">
        <v>45404</v>
      </c>
      <c r="C1198">
        <v>2024</v>
      </c>
      <c r="E1198" t="s">
        <v>6</v>
      </c>
      <c r="F1198">
        <v>14.5962</v>
      </c>
    </row>
    <row r="1199" spans="1:6" x14ac:dyDescent="0.25">
      <c r="A1199" t="s">
        <v>21</v>
      </c>
      <c r="B1199" s="2">
        <v>45414</v>
      </c>
      <c r="C1199">
        <v>2024</v>
      </c>
      <c r="E1199" t="s">
        <v>6</v>
      </c>
      <c r="F1199">
        <v>17.0487</v>
      </c>
    </row>
    <row r="1200" spans="1:6" x14ac:dyDescent="0.25">
      <c r="A1200" t="s">
        <v>21</v>
      </c>
      <c r="B1200" s="2">
        <v>45425</v>
      </c>
      <c r="C1200">
        <v>2024</v>
      </c>
      <c r="E1200" t="s">
        <v>6</v>
      </c>
      <c r="F1200">
        <v>17.490300000000001</v>
      </c>
    </row>
    <row r="1201" spans="1:6" x14ac:dyDescent="0.25">
      <c r="A1201" t="s">
        <v>21</v>
      </c>
      <c r="B1201" s="2">
        <v>45441</v>
      </c>
      <c r="C1201">
        <v>2024</v>
      </c>
      <c r="E1201" t="s">
        <v>6</v>
      </c>
      <c r="F1201">
        <v>17.7531</v>
      </c>
    </row>
    <row r="1202" spans="1:6" x14ac:dyDescent="0.25">
      <c r="A1202" t="s">
        <v>21</v>
      </c>
      <c r="B1202" s="2">
        <v>45453</v>
      </c>
      <c r="C1202">
        <v>2024</v>
      </c>
      <c r="E1202" t="s">
        <v>6</v>
      </c>
      <c r="F1202">
        <v>17.337200000000003</v>
      </c>
    </row>
    <row r="1203" spans="1:6" x14ac:dyDescent="0.25">
      <c r="A1203" t="s">
        <v>21</v>
      </c>
      <c r="B1203" s="2">
        <v>45316</v>
      </c>
      <c r="C1203">
        <v>2024</v>
      </c>
      <c r="E1203" t="s">
        <v>6</v>
      </c>
      <c r="F1203">
        <v>5.6027999999999993</v>
      </c>
    </row>
    <row r="1204" spans="1:6" x14ac:dyDescent="0.25">
      <c r="A1204" t="s">
        <v>21</v>
      </c>
      <c r="B1204" s="2">
        <v>45337</v>
      </c>
      <c r="C1204">
        <v>2024</v>
      </c>
      <c r="E1204" t="s">
        <v>6</v>
      </c>
      <c r="F1204">
        <v>8.3005999999999993</v>
      </c>
    </row>
    <row r="1205" spans="1:6" x14ac:dyDescent="0.25">
      <c r="A1205" t="s">
        <v>21</v>
      </c>
      <c r="B1205" s="2">
        <v>45350</v>
      </c>
      <c r="C1205">
        <v>2024</v>
      </c>
      <c r="E1205" t="s">
        <v>6</v>
      </c>
      <c r="F1205">
        <v>11.6775</v>
      </c>
    </row>
    <row r="1206" spans="1:6" x14ac:dyDescent="0.25">
      <c r="A1206" t="s">
        <v>21</v>
      </c>
      <c r="B1206" s="2">
        <v>45364</v>
      </c>
      <c r="C1206">
        <v>2024</v>
      </c>
      <c r="E1206" t="s">
        <v>6</v>
      </c>
      <c r="F1206">
        <v>13.23</v>
      </c>
    </row>
    <row r="1207" spans="1:6" x14ac:dyDescent="0.25">
      <c r="A1207" t="s">
        <v>21</v>
      </c>
      <c r="B1207" s="2">
        <v>45378</v>
      </c>
      <c r="C1207">
        <v>2024</v>
      </c>
      <c r="E1207" t="s">
        <v>6</v>
      </c>
      <c r="F1207">
        <v>15.4488</v>
      </c>
    </row>
    <row r="1208" spans="1:6" x14ac:dyDescent="0.25">
      <c r="A1208" t="s">
        <v>21</v>
      </c>
      <c r="B1208" s="2">
        <v>45390</v>
      </c>
      <c r="C1208">
        <v>2024</v>
      </c>
      <c r="E1208" t="s">
        <v>6</v>
      </c>
      <c r="F1208">
        <v>16.945499999999999</v>
      </c>
    </row>
    <row r="1209" spans="1:6" x14ac:dyDescent="0.25">
      <c r="A1209" t="s">
        <v>21</v>
      </c>
      <c r="B1209" s="2">
        <v>45407</v>
      </c>
      <c r="C1209">
        <v>2024</v>
      </c>
      <c r="E1209" t="s">
        <v>6</v>
      </c>
      <c r="F1209">
        <v>16.8795</v>
      </c>
    </row>
    <row r="1210" spans="1:6" x14ac:dyDescent="0.25">
      <c r="A1210" t="s">
        <v>21</v>
      </c>
      <c r="B1210" s="2">
        <v>45413</v>
      </c>
      <c r="C1210">
        <v>2024</v>
      </c>
      <c r="E1210" t="s">
        <v>6</v>
      </c>
      <c r="F1210">
        <v>17.455200000000001</v>
      </c>
    </row>
    <row r="1211" spans="1:6" x14ac:dyDescent="0.25">
      <c r="A1211" t="s">
        <v>21</v>
      </c>
      <c r="B1211" s="2">
        <v>45425</v>
      </c>
      <c r="C1211">
        <v>2024</v>
      </c>
      <c r="E1211" t="s">
        <v>6</v>
      </c>
      <c r="F1211">
        <v>17.835600000000003</v>
      </c>
    </row>
    <row r="1212" spans="1:6" x14ac:dyDescent="0.25">
      <c r="A1212" t="s">
        <v>21</v>
      </c>
      <c r="B1212" s="2">
        <v>45439</v>
      </c>
      <c r="C1212">
        <v>2024</v>
      </c>
      <c r="E1212" t="s">
        <v>6</v>
      </c>
      <c r="F1212">
        <v>15.45</v>
      </c>
    </row>
    <row r="1213" spans="1:6" x14ac:dyDescent="0.25">
      <c r="A1213" t="s">
        <v>21</v>
      </c>
      <c r="B1213" s="2">
        <v>45454</v>
      </c>
      <c r="C1213">
        <v>2024</v>
      </c>
      <c r="E1213" t="s">
        <v>6</v>
      </c>
      <c r="F1213">
        <v>17.71</v>
      </c>
    </row>
    <row r="1214" spans="1:6" x14ac:dyDescent="0.25">
      <c r="A1214" t="s">
        <v>26</v>
      </c>
      <c r="B1214" s="2">
        <v>45315</v>
      </c>
      <c r="C1214">
        <v>2024</v>
      </c>
      <c r="E1214" t="s">
        <v>10</v>
      </c>
      <c r="F1214">
        <v>6.6825000000000001</v>
      </c>
    </row>
    <row r="1215" spans="1:6" x14ac:dyDescent="0.25">
      <c r="A1215" t="s">
        <v>26</v>
      </c>
      <c r="B1215" s="2">
        <v>45335</v>
      </c>
      <c r="C1215">
        <v>2024</v>
      </c>
      <c r="E1215" t="s">
        <v>10</v>
      </c>
      <c r="F1215">
        <v>10.244200000000001</v>
      </c>
    </row>
    <row r="1216" spans="1:6" x14ac:dyDescent="0.25">
      <c r="A1216" t="s">
        <v>26</v>
      </c>
      <c r="B1216" s="2">
        <v>45349</v>
      </c>
      <c r="C1216">
        <v>2024</v>
      </c>
      <c r="E1216" t="s">
        <v>10</v>
      </c>
      <c r="F1216">
        <v>12.918300000000002</v>
      </c>
    </row>
    <row r="1217" spans="1:6" x14ac:dyDescent="0.25">
      <c r="A1217" t="s">
        <v>26</v>
      </c>
      <c r="B1217" s="2">
        <v>45363</v>
      </c>
      <c r="C1217">
        <v>2024</v>
      </c>
      <c r="E1217" t="s">
        <v>10</v>
      </c>
      <c r="F1217">
        <v>14.815999999999999</v>
      </c>
    </row>
    <row r="1218" spans="1:6" x14ac:dyDescent="0.25">
      <c r="A1218" t="s">
        <v>26</v>
      </c>
      <c r="B1218" s="2">
        <v>45378</v>
      </c>
      <c r="C1218">
        <v>2024</v>
      </c>
      <c r="E1218" t="s">
        <v>10</v>
      </c>
      <c r="F1218">
        <v>16.666599999999999</v>
      </c>
    </row>
    <row r="1219" spans="1:6" x14ac:dyDescent="0.25">
      <c r="A1219" t="s">
        <v>26</v>
      </c>
      <c r="B1219" s="2">
        <v>45390</v>
      </c>
      <c r="C1219">
        <v>2024</v>
      </c>
      <c r="E1219" t="s">
        <v>10</v>
      </c>
      <c r="F1219">
        <v>17.594999999999999</v>
      </c>
    </row>
    <row r="1220" spans="1:6" x14ac:dyDescent="0.25">
      <c r="A1220" t="s">
        <v>26</v>
      </c>
      <c r="B1220" s="2">
        <v>45406</v>
      </c>
      <c r="C1220">
        <v>2024</v>
      </c>
      <c r="E1220" t="s">
        <v>10</v>
      </c>
      <c r="F1220">
        <v>19.6874</v>
      </c>
    </row>
    <row r="1221" spans="1:6" x14ac:dyDescent="0.25">
      <c r="A1221" t="s">
        <v>26</v>
      </c>
      <c r="B1221" s="2">
        <v>45412</v>
      </c>
      <c r="C1221">
        <v>2024</v>
      </c>
      <c r="E1221" t="s">
        <v>10</v>
      </c>
      <c r="F1221">
        <v>15.558299999999999</v>
      </c>
    </row>
    <row r="1222" spans="1:6" x14ac:dyDescent="0.25">
      <c r="A1222" t="s">
        <v>26</v>
      </c>
      <c r="B1222" s="2">
        <v>45427</v>
      </c>
      <c r="C1222">
        <v>2024</v>
      </c>
      <c r="E1222" t="s">
        <v>10</v>
      </c>
      <c r="F1222">
        <v>18.902399999999997</v>
      </c>
    </row>
    <row r="1223" spans="1:6" x14ac:dyDescent="0.25">
      <c r="A1223" t="s">
        <v>26</v>
      </c>
      <c r="B1223" s="2">
        <v>45441</v>
      </c>
      <c r="C1223">
        <v>2024</v>
      </c>
      <c r="E1223" t="s">
        <v>10</v>
      </c>
      <c r="F1223">
        <v>17.7288</v>
      </c>
    </row>
    <row r="1224" spans="1:6" x14ac:dyDescent="0.25">
      <c r="A1224" t="s">
        <v>26</v>
      </c>
      <c r="B1224" s="2">
        <v>45454</v>
      </c>
      <c r="C1224">
        <v>2024</v>
      </c>
      <c r="E1224" t="s">
        <v>10</v>
      </c>
      <c r="F1224">
        <v>18.723399999999998</v>
      </c>
    </row>
  </sheetData>
  <autoFilter ref="B1:B613" xr:uid="{3C95387D-0458-4499-B052-84055CDD2D26}"/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dimension ref="A1:G1228"/>
  <sheetViews>
    <sheetView tabSelected="1" topLeftCell="A557" zoomScale="60" zoomScaleNormal="60" workbookViewId="0">
      <selection activeCell="J600" sqref="J600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6" width="41.42578125" customWidth="1"/>
    <col min="7" max="7" width="57.5703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</v>
      </c>
      <c r="G1" s="1" t="s">
        <v>5</v>
      </c>
    </row>
    <row r="2" spans="1:7" x14ac:dyDescent="0.25">
      <c r="A2" t="s">
        <v>8</v>
      </c>
      <c r="B2" s="2">
        <v>44603</v>
      </c>
      <c r="C2">
        <v>2022</v>
      </c>
      <c r="D2" s="2"/>
      <c r="E2" t="s">
        <v>6</v>
      </c>
      <c r="F2">
        <f>(FruitDMg!F2/FruitFW!F2)*100</f>
        <v>11.399999999999999</v>
      </c>
    </row>
    <row r="3" spans="1:7" x14ac:dyDescent="0.25">
      <c r="A3" t="s">
        <v>8</v>
      </c>
      <c r="B3" s="2">
        <v>44608</v>
      </c>
      <c r="C3">
        <v>2022</v>
      </c>
      <c r="E3" t="s">
        <v>6</v>
      </c>
      <c r="F3">
        <f>(FruitDMg!F3/FruitFW!F3)*100</f>
        <v>13.4</v>
      </c>
    </row>
    <row r="4" spans="1:7" x14ac:dyDescent="0.25">
      <c r="A4" t="s">
        <v>8</v>
      </c>
      <c r="B4" s="2">
        <v>44622</v>
      </c>
      <c r="C4">
        <v>2022</v>
      </c>
      <c r="E4" t="s">
        <v>6</v>
      </c>
      <c r="F4">
        <f>(FruitDMg!F4/FruitFW!F4)*100</f>
        <v>11.699999999999998</v>
      </c>
    </row>
    <row r="5" spans="1:7" x14ac:dyDescent="0.25">
      <c r="A5" t="s">
        <v>8</v>
      </c>
      <c r="B5" s="2">
        <v>44636</v>
      </c>
      <c r="C5">
        <v>2022</v>
      </c>
      <c r="E5" t="s">
        <v>6</v>
      </c>
      <c r="F5">
        <f>(FruitDMg!F5/FruitFW!F5)*100</f>
        <v>12.4</v>
      </c>
    </row>
    <row r="6" spans="1:7" x14ac:dyDescent="0.25">
      <c r="A6" t="s">
        <v>8</v>
      </c>
      <c r="B6" s="2">
        <v>44650</v>
      </c>
      <c r="C6">
        <v>2022</v>
      </c>
      <c r="E6" t="s">
        <v>6</v>
      </c>
      <c r="F6">
        <f>(FruitDMg!F6/FruitFW!F6)*100</f>
        <v>15.100000000000001</v>
      </c>
    </row>
    <row r="7" spans="1:7" x14ac:dyDescent="0.25">
      <c r="A7" t="s">
        <v>8</v>
      </c>
      <c r="B7" s="2">
        <v>44664</v>
      </c>
      <c r="C7">
        <v>2022</v>
      </c>
      <c r="E7" t="s">
        <v>6</v>
      </c>
      <c r="F7">
        <f>(FruitDMg!F7/FruitFW!F7)*100</f>
        <v>15.2</v>
      </c>
    </row>
    <row r="8" spans="1:7" x14ac:dyDescent="0.25">
      <c r="A8" t="s">
        <v>8</v>
      </c>
      <c r="B8" s="2">
        <v>44672</v>
      </c>
      <c r="C8">
        <v>2022</v>
      </c>
      <c r="E8" t="s">
        <v>6</v>
      </c>
      <c r="F8">
        <f>(FruitDMg!F8/FruitFW!F8)*100</f>
        <v>16</v>
      </c>
    </row>
    <row r="9" spans="1:7" x14ac:dyDescent="0.25">
      <c r="A9" t="s">
        <v>8</v>
      </c>
      <c r="B9" s="2">
        <v>44680</v>
      </c>
      <c r="C9">
        <v>2022</v>
      </c>
      <c r="E9" t="s">
        <v>6</v>
      </c>
      <c r="F9">
        <f>(FruitDMg!F9/FruitFW!F9)*100</f>
        <v>16.100000000000001</v>
      </c>
    </row>
    <row r="10" spans="1:7" x14ac:dyDescent="0.25">
      <c r="A10" t="s">
        <v>8</v>
      </c>
      <c r="B10" s="2">
        <v>44685</v>
      </c>
      <c r="C10">
        <v>2022</v>
      </c>
      <c r="E10" t="s">
        <v>6</v>
      </c>
      <c r="F10">
        <f>(FruitDMg!F10/FruitFW!F10)*100</f>
        <v>15.8</v>
      </c>
    </row>
    <row r="11" spans="1:7" x14ac:dyDescent="0.25">
      <c r="A11" t="s">
        <v>8</v>
      </c>
      <c r="B11" s="2">
        <v>44699</v>
      </c>
      <c r="C11">
        <v>2022</v>
      </c>
      <c r="E11" t="s">
        <v>6</v>
      </c>
      <c r="F11">
        <f>(FruitDMg!F11/FruitFW!F11)*100</f>
        <v>15.5</v>
      </c>
    </row>
    <row r="12" spans="1:7" x14ac:dyDescent="0.25">
      <c r="A12" t="s">
        <v>8</v>
      </c>
      <c r="B12" s="2">
        <v>44713</v>
      </c>
      <c r="C12">
        <v>2022</v>
      </c>
      <c r="E12" t="s">
        <v>6</v>
      </c>
      <c r="F12">
        <f>(FruitDMg!F12/FruitFW!F12)*100</f>
        <v>16.3</v>
      </c>
    </row>
    <row r="13" spans="1:7" x14ac:dyDescent="0.25">
      <c r="A13" t="s">
        <v>8</v>
      </c>
      <c r="B13" s="2">
        <v>44952</v>
      </c>
      <c r="C13">
        <v>2023</v>
      </c>
      <c r="E13" t="s">
        <v>6</v>
      </c>
      <c r="F13">
        <f>(FruitDMg!F13/FruitFW!F13)*100</f>
        <v>9.4</v>
      </c>
    </row>
    <row r="14" spans="1:7" x14ac:dyDescent="0.25">
      <c r="A14" t="s">
        <v>8</v>
      </c>
      <c r="B14" s="2">
        <v>44973</v>
      </c>
      <c r="C14">
        <v>2023</v>
      </c>
      <c r="E14" t="s">
        <v>6</v>
      </c>
      <c r="F14">
        <f>(FruitDMg!F14/FruitFW!F14)*100</f>
        <v>12.5</v>
      </c>
    </row>
    <row r="15" spans="1:7" x14ac:dyDescent="0.25">
      <c r="A15" t="s">
        <v>8</v>
      </c>
      <c r="B15" s="2">
        <v>44984</v>
      </c>
      <c r="C15">
        <v>2023</v>
      </c>
      <c r="E15" t="s">
        <v>6</v>
      </c>
      <c r="F15">
        <f>(FruitDMg!F15/FruitFW!F15)*100</f>
        <v>14.099999999999998</v>
      </c>
    </row>
    <row r="16" spans="1:7" x14ac:dyDescent="0.25">
      <c r="A16" t="s">
        <v>8</v>
      </c>
      <c r="B16" s="2">
        <v>45000</v>
      </c>
      <c r="C16">
        <v>2023</v>
      </c>
      <c r="E16" t="s">
        <v>6</v>
      </c>
      <c r="F16">
        <f>(FruitDMg!F16/FruitFW!F16)*100</f>
        <v>15</v>
      </c>
    </row>
    <row r="17" spans="1:6" x14ac:dyDescent="0.25">
      <c r="A17" t="s">
        <v>8</v>
      </c>
      <c r="B17" s="2">
        <v>45015</v>
      </c>
      <c r="C17">
        <v>2023</v>
      </c>
      <c r="E17" t="s">
        <v>6</v>
      </c>
      <c r="F17">
        <f>(FruitDMg!F17/FruitFW!F17)*100</f>
        <v>15.5</v>
      </c>
    </row>
    <row r="18" spans="1:6" x14ac:dyDescent="0.25">
      <c r="A18" t="s">
        <v>8</v>
      </c>
      <c r="B18" s="2">
        <v>45029</v>
      </c>
      <c r="C18">
        <v>2023</v>
      </c>
      <c r="E18" t="s">
        <v>6</v>
      </c>
      <c r="F18">
        <f>(FruitDMg!F18/FruitFW!F18)*100</f>
        <v>15.7</v>
      </c>
    </row>
    <row r="19" spans="1:6" x14ac:dyDescent="0.25">
      <c r="A19" t="s">
        <v>8</v>
      </c>
      <c r="B19" s="2">
        <v>45041</v>
      </c>
      <c r="C19">
        <v>2023</v>
      </c>
      <c r="E19" t="s">
        <v>6</v>
      </c>
      <c r="F19">
        <f>(FruitDMg!F19/FruitFW!F19)*100</f>
        <v>16.5</v>
      </c>
    </row>
    <row r="20" spans="1:6" x14ac:dyDescent="0.25">
      <c r="A20" t="s">
        <v>8</v>
      </c>
      <c r="B20" s="2">
        <v>45049</v>
      </c>
      <c r="C20">
        <v>2023</v>
      </c>
      <c r="E20" t="s">
        <v>6</v>
      </c>
      <c r="F20">
        <f>(FruitDMg!F20/FruitFW!F20)*100</f>
        <v>16.400000000000002</v>
      </c>
    </row>
    <row r="21" spans="1:6" x14ac:dyDescent="0.25">
      <c r="A21" t="s">
        <v>8</v>
      </c>
      <c r="B21" s="2">
        <v>45062</v>
      </c>
      <c r="C21">
        <v>2023</v>
      </c>
      <c r="E21" t="s">
        <v>6</v>
      </c>
      <c r="F21">
        <f>(FruitDMg!F21/FruitFW!F21)*100</f>
        <v>16.7</v>
      </c>
    </row>
    <row r="22" spans="1:6" x14ac:dyDescent="0.25">
      <c r="A22" t="s">
        <v>8</v>
      </c>
      <c r="B22" s="2">
        <v>45076</v>
      </c>
      <c r="C22">
        <v>2023</v>
      </c>
      <c r="E22" t="s">
        <v>6</v>
      </c>
      <c r="F22">
        <f>(FruitDMg!F22/FruitFW!F22)*100</f>
        <v>17</v>
      </c>
    </row>
    <row r="23" spans="1:6" x14ac:dyDescent="0.25">
      <c r="A23" t="s">
        <v>8</v>
      </c>
      <c r="B23" s="2">
        <v>45083</v>
      </c>
      <c r="C23">
        <v>2023</v>
      </c>
      <c r="E23" t="s">
        <v>6</v>
      </c>
      <c r="F23">
        <f>(FruitDMg!F23/FruitFW!F23)*100</f>
        <v>17.100000000000001</v>
      </c>
    </row>
    <row r="24" spans="1:6" x14ac:dyDescent="0.25">
      <c r="A24" t="s">
        <v>8</v>
      </c>
      <c r="B24" s="2">
        <v>45316</v>
      </c>
      <c r="C24">
        <v>2024</v>
      </c>
      <c r="E24" t="s">
        <v>6</v>
      </c>
      <c r="F24">
        <f>(FruitDMg!F24/FruitFW!F24)*100</f>
        <v>9</v>
      </c>
    </row>
    <row r="25" spans="1:6" x14ac:dyDescent="0.25">
      <c r="A25" t="s">
        <v>8</v>
      </c>
      <c r="B25" s="2">
        <v>45337</v>
      </c>
      <c r="C25">
        <v>2024</v>
      </c>
      <c r="E25" t="s">
        <v>6</v>
      </c>
      <c r="F25">
        <f>(FruitDMg!F25/FruitFW!F25)*100</f>
        <v>12.000000000000002</v>
      </c>
    </row>
    <row r="26" spans="1:6" x14ac:dyDescent="0.25">
      <c r="A26" t="s">
        <v>8</v>
      </c>
      <c r="B26" s="2">
        <v>45350</v>
      </c>
      <c r="C26">
        <v>2024</v>
      </c>
      <c r="E26" t="s">
        <v>6</v>
      </c>
      <c r="F26">
        <f>(FruitDMg!F26/FruitFW!F26)*100</f>
        <v>13.5</v>
      </c>
    </row>
    <row r="27" spans="1:6" x14ac:dyDescent="0.25">
      <c r="A27" t="s">
        <v>8</v>
      </c>
      <c r="B27" s="2">
        <v>45364</v>
      </c>
      <c r="C27">
        <v>2024</v>
      </c>
      <c r="E27" t="s">
        <v>6</v>
      </c>
      <c r="F27">
        <f>(FruitDMg!F27/FruitFW!F27)*100</f>
        <v>14.6</v>
      </c>
    </row>
    <row r="28" spans="1:6" x14ac:dyDescent="0.25">
      <c r="A28" t="s">
        <v>8</v>
      </c>
      <c r="B28" s="2">
        <v>45378</v>
      </c>
      <c r="C28">
        <v>2024</v>
      </c>
      <c r="E28" t="s">
        <v>6</v>
      </c>
      <c r="F28">
        <f>(FruitDMg!F28/FruitFW!F28)*100</f>
        <v>15.300000000000002</v>
      </c>
    </row>
    <row r="29" spans="1:6" x14ac:dyDescent="0.25">
      <c r="A29" t="s">
        <v>8</v>
      </c>
      <c r="B29" s="2">
        <v>45390</v>
      </c>
      <c r="C29">
        <v>2024</v>
      </c>
      <c r="E29" t="s">
        <v>6</v>
      </c>
      <c r="F29">
        <f>(FruitDMg!F29/FruitFW!F29)*100</f>
        <v>15.5</v>
      </c>
    </row>
    <row r="30" spans="1:6" x14ac:dyDescent="0.25">
      <c r="A30" t="s">
        <v>8</v>
      </c>
      <c r="B30" s="2">
        <v>45404</v>
      </c>
      <c r="C30">
        <v>2024</v>
      </c>
      <c r="E30" t="s">
        <v>6</v>
      </c>
      <c r="F30">
        <f>(FruitDMg!F30/FruitFW!F30)*100</f>
        <v>16.399999999999999</v>
      </c>
    </row>
    <row r="31" spans="1:6" x14ac:dyDescent="0.25">
      <c r="A31" t="s">
        <v>8</v>
      </c>
      <c r="B31" s="2">
        <v>45414</v>
      </c>
      <c r="C31">
        <v>2024</v>
      </c>
      <c r="E31" t="s">
        <v>6</v>
      </c>
      <c r="F31">
        <f>(FruitDMg!F31/FruitFW!F31)*100</f>
        <v>16.8</v>
      </c>
    </row>
    <row r="32" spans="1:6" x14ac:dyDescent="0.25">
      <c r="A32" t="s">
        <v>8</v>
      </c>
      <c r="B32" s="2">
        <v>45425</v>
      </c>
      <c r="C32">
        <v>2024</v>
      </c>
      <c r="E32" t="s">
        <v>6</v>
      </c>
      <c r="F32">
        <f>(FruitDMg!F32/FruitFW!F32)*100</f>
        <v>17.200000000000003</v>
      </c>
    </row>
    <row r="33" spans="1:6" x14ac:dyDescent="0.25">
      <c r="A33" t="s">
        <v>8</v>
      </c>
      <c r="B33" s="2">
        <v>45439</v>
      </c>
      <c r="C33">
        <v>2024</v>
      </c>
      <c r="E33" t="s">
        <v>6</v>
      </c>
      <c r="F33">
        <f>(FruitDMg!F33/FruitFW!F33)*100</f>
        <v>15.1</v>
      </c>
    </row>
    <row r="34" spans="1:6" x14ac:dyDescent="0.25">
      <c r="A34" t="s">
        <v>8</v>
      </c>
      <c r="B34" s="2">
        <v>45454</v>
      </c>
      <c r="C34">
        <v>2024</v>
      </c>
      <c r="E34" t="s">
        <v>6</v>
      </c>
      <c r="F34">
        <f>(FruitDMg!F34/FruitFW!F34)*100</f>
        <v>17.100000000000001</v>
      </c>
    </row>
    <row r="35" spans="1:6" x14ac:dyDescent="0.25">
      <c r="A35" t="s">
        <v>8</v>
      </c>
      <c r="B35" s="2">
        <v>44595</v>
      </c>
      <c r="C35">
        <v>2022</v>
      </c>
      <c r="E35" t="s">
        <v>6</v>
      </c>
      <c r="F35">
        <f>(FruitDMg!F35/FruitFW!F35)*100</f>
        <v>11.6</v>
      </c>
    </row>
    <row r="36" spans="1:6" x14ac:dyDescent="0.25">
      <c r="A36" t="s">
        <v>8</v>
      </c>
      <c r="B36" s="2">
        <v>44608</v>
      </c>
      <c r="C36">
        <v>2022</v>
      </c>
      <c r="E36" t="s">
        <v>6</v>
      </c>
      <c r="F36">
        <f>(FruitDMg!F36/FruitFW!F36)*100</f>
        <v>13.200000000000001</v>
      </c>
    </row>
    <row r="37" spans="1:6" x14ac:dyDescent="0.25">
      <c r="A37" t="s">
        <v>8</v>
      </c>
      <c r="B37" s="2">
        <v>44622</v>
      </c>
      <c r="C37">
        <v>2022</v>
      </c>
      <c r="E37" t="s">
        <v>6</v>
      </c>
      <c r="F37">
        <f>(FruitDMg!F37/FruitFW!F37)*100</f>
        <v>13.3</v>
      </c>
    </row>
    <row r="38" spans="1:6" x14ac:dyDescent="0.25">
      <c r="A38" t="s">
        <v>8</v>
      </c>
      <c r="B38" s="2">
        <v>44636</v>
      </c>
      <c r="C38">
        <v>2022</v>
      </c>
      <c r="E38" t="s">
        <v>6</v>
      </c>
      <c r="F38">
        <f>(FruitDMg!F38/FruitFW!F38)*100</f>
        <v>14.399999999999999</v>
      </c>
    </row>
    <row r="39" spans="1:6" x14ac:dyDescent="0.25">
      <c r="A39" t="s">
        <v>8</v>
      </c>
      <c r="B39" s="2">
        <v>44650</v>
      </c>
      <c r="C39">
        <v>2022</v>
      </c>
      <c r="E39" t="s">
        <v>6</v>
      </c>
      <c r="F39">
        <f>(FruitDMg!F39/FruitFW!F39)*100</f>
        <v>16.799999999999997</v>
      </c>
    </row>
    <row r="40" spans="1:6" x14ac:dyDescent="0.25">
      <c r="A40" t="s">
        <v>8</v>
      </c>
      <c r="B40" s="2">
        <v>44664</v>
      </c>
      <c r="C40">
        <v>2022</v>
      </c>
      <c r="E40" t="s">
        <v>6</v>
      </c>
      <c r="F40">
        <f>(FruitDMg!F40/FruitFW!F40)*100</f>
        <v>17.100000000000001</v>
      </c>
    </row>
    <row r="41" spans="1:6" x14ac:dyDescent="0.25">
      <c r="A41" t="s">
        <v>8</v>
      </c>
      <c r="B41" s="2">
        <v>44672</v>
      </c>
      <c r="C41">
        <v>2022</v>
      </c>
      <c r="E41" t="s">
        <v>6</v>
      </c>
      <c r="F41">
        <f>(FruitDMg!F41/FruitFW!F41)*100</f>
        <v>17.600000000000001</v>
      </c>
    </row>
    <row r="42" spans="1:6" x14ac:dyDescent="0.25">
      <c r="A42" t="s">
        <v>8</v>
      </c>
      <c r="B42" s="2">
        <v>44680</v>
      </c>
      <c r="C42">
        <v>2022</v>
      </c>
      <c r="E42" t="s">
        <v>6</v>
      </c>
      <c r="F42">
        <f>(FruitDMg!F42/FruitFW!F42)*100</f>
        <v>18</v>
      </c>
    </row>
    <row r="43" spans="1:6" x14ac:dyDescent="0.25">
      <c r="A43" t="s">
        <v>8</v>
      </c>
      <c r="B43" s="2">
        <v>44685</v>
      </c>
      <c r="C43">
        <v>2022</v>
      </c>
      <c r="E43" t="s">
        <v>6</v>
      </c>
      <c r="F43">
        <f>(FruitDMg!F43/FruitFW!F43)*100</f>
        <v>18.3</v>
      </c>
    </row>
    <row r="44" spans="1:6" x14ac:dyDescent="0.25">
      <c r="A44" t="s">
        <v>8</v>
      </c>
      <c r="B44" s="2">
        <v>44699</v>
      </c>
      <c r="C44">
        <v>2022</v>
      </c>
      <c r="E44" t="s">
        <v>6</v>
      </c>
      <c r="F44">
        <f>(FruitDMg!F44/FruitFW!F44)*100</f>
        <v>18.7</v>
      </c>
    </row>
    <row r="45" spans="1:6" x14ac:dyDescent="0.25">
      <c r="A45" t="s">
        <v>8</v>
      </c>
      <c r="B45" s="2">
        <v>44713</v>
      </c>
      <c r="C45">
        <v>2022</v>
      </c>
      <c r="E45" t="s">
        <v>6</v>
      </c>
      <c r="F45">
        <f>(FruitDMg!F45/FruitFW!F45)*100</f>
        <v>17.899999999999995</v>
      </c>
    </row>
    <row r="46" spans="1:6" x14ac:dyDescent="0.25">
      <c r="A46" t="s">
        <v>8</v>
      </c>
      <c r="B46" s="2">
        <v>44952</v>
      </c>
      <c r="C46">
        <v>2023</v>
      </c>
      <c r="E46" t="s">
        <v>6</v>
      </c>
      <c r="F46">
        <f>(FruitDMg!F46/FruitFW!F46)*100</f>
        <v>9.6</v>
      </c>
    </row>
    <row r="47" spans="1:6" x14ac:dyDescent="0.25">
      <c r="A47" t="s">
        <v>8</v>
      </c>
      <c r="B47" s="2">
        <v>44974</v>
      </c>
      <c r="C47">
        <v>2023</v>
      </c>
      <c r="E47" t="s">
        <v>6</v>
      </c>
      <c r="F47">
        <f>(FruitDMg!F47/FruitFW!F47)*100</f>
        <v>12.4</v>
      </c>
    </row>
    <row r="48" spans="1:6" x14ac:dyDescent="0.25">
      <c r="A48" t="s">
        <v>8</v>
      </c>
      <c r="B48" s="2">
        <v>44984</v>
      </c>
      <c r="C48">
        <v>2023</v>
      </c>
      <c r="E48" t="s">
        <v>6</v>
      </c>
      <c r="F48">
        <f>(FruitDMg!F48/FruitFW!F48)*100</f>
        <v>13.999999999999998</v>
      </c>
    </row>
    <row r="49" spans="1:6" x14ac:dyDescent="0.25">
      <c r="A49" t="s">
        <v>8</v>
      </c>
      <c r="B49" s="2">
        <v>45000</v>
      </c>
      <c r="C49">
        <v>2023</v>
      </c>
      <c r="E49" t="s">
        <v>6</v>
      </c>
      <c r="F49">
        <f>(FruitDMg!F49/FruitFW!F49)*100</f>
        <v>15.299999999999999</v>
      </c>
    </row>
    <row r="50" spans="1:6" x14ac:dyDescent="0.25">
      <c r="A50" t="s">
        <v>8</v>
      </c>
      <c r="B50" s="2">
        <v>45015</v>
      </c>
      <c r="C50">
        <v>2023</v>
      </c>
      <c r="E50" t="s">
        <v>6</v>
      </c>
      <c r="F50">
        <f>(FruitDMg!F50/FruitFW!F50)*100</f>
        <v>15.900000000000002</v>
      </c>
    </row>
    <row r="51" spans="1:6" x14ac:dyDescent="0.25">
      <c r="A51" t="s">
        <v>8</v>
      </c>
      <c r="B51" s="2">
        <v>45029</v>
      </c>
      <c r="C51">
        <v>2023</v>
      </c>
      <c r="E51" t="s">
        <v>6</v>
      </c>
      <c r="F51">
        <f>(FruitDMg!F51/FruitFW!F51)*100</f>
        <v>16.7</v>
      </c>
    </row>
    <row r="52" spans="1:6" x14ac:dyDescent="0.25">
      <c r="A52" t="s">
        <v>8</v>
      </c>
      <c r="B52" s="2">
        <v>45041</v>
      </c>
      <c r="C52">
        <v>2023</v>
      </c>
      <c r="E52" t="s">
        <v>6</v>
      </c>
      <c r="F52">
        <f>(FruitDMg!F52/FruitFW!F52)*100</f>
        <v>17.600000000000001</v>
      </c>
    </row>
    <row r="53" spans="1:6" x14ac:dyDescent="0.25">
      <c r="A53" t="s">
        <v>8</v>
      </c>
      <c r="B53" s="2">
        <v>45049</v>
      </c>
      <c r="C53">
        <v>2023</v>
      </c>
      <c r="E53" t="s">
        <v>6</v>
      </c>
      <c r="F53">
        <f>(FruitDMg!F53/FruitFW!F53)*100</f>
        <v>17.2</v>
      </c>
    </row>
    <row r="54" spans="1:6" x14ac:dyDescent="0.25">
      <c r="A54" t="s">
        <v>8</v>
      </c>
      <c r="B54" s="2">
        <v>45062</v>
      </c>
      <c r="C54">
        <v>2023</v>
      </c>
      <c r="E54" t="s">
        <v>6</v>
      </c>
      <c r="F54">
        <f>(FruitDMg!F54/FruitFW!F54)*100</f>
        <v>17.399999999999999</v>
      </c>
    </row>
    <row r="55" spans="1:6" x14ac:dyDescent="0.25">
      <c r="A55" t="s">
        <v>8</v>
      </c>
      <c r="B55" s="2">
        <v>45077</v>
      </c>
      <c r="C55">
        <v>2023</v>
      </c>
      <c r="E55" t="s">
        <v>6</v>
      </c>
      <c r="F55">
        <f>(FruitDMg!F55/FruitFW!F55)*100</f>
        <v>17.399999999999995</v>
      </c>
    </row>
    <row r="56" spans="1:6" x14ac:dyDescent="0.25">
      <c r="A56" t="s">
        <v>8</v>
      </c>
      <c r="B56" s="2">
        <v>45083</v>
      </c>
      <c r="C56">
        <v>2023</v>
      </c>
      <c r="E56" t="s">
        <v>6</v>
      </c>
      <c r="F56">
        <f>(FruitDMg!F56/FruitFW!F56)*100</f>
        <v>17.2</v>
      </c>
    </row>
    <row r="57" spans="1:6" x14ac:dyDescent="0.25">
      <c r="A57" t="s">
        <v>8</v>
      </c>
      <c r="B57" s="2">
        <v>44595</v>
      </c>
      <c r="C57">
        <v>2022</v>
      </c>
      <c r="D57" s="2"/>
      <c r="E57" t="s">
        <v>6</v>
      </c>
      <c r="F57">
        <f>(FruitDMg!F57/FruitFW!F57)*100</f>
        <v>10.199999999999999</v>
      </c>
    </row>
    <row r="58" spans="1:6" x14ac:dyDescent="0.25">
      <c r="A58" t="s">
        <v>8</v>
      </c>
      <c r="B58" s="2">
        <v>44608</v>
      </c>
      <c r="C58">
        <v>2022</v>
      </c>
      <c r="E58" t="s">
        <v>6</v>
      </c>
      <c r="F58">
        <f>(FruitDMg!F58/FruitFW!F58)*100</f>
        <v>12.9</v>
      </c>
    </row>
    <row r="59" spans="1:6" x14ac:dyDescent="0.25">
      <c r="A59" t="s">
        <v>8</v>
      </c>
      <c r="B59" s="2">
        <v>44622</v>
      </c>
      <c r="C59">
        <v>2022</v>
      </c>
      <c r="E59" t="s">
        <v>6</v>
      </c>
      <c r="F59">
        <f>(FruitDMg!F59/FruitFW!F59)*100</f>
        <v>14.200000000000001</v>
      </c>
    </row>
    <row r="60" spans="1:6" x14ac:dyDescent="0.25">
      <c r="A60" t="s">
        <v>8</v>
      </c>
      <c r="B60" s="2">
        <v>44636</v>
      </c>
      <c r="C60">
        <v>2022</v>
      </c>
      <c r="E60" t="s">
        <v>6</v>
      </c>
      <c r="F60">
        <f>(FruitDMg!F60/FruitFW!F60)*100</f>
        <v>16.2</v>
      </c>
    </row>
    <row r="61" spans="1:6" x14ac:dyDescent="0.25">
      <c r="A61" t="s">
        <v>8</v>
      </c>
      <c r="B61" s="2">
        <v>44650</v>
      </c>
      <c r="C61">
        <v>2022</v>
      </c>
      <c r="E61" t="s">
        <v>6</v>
      </c>
      <c r="F61">
        <f>(FruitDMg!F61/FruitFW!F61)*100</f>
        <v>16.100000000000001</v>
      </c>
    </row>
    <row r="62" spans="1:6" x14ac:dyDescent="0.25">
      <c r="A62" t="s">
        <v>8</v>
      </c>
      <c r="B62" s="2">
        <v>44664</v>
      </c>
      <c r="C62">
        <v>2022</v>
      </c>
      <c r="E62" t="s">
        <v>6</v>
      </c>
      <c r="F62">
        <f>(FruitDMg!F62/FruitFW!F62)*100</f>
        <v>16.600000000000001</v>
      </c>
    </row>
    <row r="63" spans="1:6" x14ac:dyDescent="0.25">
      <c r="A63" t="s">
        <v>8</v>
      </c>
      <c r="B63" s="2">
        <v>44673</v>
      </c>
      <c r="C63">
        <v>2022</v>
      </c>
      <c r="E63" t="s">
        <v>6</v>
      </c>
      <c r="F63">
        <f>(FruitDMg!F63/FruitFW!F63)*100</f>
        <v>17.5</v>
      </c>
    </row>
    <row r="64" spans="1:6" x14ac:dyDescent="0.25">
      <c r="A64" t="s">
        <v>8</v>
      </c>
      <c r="B64" s="2">
        <v>44680</v>
      </c>
      <c r="C64">
        <v>2022</v>
      </c>
      <c r="E64" t="s">
        <v>6</v>
      </c>
      <c r="F64">
        <f>(FruitDMg!F64/FruitFW!F64)*100</f>
        <v>17.2</v>
      </c>
    </row>
    <row r="65" spans="1:6" x14ac:dyDescent="0.25">
      <c r="A65" t="s">
        <v>8</v>
      </c>
      <c r="B65" s="2">
        <v>44685</v>
      </c>
      <c r="C65">
        <v>2022</v>
      </c>
      <c r="E65" t="s">
        <v>6</v>
      </c>
      <c r="F65">
        <f>(FruitDMg!F65/FruitFW!F65)*100</f>
        <v>18.899999999999999</v>
      </c>
    </row>
    <row r="66" spans="1:6" x14ac:dyDescent="0.25">
      <c r="A66" t="s">
        <v>8</v>
      </c>
      <c r="B66" s="2">
        <v>44699</v>
      </c>
      <c r="C66">
        <v>2022</v>
      </c>
      <c r="E66" t="s">
        <v>6</v>
      </c>
      <c r="F66">
        <f>(FruitDMg!F66/FruitFW!F66)*100</f>
        <v>17.600000000000001</v>
      </c>
    </row>
    <row r="67" spans="1:6" x14ac:dyDescent="0.25">
      <c r="A67" t="s">
        <v>8</v>
      </c>
      <c r="B67" s="2">
        <v>44713</v>
      </c>
      <c r="C67">
        <v>2022</v>
      </c>
      <c r="E67" t="s">
        <v>6</v>
      </c>
      <c r="F67">
        <f>(FruitDMg!F67/FruitFW!F67)*100</f>
        <v>17.899999999999999</v>
      </c>
    </row>
    <row r="68" spans="1:6" x14ac:dyDescent="0.25">
      <c r="A68" t="s">
        <v>8</v>
      </c>
      <c r="B68" s="2">
        <v>44952</v>
      </c>
      <c r="C68">
        <v>2023</v>
      </c>
      <c r="E68" t="s">
        <v>6</v>
      </c>
      <c r="F68">
        <f>(FruitDMg!F68/FruitFW!F68)*100</f>
        <v>9.6999999999999993</v>
      </c>
    </row>
    <row r="69" spans="1:6" x14ac:dyDescent="0.25">
      <c r="A69" t="s">
        <v>8</v>
      </c>
      <c r="B69" s="2">
        <v>44973</v>
      </c>
      <c r="C69">
        <v>2023</v>
      </c>
      <c r="E69" t="s">
        <v>6</v>
      </c>
      <c r="F69">
        <f>(FruitDMg!F69/FruitFW!F69)*100</f>
        <v>12.699999999999998</v>
      </c>
    </row>
    <row r="70" spans="1:6" x14ac:dyDescent="0.25">
      <c r="A70" t="s">
        <v>8</v>
      </c>
      <c r="B70" s="2">
        <v>44987</v>
      </c>
      <c r="C70">
        <v>2023</v>
      </c>
      <c r="E70" t="s">
        <v>6</v>
      </c>
      <c r="F70">
        <f>(FruitDMg!F70/FruitFW!F70)*100</f>
        <v>14.399999999999999</v>
      </c>
    </row>
    <row r="71" spans="1:6" x14ac:dyDescent="0.25">
      <c r="A71" t="s">
        <v>8</v>
      </c>
      <c r="B71" s="2">
        <v>45001</v>
      </c>
      <c r="C71">
        <v>2023</v>
      </c>
      <c r="E71" t="s">
        <v>6</v>
      </c>
      <c r="F71">
        <f>(FruitDMg!F71/FruitFW!F71)*100</f>
        <v>16.100000000000001</v>
      </c>
    </row>
    <row r="72" spans="1:6" x14ac:dyDescent="0.25">
      <c r="A72" t="s">
        <v>8</v>
      </c>
      <c r="B72" s="2">
        <v>45014</v>
      </c>
      <c r="C72">
        <v>2023</v>
      </c>
      <c r="E72" t="s">
        <v>6</v>
      </c>
      <c r="F72">
        <f>(FruitDMg!F72/FruitFW!F72)*100</f>
        <v>17</v>
      </c>
    </row>
    <row r="73" spans="1:6" x14ac:dyDescent="0.25">
      <c r="A73" t="s">
        <v>8</v>
      </c>
      <c r="B73" s="2">
        <v>45029</v>
      </c>
      <c r="C73">
        <v>2023</v>
      </c>
      <c r="E73" t="s">
        <v>6</v>
      </c>
      <c r="F73">
        <f>(FruitDMg!F73/FruitFW!F73)*100</f>
        <v>17.600000000000001</v>
      </c>
    </row>
    <row r="74" spans="1:6" x14ac:dyDescent="0.25">
      <c r="A74" t="s">
        <v>8</v>
      </c>
      <c r="B74" s="2">
        <v>45041</v>
      </c>
      <c r="C74">
        <v>2023</v>
      </c>
      <c r="E74" t="s">
        <v>6</v>
      </c>
      <c r="F74">
        <f>(FruitDMg!F74/FruitFW!F74)*100</f>
        <v>18.600000000000001</v>
      </c>
    </row>
    <row r="75" spans="1:6" x14ac:dyDescent="0.25">
      <c r="A75" t="s">
        <v>8</v>
      </c>
      <c r="B75" s="2">
        <v>45049</v>
      </c>
      <c r="C75">
        <v>2023</v>
      </c>
      <c r="E75" t="s">
        <v>6</v>
      </c>
      <c r="F75">
        <f>(FruitDMg!F75/FruitFW!F75)*100</f>
        <v>18.699999999999996</v>
      </c>
    </row>
    <row r="76" spans="1:6" x14ac:dyDescent="0.25">
      <c r="A76" t="s">
        <v>8</v>
      </c>
      <c r="B76" s="2">
        <v>45062</v>
      </c>
      <c r="C76">
        <v>2023</v>
      </c>
      <c r="E76" t="s">
        <v>6</v>
      </c>
      <c r="F76">
        <f>(FruitDMg!F76/FruitFW!F76)*100</f>
        <v>18.2</v>
      </c>
    </row>
    <row r="77" spans="1:6" x14ac:dyDescent="0.25">
      <c r="A77" t="s">
        <v>8</v>
      </c>
      <c r="B77" s="2">
        <v>45076</v>
      </c>
      <c r="C77">
        <v>2023</v>
      </c>
      <c r="E77" t="s">
        <v>6</v>
      </c>
      <c r="F77">
        <f>(FruitDMg!F77/FruitFW!F77)*100</f>
        <v>18.7</v>
      </c>
    </row>
    <row r="78" spans="1:6" x14ac:dyDescent="0.25">
      <c r="A78" t="s">
        <v>8</v>
      </c>
      <c r="B78" s="2">
        <v>45083</v>
      </c>
      <c r="C78">
        <v>2023</v>
      </c>
      <c r="E78" t="s">
        <v>6</v>
      </c>
      <c r="F78">
        <f>(FruitDMg!F78/FruitFW!F78)*100</f>
        <v>18.899999999999999</v>
      </c>
    </row>
    <row r="79" spans="1:6" x14ac:dyDescent="0.25">
      <c r="A79" t="s">
        <v>8</v>
      </c>
      <c r="B79" s="2">
        <v>45314</v>
      </c>
      <c r="C79">
        <v>2024</v>
      </c>
      <c r="E79" t="s">
        <v>6</v>
      </c>
      <c r="F79">
        <f>(FruitDMg!F79/FruitFW!F79)*100</f>
        <v>8.8000000000000025</v>
      </c>
    </row>
    <row r="80" spans="1:6" x14ac:dyDescent="0.25">
      <c r="A80" t="s">
        <v>8</v>
      </c>
      <c r="B80" s="2">
        <v>45337</v>
      </c>
      <c r="C80">
        <v>2024</v>
      </c>
      <c r="E80" t="s">
        <v>6</v>
      </c>
      <c r="F80">
        <f>(FruitDMg!F80/FruitFW!F80)*100</f>
        <v>12.699999999999998</v>
      </c>
    </row>
    <row r="81" spans="1:6" x14ac:dyDescent="0.25">
      <c r="A81" t="s">
        <v>8</v>
      </c>
      <c r="B81" s="2">
        <v>45348</v>
      </c>
      <c r="C81">
        <v>2024</v>
      </c>
      <c r="E81" t="s">
        <v>6</v>
      </c>
      <c r="F81">
        <f>(FruitDMg!F81/FruitFW!F81)*100</f>
        <v>13.600000000000001</v>
      </c>
    </row>
    <row r="82" spans="1:6" x14ac:dyDescent="0.25">
      <c r="A82" t="s">
        <v>8</v>
      </c>
      <c r="B82" s="2">
        <v>45365</v>
      </c>
      <c r="C82">
        <v>2024</v>
      </c>
      <c r="E82" t="s">
        <v>6</v>
      </c>
      <c r="F82">
        <f>(FruitDMg!F82/FruitFW!F82)*100</f>
        <v>15.300000000000002</v>
      </c>
    </row>
    <row r="83" spans="1:6" x14ac:dyDescent="0.25">
      <c r="A83" t="s">
        <v>8</v>
      </c>
      <c r="B83" s="2">
        <v>45379</v>
      </c>
      <c r="C83">
        <v>2024</v>
      </c>
      <c r="E83" t="s">
        <v>6</v>
      </c>
      <c r="F83">
        <f>(FruitDMg!F83/FruitFW!F83)*100</f>
        <v>16.600000000000001</v>
      </c>
    </row>
    <row r="84" spans="1:6" x14ac:dyDescent="0.25">
      <c r="A84" t="s">
        <v>8</v>
      </c>
      <c r="B84" s="2">
        <v>45393</v>
      </c>
      <c r="C84">
        <v>2024</v>
      </c>
      <c r="E84" t="s">
        <v>6</v>
      </c>
      <c r="F84">
        <f>(FruitDMg!F84/FruitFW!F84)*100</f>
        <v>17</v>
      </c>
    </row>
    <row r="85" spans="1:6" x14ac:dyDescent="0.25">
      <c r="A85" t="s">
        <v>8</v>
      </c>
      <c r="B85" s="2">
        <v>45407</v>
      </c>
      <c r="C85">
        <v>2024</v>
      </c>
      <c r="E85" t="s">
        <v>6</v>
      </c>
      <c r="F85">
        <f>(FruitDMg!F85/FruitFW!F85)*100</f>
        <v>17.399999999999999</v>
      </c>
    </row>
    <row r="86" spans="1:6" x14ac:dyDescent="0.25">
      <c r="A86" t="s">
        <v>8</v>
      </c>
      <c r="B86" s="2">
        <v>45414</v>
      </c>
      <c r="C86">
        <v>2024</v>
      </c>
      <c r="E86" t="s">
        <v>6</v>
      </c>
      <c r="F86">
        <f>(FruitDMg!F86/FruitFW!F86)*100</f>
        <v>17.600000000000001</v>
      </c>
    </row>
    <row r="87" spans="1:6" x14ac:dyDescent="0.25">
      <c r="A87" t="s">
        <v>8</v>
      </c>
      <c r="B87" s="2">
        <v>45425</v>
      </c>
      <c r="C87">
        <v>2024</v>
      </c>
      <c r="E87" t="s">
        <v>6</v>
      </c>
      <c r="F87">
        <f>(FruitDMg!F87/FruitFW!F87)*100</f>
        <v>18.399999999999999</v>
      </c>
    </row>
    <row r="88" spans="1:6" x14ac:dyDescent="0.25">
      <c r="A88" t="s">
        <v>8</v>
      </c>
      <c r="B88" s="2">
        <v>45441</v>
      </c>
      <c r="C88">
        <v>2024</v>
      </c>
      <c r="E88" t="s">
        <v>6</v>
      </c>
      <c r="F88">
        <f>(FruitDMg!F88/FruitFW!F88)*100</f>
        <v>18.099999999999998</v>
      </c>
    </row>
    <row r="89" spans="1:6" x14ac:dyDescent="0.25">
      <c r="A89" t="s">
        <v>8</v>
      </c>
      <c r="B89" s="2">
        <v>45453</v>
      </c>
      <c r="C89">
        <v>2024</v>
      </c>
      <c r="E89" t="s">
        <v>6</v>
      </c>
      <c r="F89">
        <f>(FruitDMg!F89/FruitFW!F89)*100</f>
        <v>17.899999999999995</v>
      </c>
    </row>
    <row r="90" spans="1:6" x14ac:dyDescent="0.25">
      <c r="A90" t="s">
        <v>8</v>
      </c>
      <c r="B90" s="2">
        <v>44595</v>
      </c>
      <c r="C90">
        <f>YEAR((B90))</f>
        <v>2022</v>
      </c>
      <c r="E90" t="s">
        <v>6</v>
      </c>
      <c r="F90">
        <f>(FruitDMg!F90/FruitFW!F90)*100</f>
        <v>10</v>
      </c>
    </row>
    <row r="91" spans="1:6" x14ac:dyDescent="0.25">
      <c r="A91" t="s">
        <v>8</v>
      </c>
      <c r="B91" s="2">
        <v>44608</v>
      </c>
      <c r="C91">
        <f t="shared" ref="C91:C122" si="0">YEAR((B91))</f>
        <v>2022</v>
      </c>
      <c r="E91" t="s">
        <v>6</v>
      </c>
      <c r="F91">
        <f>(FruitDMg!F91/FruitFW!F91)*100</f>
        <v>12.2</v>
      </c>
    </row>
    <row r="92" spans="1:6" x14ac:dyDescent="0.25">
      <c r="A92" t="s">
        <v>8</v>
      </c>
      <c r="B92" s="2">
        <v>44622</v>
      </c>
      <c r="C92">
        <f t="shared" si="0"/>
        <v>2022</v>
      </c>
      <c r="E92" t="s">
        <v>6</v>
      </c>
      <c r="F92">
        <f>(FruitDMg!F92/FruitFW!F92)*100</f>
        <v>14.099999999999998</v>
      </c>
    </row>
    <row r="93" spans="1:6" x14ac:dyDescent="0.25">
      <c r="A93" t="s">
        <v>8</v>
      </c>
      <c r="B93" s="2">
        <v>44636</v>
      </c>
      <c r="C93">
        <f t="shared" si="0"/>
        <v>2022</v>
      </c>
      <c r="E93" t="s">
        <v>6</v>
      </c>
      <c r="F93">
        <f>(FruitDMg!F93/FruitFW!F93)*100</f>
        <v>13.899999999999999</v>
      </c>
    </row>
    <row r="94" spans="1:6" x14ac:dyDescent="0.25">
      <c r="A94" t="s">
        <v>8</v>
      </c>
      <c r="B94" s="2">
        <v>44650</v>
      </c>
      <c r="C94">
        <f t="shared" si="0"/>
        <v>2022</v>
      </c>
      <c r="E94" t="s">
        <v>6</v>
      </c>
      <c r="F94">
        <f>(FruitDMg!F94/FruitFW!F94)*100</f>
        <v>17.2</v>
      </c>
    </row>
    <row r="95" spans="1:6" x14ac:dyDescent="0.25">
      <c r="A95" t="s">
        <v>8</v>
      </c>
      <c r="B95" s="2">
        <v>44664</v>
      </c>
      <c r="C95">
        <f t="shared" si="0"/>
        <v>2022</v>
      </c>
      <c r="E95" t="s">
        <v>6</v>
      </c>
      <c r="F95">
        <f>(FruitDMg!F95/FruitFW!F95)*100</f>
        <v>15.6</v>
      </c>
    </row>
    <row r="96" spans="1:6" x14ac:dyDescent="0.25">
      <c r="A96" t="s">
        <v>8</v>
      </c>
      <c r="B96" s="2">
        <v>44673</v>
      </c>
      <c r="C96">
        <f t="shared" si="0"/>
        <v>2022</v>
      </c>
      <c r="E96" t="s">
        <v>6</v>
      </c>
      <c r="F96">
        <f>(FruitDMg!F96/FruitFW!F96)*100</f>
        <v>15.9</v>
      </c>
    </row>
    <row r="97" spans="1:6" x14ac:dyDescent="0.25">
      <c r="A97" t="s">
        <v>8</v>
      </c>
      <c r="B97" s="2">
        <v>44680</v>
      </c>
      <c r="C97">
        <f t="shared" si="0"/>
        <v>2022</v>
      </c>
      <c r="E97" t="s">
        <v>6</v>
      </c>
      <c r="F97">
        <f>(FruitDMg!F97/FruitFW!F97)*100</f>
        <v>17.599999999999998</v>
      </c>
    </row>
    <row r="98" spans="1:6" x14ac:dyDescent="0.25">
      <c r="A98" t="s">
        <v>8</v>
      </c>
      <c r="B98" s="2">
        <v>44685</v>
      </c>
      <c r="C98">
        <f>YEAR((B98))</f>
        <v>2022</v>
      </c>
      <c r="E98" t="s">
        <v>6</v>
      </c>
      <c r="F98">
        <f>(FruitDMg!F98/FruitFW!F98)*100</f>
        <v>18.199999999999996</v>
      </c>
    </row>
    <row r="99" spans="1:6" x14ac:dyDescent="0.25">
      <c r="A99" t="s">
        <v>8</v>
      </c>
      <c r="B99" s="2">
        <v>44699</v>
      </c>
      <c r="C99">
        <f t="shared" si="0"/>
        <v>2022</v>
      </c>
      <c r="E99" t="s">
        <v>6</v>
      </c>
      <c r="F99">
        <f>(FruitDMg!F99/FruitFW!F99)*100</f>
        <v>17.7</v>
      </c>
    </row>
    <row r="100" spans="1:6" x14ac:dyDescent="0.25">
      <c r="A100" t="s">
        <v>8</v>
      </c>
      <c r="B100" s="2">
        <v>44713</v>
      </c>
      <c r="C100">
        <f t="shared" si="0"/>
        <v>2022</v>
      </c>
      <c r="E100" t="s">
        <v>6</v>
      </c>
      <c r="F100">
        <f>(FruitDMg!F100/FruitFW!F100)*100</f>
        <v>18.100000000000001</v>
      </c>
    </row>
    <row r="101" spans="1:6" x14ac:dyDescent="0.25">
      <c r="A101" t="s">
        <v>8</v>
      </c>
      <c r="B101" s="2">
        <v>44950</v>
      </c>
      <c r="C101">
        <f t="shared" si="0"/>
        <v>2023</v>
      </c>
      <c r="E101" t="s">
        <v>6</v>
      </c>
      <c r="F101">
        <f>(FruitDMg!F101/FruitFW!F101)*100</f>
        <v>9.0000000000000018</v>
      </c>
    </row>
    <row r="102" spans="1:6" x14ac:dyDescent="0.25">
      <c r="A102" t="s">
        <v>8</v>
      </c>
      <c r="B102" s="2">
        <v>44974</v>
      </c>
      <c r="C102">
        <f t="shared" si="0"/>
        <v>2023</v>
      </c>
      <c r="E102" t="s">
        <v>6</v>
      </c>
      <c r="F102">
        <f>(FruitDMg!F102/FruitFW!F102)*100</f>
        <v>11.300000000000002</v>
      </c>
    </row>
    <row r="103" spans="1:6" x14ac:dyDescent="0.25">
      <c r="A103" t="s">
        <v>8</v>
      </c>
      <c r="B103" s="2">
        <v>44987</v>
      </c>
      <c r="C103">
        <f t="shared" si="0"/>
        <v>2023</v>
      </c>
      <c r="E103" t="s">
        <v>6</v>
      </c>
      <c r="F103">
        <f>(FruitDMg!F103/FruitFW!F103)*100</f>
        <v>13.5</v>
      </c>
    </row>
    <row r="104" spans="1:6" x14ac:dyDescent="0.25">
      <c r="A104" t="s">
        <v>8</v>
      </c>
      <c r="B104" s="2">
        <v>45001</v>
      </c>
      <c r="C104">
        <f t="shared" si="0"/>
        <v>2023</v>
      </c>
      <c r="E104" t="s">
        <v>6</v>
      </c>
      <c r="F104">
        <f>(FruitDMg!F104/FruitFW!F104)*100</f>
        <v>15.299999999999999</v>
      </c>
    </row>
    <row r="105" spans="1:6" x14ac:dyDescent="0.25">
      <c r="A105" t="s">
        <v>8</v>
      </c>
      <c r="B105" s="2">
        <v>45014</v>
      </c>
      <c r="C105">
        <f t="shared" si="0"/>
        <v>2023</v>
      </c>
      <c r="E105" t="s">
        <v>6</v>
      </c>
      <c r="F105">
        <f>(FruitDMg!F105/FruitFW!F105)*100</f>
        <v>16</v>
      </c>
    </row>
    <row r="106" spans="1:6" x14ac:dyDescent="0.25">
      <c r="A106" t="s">
        <v>8</v>
      </c>
      <c r="B106" s="2">
        <v>45031</v>
      </c>
      <c r="C106">
        <f t="shared" si="0"/>
        <v>2023</v>
      </c>
      <c r="E106" t="s">
        <v>6</v>
      </c>
      <c r="F106">
        <f>(FruitDMg!F106/FruitFW!F106)*100</f>
        <v>16.7</v>
      </c>
    </row>
    <row r="107" spans="1:6" x14ac:dyDescent="0.25">
      <c r="A107" t="s">
        <v>8</v>
      </c>
      <c r="B107" s="2">
        <v>45041</v>
      </c>
      <c r="C107">
        <f t="shared" si="0"/>
        <v>2023</v>
      </c>
      <c r="E107" t="s">
        <v>6</v>
      </c>
      <c r="F107">
        <f>(FruitDMg!F107/FruitFW!F107)*100</f>
        <v>17.399999999999999</v>
      </c>
    </row>
    <row r="108" spans="1:6" x14ac:dyDescent="0.25">
      <c r="A108" t="s">
        <v>8</v>
      </c>
      <c r="B108" s="2">
        <v>45049</v>
      </c>
      <c r="C108">
        <f t="shared" si="0"/>
        <v>2023</v>
      </c>
      <c r="E108" t="s">
        <v>6</v>
      </c>
      <c r="F108">
        <f>(FruitDMg!F108/FruitFW!F108)*100</f>
        <v>17.5</v>
      </c>
    </row>
    <row r="109" spans="1:6" x14ac:dyDescent="0.25">
      <c r="A109" t="s">
        <v>8</v>
      </c>
      <c r="B109" s="2">
        <v>45062</v>
      </c>
      <c r="C109">
        <f t="shared" si="0"/>
        <v>2023</v>
      </c>
      <c r="E109" t="s">
        <v>6</v>
      </c>
      <c r="F109">
        <f>(FruitDMg!F109/FruitFW!F109)*100</f>
        <v>17.8</v>
      </c>
    </row>
    <row r="110" spans="1:6" x14ac:dyDescent="0.25">
      <c r="A110" t="s">
        <v>8</v>
      </c>
      <c r="B110" s="2">
        <v>45077</v>
      </c>
      <c r="C110">
        <f t="shared" si="0"/>
        <v>2023</v>
      </c>
      <c r="E110" t="s">
        <v>6</v>
      </c>
      <c r="F110">
        <f>(FruitDMg!F110/FruitFW!F110)*100</f>
        <v>17.8</v>
      </c>
    </row>
    <row r="111" spans="1:6" x14ac:dyDescent="0.25">
      <c r="A111" t="s">
        <v>8</v>
      </c>
      <c r="B111" s="2">
        <v>45083</v>
      </c>
      <c r="C111">
        <f t="shared" si="0"/>
        <v>2023</v>
      </c>
      <c r="E111" t="s">
        <v>6</v>
      </c>
      <c r="F111">
        <f>(FruitDMg!F111/FruitFW!F111)*100</f>
        <v>17.899999999999999</v>
      </c>
    </row>
    <row r="112" spans="1:6" x14ac:dyDescent="0.25">
      <c r="A112" t="s">
        <v>8</v>
      </c>
      <c r="B112" s="2">
        <v>45314</v>
      </c>
      <c r="C112">
        <f t="shared" si="0"/>
        <v>2024</v>
      </c>
      <c r="E112" t="s">
        <v>6</v>
      </c>
      <c r="F112">
        <f>(FruitDMg!F112/FruitFW!F112)*100</f>
        <v>8.3000000000000007</v>
      </c>
    </row>
    <row r="113" spans="1:6" x14ac:dyDescent="0.25">
      <c r="A113" t="s">
        <v>8</v>
      </c>
      <c r="B113" s="2">
        <v>45336</v>
      </c>
      <c r="C113">
        <f t="shared" si="0"/>
        <v>2024</v>
      </c>
      <c r="E113" t="s">
        <v>6</v>
      </c>
      <c r="F113">
        <f>(FruitDMg!F113/FruitFW!F113)*100</f>
        <v>11.9</v>
      </c>
    </row>
    <row r="114" spans="1:6" x14ac:dyDescent="0.25">
      <c r="A114" t="s">
        <v>8</v>
      </c>
      <c r="B114" s="2">
        <v>45348</v>
      </c>
      <c r="C114">
        <f t="shared" si="0"/>
        <v>2024</v>
      </c>
      <c r="E114" t="s">
        <v>6</v>
      </c>
      <c r="F114">
        <f>(FruitDMg!F114/FruitFW!F114)*100</f>
        <v>13.5</v>
      </c>
    </row>
    <row r="115" spans="1:6" x14ac:dyDescent="0.25">
      <c r="A115" t="s">
        <v>8</v>
      </c>
      <c r="B115" s="2">
        <v>45365</v>
      </c>
      <c r="C115">
        <f t="shared" si="0"/>
        <v>2024</v>
      </c>
      <c r="E115" t="s">
        <v>6</v>
      </c>
      <c r="F115">
        <f>(FruitDMg!F115/FruitFW!F115)*100</f>
        <v>15.2</v>
      </c>
    </row>
    <row r="116" spans="1:6" x14ac:dyDescent="0.25">
      <c r="A116" t="s">
        <v>8</v>
      </c>
      <c r="B116" s="2">
        <v>45379</v>
      </c>
      <c r="C116">
        <f t="shared" si="0"/>
        <v>2024</v>
      </c>
      <c r="E116" t="s">
        <v>6</v>
      </c>
      <c r="F116">
        <f>(FruitDMg!F116/FruitFW!F116)*100</f>
        <v>16.400000000000002</v>
      </c>
    </row>
    <row r="117" spans="1:6" x14ac:dyDescent="0.25">
      <c r="A117" t="s">
        <v>8</v>
      </c>
      <c r="B117" s="2">
        <v>45390</v>
      </c>
      <c r="C117">
        <f t="shared" si="0"/>
        <v>2024</v>
      </c>
      <c r="E117" t="s">
        <v>6</v>
      </c>
      <c r="F117">
        <f>(FruitDMg!F117/FruitFW!F117)*100</f>
        <v>16.8</v>
      </c>
    </row>
    <row r="118" spans="1:6" x14ac:dyDescent="0.25">
      <c r="A118" t="s">
        <v>8</v>
      </c>
      <c r="B118" s="2">
        <v>45404</v>
      </c>
      <c r="C118">
        <f t="shared" si="0"/>
        <v>2024</v>
      </c>
      <c r="E118" t="s">
        <v>6</v>
      </c>
      <c r="F118">
        <f>(FruitDMg!F118/FruitFW!F118)*100</f>
        <v>17.2</v>
      </c>
    </row>
    <row r="119" spans="1:6" x14ac:dyDescent="0.25">
      <c r="A119" t="s">
        <v>8</v>
      </c>
      <c r="B119" s="2">
        <v>45413</v>
      </c>
      <c r="C119">
        <f t="shared" si="0"/>
        <v>2024</v>
      </c>
      <c r="E119" t="s">
        <v>6</v>
      </c>
      <c r="F119">
        <f>(FruitDMg!F119/FruitFW!F119)*100</f>
        <v>17.699999999999996</v>
      </c>
    </row>
    <row r="120" spans="1:6" x14ac:dyDescent="0.25">
      <c r="A120" t="s">
        <v>8</v>
      </c>
      <c r="B120" s="2">
        <v>45425</v>
      </c>
      <c r="C120">
        <f t="shared" si="0"/>
        <v>2024</v>
      </c>
      <c r="E120" t="s">
        <v>6</v>
      </c>
      <c r="F120">
        <f>(FruitDMg!F120/FruitFW!F120)*100</f>
        <v>18.399999999999999</v>
      </c>
    </row>
    <row r="121" spans="1:6" x14ac:dyDescent="0.25">
      <c r="A121" t="s">
        <v>8</v>
      </c>
      <c r="B121" s="2">
        <v>45441</v>
      </c>
      <c r="C121">
        <f t="shared" si="0"/>
        <v>2024</v>
      </c>
      <c r="E121" t="s">
        <v>6</v>
      </c>
      <c r="F121">
        <f>(FruitDMg!F121/FruitFW!F121)*100</f>
        <v>17.899999999999995</v>
      </c>
    </row>
    <row r="122" spans="1:6" x14ac:dyDescent="0.25">
      <c r="A122" t="s">
        <v>8</v>
      </c>
      <c r="B122" s="2">
        <v>45453</v>
      </c>
      <c r="C122">
        <f t="shared" si="0"/>
        <v>2024</v>
      </c>
      <c r="E122" t="s">
        <v>6</v>
      </c>
      <c r="F122">
        <f>(FruitDMg!F122/FruitFW!F122)*100</f>
        <v>18</v>
      </c>
    </row>
    <row r="123" spans="1:6" x14ac:dyDescent="0.25">
      <c r="A123" t="s">
        <v>8</v>
      </c>
      <c r="B123" s="2">
        <v>44595</v>
      </c>
      <c r="C123">
        <f>YEAR(B123)</f>
        <v>2022</v>
      </c>
      <c r="E123" t="s">
        <v>6</v>
      </c>
      <c r="F123">
        <f>(FruitDMg!F123/FruitFW!F123)*100</f>
        <v>9.7000000000000011</v>
      </c>
    </row>
    <row r="124" spans="1:6" x14ac:dyDescent="0.25">
      <c r="A124" t="s">
        <v>8</v>
      </c>
      <c r="B124" s="2">
        <v>44608</v>
      </c>
      <c r="C124">
        <f t="shared" ref="C124:C187" si="1">YEAR(B124)</f>
        <v>2022</v>
      </c>
      <c r="E124" t="s">
        <v>6</v>
      </c>
      <c r="F124">
        <f>(FruitDMg!F124/FruitFW!F124)*100</f>
        <v>11.4</v>
      </c>
    </row>
    <row r="125" spans="1:6" x14ac:dyDescent="0.25">
      <c r="A125" t="s">
        <v>8</v>
      </c>
      <c r="B125" s="2">
        <v>44622</v>
      </c>
      <c r="C125">
        <f t="shared" si="1"/>
        <v>2022</v>
      </c>
      <c r="E125" t="s">
        <v>6</v>
      </c>
      <c r="F125">
        <f>(FruitDMg!F125/FruitFW!F125)*100</f>
        <v>12.8</v>
      </c>
    </row>
    <row r="126" spans="1:6" x14ac:dyDescent="0.25">
      <c r="A126" t="s">
        <v>8</v>
      </c>
      <c r="B126" s="2">
        <v>44636</v>
      </c>
      <c r="C126">
        <f t="shared" si="1"/>
        <v>2022</v>
      </c>
      <c r="E126" t="s">
        <v>6</v>
      </c>
      <c r="F126">
        <f>(FruitDMg!F126/FruitFW!F126)*100</f>
        <v>12.099999999999998</v>
      </c>
    </row>
    <row r="127" spans="1:6" x14ac:dyDescent="0.25">
      <c r="A127" t="s">
        <v>8</v>
      </c>
      <c r="B127" s="2">
        <v>44650</v>
      </c>
      <c r="C127">
        <f t="shared" si="1"/>
        <v>2022</v>
      </c>
      <c r="E127" t="s">
        <v>6</v>
      </c>
      <c r="F127">
        <f>(FruitDMg!F127/FruitFW!F127)*100</f>
        <v>14.6</v>
      </c>
    </row>
    <row r="128" spans="1:6" x14ac:dyDescent="0.25">
      <c r="A128" t="s">
        <v>8</v>
      </c>
      <c r="B128" s="2">
        <v>44664</v>
      </c>
      <c r="C128">
        <f t="shared" si="1"/>
        <v>2022</v>
      </c>
      <c r="E128" t="s">
        <v>6</v>
      </c>
      <c r="F128">
        <f>(FruitDMg!F128/FruitFW!F128)*100</f>
        <v>14.400000000000002</v>
      </c>
    </row>
    <row r="129" spans="1:6" x14ac:dyDescent="0.25">
      <c r="A129" t="s">
        <v>8</v>
      </c>
      <c r="B129" s="2">
        <v>44672</v>
      </c>
      <c r="C129">
        <f t="shared" si="1"/>
        <v>2022</v>
      </c>
      <c r="E129" t="s">
        <v>6</v>
      </c>
      <c r="F129">
        <f>(FruitDMg!F129/FruitFW!F129)*100</f>
        <v>14.799999999999999</v>
      </c>
    </row>
    <row r="130" spans="1:6" x14ac:dyDescent="0.25">
      <c r="A130" t="s">
        <v>8</v>
      </c>
      <c r="B130" s="2">
        <v>44680</v>
      </c>
      <c r="C130">
        <f t="shared" si="1"/>
        <v>2022</v>
      </c>
      <c r="E130" t="s">
        <v>6</v>
      </c>
      <c r="F130">
        <f>(FruitDMg!F130/FruitFW!F130)*100</f>
        <v>14.7</v>
      </c>
    </row>
    <row r="131" spans="1:6" x14ac:dyDescent="0.25">
      <c r="A131" t="s">
        <v>8</v>
      </c>
      <c r="B131" s="2">
        <v>44685</v>
      </c>
      <c r="C131">
        <f t="shared" si="1"/>
        <v>2022</v>
      </c>
      <c r="E131" t="s">
        <v>6</v>
      </c>
      <c r="F131">
        <f>(FruitDMg!F131/FruitFW!F131)*100</f>
        <v>14.6</v>
      </c>
    </row>
    <row r="132" spans="1:6" x14ac:dyDescent="0.25">
      <c r="A132" t="s">
        <v>8</v>
      </c>
      <c r="B132" s="2">
        <v>44699</v>
      </c>
      <c r="C132">
        <f t="shared" si="1"/>
        <v>2022</v>
      </c>
      <c r="E132" t="s">
        <v>6</v>
      </c>
      <c r="F132">
        <f>(FruitDMg!F132/FruitFW!F132)*100</f>
        <v>15.8</v>
      </c>
    </row>
    <row r="133" spans="1:6" x14ac:dyDescent="0.25">
      <c r="A133" t="s">
        <v>8</v>
      </c>
      <c r="B133" s="2">
        <v>44713</v>
      </c>
      <c r="C133">
        <f t="shared" si="1"/>
        <v>2022</v>
      </c>
      <c r="E133" t="s">
        <v>6</v>
      </c>
      <c r="F133">
        <f>(FruitDMg!F133/FruitFW!F133)*100</f>
        <v>16</v>
      </c>
    </row>
    <row r="134" spans="1:6" x14ac:dyDescent="0.25">
      <c r="A134" t="s">
        <v>8</v>
      </c>
      <c r="B134" s="2">
        <v>44952</v>
      </c>
      <c r="C134">
        <f t="shared" si="1"/>
        <v>2023</v>
      </c>
      <c r="E134" t="s">
        <v>6</v>
      </c>
      <c r="F134">
        <f>(FruitDMg!F134/FruitFW!F134)*100</f>
        <v>8.2999999999999989</v>
      </c>
    </row>
    <row r="135" spans="1:6" x14ac:dyDescent="0.25">
      <c r="A135" t="s">
        <v>8</v>
      </c>
      <c r="B135" s="2">
        <v>44974</v>
      </c>
      <c r="C135">
        <f t="shared" si="1"/>
        <v>2023</v>
      </c>
      <c r="E135" t="s">
        <v>6</v>
      </c>
      <c r="F135">
        <f>(FruitDMg!F135/FruitFW!F135)*100</f>
        <v>10.5</v>
      </c>
    </row>
    <row r="136" spans="1:6" x14ac:dyDescent="0.25">
      <c r="A136" t="s">
        <v>8</v>
      </c>
      <c r="B136" s="2">
        <v>44984</v>
      </c>
      <c r="C136">
        <f t="shared" si="1"/>
        <v>2023</v>
      </c>
      <c r="E136" t="s">
        <v>6</v>
      </c>
      <c r="F136">
        <f>(FruitDMg!F136/FruitFW!F136)*100</f>
        <v>12.4</v>
      </c>
    </row>
    <row r="137" spans="1:6" x14ac:dyDescent="0.25">
      <c r="A137" t="s">
        <v>8</v>
      </c>
      <c r="B137" s="2">
        <v>45000</v>
      </c>
      <c r="C137">
        <f t="shared" si="1"/>
        <v>2023</v>
      </c>
      <c r="E137" t="s">
        <v>6</v>
      </c>
      <c r="F137">
        <f>(FruitDMg!F137/FruitFW!F137)*100</f>
        <v>14.299999999999999</v>
      </c>
    </row>
    <row r="138" spans="1:6" x14ac:dyDescent="0.25">
      <c r="A138" t="s">
        <v>8</v>
      </c>
      <c r="B138" s="2">
        <v>45015</v>
      </c>
      <c r="C138">
        <f t="shared" si="1"/>
        <v>2023</v>
      </c>
      <c r="E138" t="s">
        <v>6</v>
      </c>
      <c r="F138">
        <f>(FruitDMg!F138/FruitFW!F138)*100</f>
        <v>15.000000000000002</v>
      </c>
    </row>
    <row r="139" spans="1:6" x14ac:dyDescent="0.25">
      <c r="A139" t="s">
        <v>8</v>
      </c>
      <c r="B139" s="2">
        <v>45029</v>
      </c>
      <c r="C139">
        <f t="shared" si="1"/>
        <v>2023</v>
      </c>
      <c r="E139" t="s">
        <v>6</v>
      </c>
      <c r="F139">
        <f>(FruitDMg!F139/FruitFW!F139)*100</f>
        <v>15.5</v>
      </c>
    </row>
    <row r="140" spans="1:6" x14ac:dyDescent="0.25">
      <c r="A140" t="s">
        <v>8</v>
      </c>
      <c r="B140" s="2">
        <v>45041</v>
      </c>
      <c r="C140">
        <f t="shared" si="1"/>
        <v>2023</v>
      </c>
      <c r="E140" t="s">
        <v>6</v>
      </c>
      <c r="F140">
        <f>(FruitDMg!F140/FruitFW!F140)*100</f>
        <v>16</v>
      </c>
    </row>
    <row r="141" spans="1:6" x14ac:dyDescent="0.25">
      <c r="A141" t="s">
        <v>8</v>
      </c>
      <c r="B141" s="2">
        <v>45049</v>
      </c>
      <c r="C141">
        <f t="shared" si="1"/>
        <v>2023</v>
      </c>
      <c r="E141" t="s">
        <v>6</v>
      </c>
      <c r="F141">
        <f>(FruitDMg!F141/FruitFW!F141)*100</f>
        <v>15.6</v>
      </c>
    </row>
    <row r="142" spans="1:6" x14ac:dyDescent="0.25">
      <c r="A142" t="s">
        <v>8</v>
      </c>
      <c r="B142" s="2">
        <v>45062</v>
      </c>
      <c r="C142">
        <f t="shared" si="1"/>
        <v>2023</v>
      </c>
      <c r="E142" t="s">
        <v>6</v>
      </c>
      <c r="F142">
        <f>(FruitDMg!F142/FruitFW!F142)*100</f>
        <v>15.4</v>
      </c>
    </row>
    <row r="143" spans="1:6" x14ac:dyDescent="0.25">
      <c r="A143" t="s">
        <v>8</v>
      </c>
      <c r="B143" s="2">
        <v>45076</v>
      </c>
      <c r="C143">
        <f t="shared" si="1"/>
        <v>2023</v>
      </c>
      <c r="E143" t="s">
        <v>6</v>
      </c>
      <c r="F143">
        <f>(FruitDMg!F143/FruitFW!F143)*100</f>
        <v>16</v>
      </c>
    </row>
    <row r="144" spans="1:6" x14ac:dyDescent="0.25">
      <c r="A144" t="s">
        <v>8</v>
      </c>
      <c r="B144" s="2">
        <v>45083</v>
      </c>
      <c r="C144">
        <f t="shared" si="1"/>
        <v>2023</v>
      </c>
      <c r="E144" t="s">
        <v>6</v>
      </c>
      <c r="F144">
        <f>(FruitDMg!F144/FruitFW!F144)*100</f>
        <v>17</v>
      </c>
    </row>
    <row r="145" spans="1:6" x14ac:dyDescent="0.25">
      <c r="A145" t="s">
        <v>8</v>
      </c>
      <c r="B145" s="2">
        <v>45316</v>
      </c>
      <c r="C145">
        <f t="shared" si="1"/>
        <v>2024</v>
      </c>
      <c r="E145" t="s">
        <v>6</v>
      </c>
      <c r="F145">
        <f>(FruitDMg!F145/FruitFW!F145)*100</f>
        <v>8.3000000000000025</v>
      </c>
    </row>
    <row r="146" spans="1:6" x14ac:dyDescent="0.25">
      <c r="A146" t="s">
        <v>8</v>
      </c>
      <c r="B146" s="2">
        <v>45337</v>
      </c>
      <c r="C146">
        <f t="shared" si="1"/>
        <v>2024</v>
      </c>
      <c r="E146" t="s">
        <v>6</v>
      </c>
      <c r="F146">
        <f>(FruitDMg!F146/FruitFW!F146)*100</f>
        <v>11.700000000000001</v>
      </c>
    </row>
    <row r="147" spans="1:6" x14ac:dyDescent="0.25">
      <c r="A147" t="s">
        <v>8</v>
      </c>
      <c r="B147" s="2">
        <v>45350</v>
      </c>
      <c r="C147">
        <f t="shared" si="1"/>
        <v>2024</v>
      </c>
      <c r="E147" t="s">
        <v>6</v>
      </c>
      <c r="F147">
        <f>(FruitDMg!F147/FruitFW!F147)*100</f>
        <v>13.600000000000001</v>
      </c>
    </row>
    <row r="148" spans="1:6" x14ac:dyDescent="0.25">
      <c r="A148" t="s">
        <v>8</v>
      </c>
      <c r="B148" s="2">
        <v>45364</v>
      </c>
      <c r="C148">
        <f t="shared" si="1"/>
        <v>2024</v>
      </c>
      <c r="E148" t="s">
        <v>6</v>
      </c>
      <c r="F148">
        <f>(FruitDMg!F148/FruitFW!F148)*100</f>
        <v>15.000000000000002</v>
      </c>
    </row>
    <row r="149" spans="1:6" x14ac:dyDescent="0.25">
      <c r="A149" t="s">
        <v>8</v>
      </c>
      <c r="B149" s="2">
        <v>45378</v>
      </c>
      <c r="C149">
        <f t="shared" si="1"/>
        <v>2024</v>
      </c>
      <c r="E149" t="s">
        <v>6</v>
      </c>
      <c r="F149">
        <f>(FruitDMg!F149/FruitFW!F149)*100</f>
        <v>15.9</v>
      </c>
    </row>
    <row r="150" spans="1:6" x14ac:dyDescent="0.25">
      <c r="A150" t="s">
        <v>8</v>
      </c>
      <c r="B150" s="2">
        <v>45393</v>
      </c>
      <c r="C150">
        <f t="shared" si="1"/>
        <v>2024</v>
      </c>
      <c r="E150" t="s">
        <v>6</v>
      </c>
      <c r="F150">
        <f>(FruitDMg!F150/FruitFW!F150)*100</f>
        <v>16.3</v>
      </c>
    </row>
    <row r="151" spans="1:6" x14ac:dyDescent="0.25">
      <c r="A151" t="s">
        <v>8</v>
      </c>
      <c r="B151" s="2">
        <v>45404</v>
      </c>
      <c r="C151">
        <f t="shared" si="1"/>
        <v>2024</v>
      </c>
      <c r="E151" t="s">
        <v>6</v>
      </c>
      <c r="F151">
        <f>(FruitDMg!F151/FruitFW!F151)*100</f>
        <v>16.2</v>
      </c>
    </row>
    <row r="152" spans="1:6" x14ac:dyDescent="0.25">
      <c r="A152" t="s">
        <v>8</v>
      </c>
      <c r="B152" s="2">
        <v>45414</v>
      </c>
      <c r="C152">
        <f t="shared" si="1"/>
        <v>2024</v>
      </c>
      <c r="E152" t="s">
        <v>6</v>
      </c>
      <c r="F152">
        <f>(FruitDMg!F152/FruitFW!F152)*100</f>
        <v>17.099999999999998</v>
      </c>
    </row>
    <row r="153" spans="1:6" x14ac:dyDescent="0.25">
      <c r="A153" t="s">
        <v>8</v>
      </c>
      <c r="B153" s="2">
        <v>45425</v>
      </c>
      <c r="C153">
        <f t="shared" si="1"/>
        <v>2024</v>
      </c>
      <c r="E153" t="s">
        <v>6</v>
      </c>
      <c r="F153">
        <f>(FruitDMg!F153/FruitFW!F153)*100</f>
        <v>17.3</v>
      </c>
    </row>
    <row r="154" spans="1:6" x14ac:dyDescent="0.25">
      <c r="A154" t="s">
        <v>8</v>
      </c>
      <c r="B154" s="2">
        <v>45441</v>
      </c>
      <c r="C154">
        <f t="shared" si="1"/>
        <v>2024</v>
      </c>
      <c r="E154" t="s">
        <v>6</v>
      </c>
      <c r="F154">
        <f>(FruitDMg!F154/FruitFW!F154)*100</f>
        <v>17.7</v>
      </c>
    </row>
    <row r="155" spans="1:6" x14ac:dyDescent="0.25">
      <c r="A155" t="s">
        <v>8</v>
      </c>
      <c r="B155" s="2">
        <v>45453</v>
      </c>
      <c r="C155">
        <f t="shared" si="1"/>
        <v>2024</v>
      </c>
      <c r="E155" t="s">
        <v>6</v>
      </c>
      <c r="F155">
        <f>(FruitDMg!F155/FruitFW!F155)*100</f>
        <v>17.8</v>
      </c>
    </row>
    <row r="156" spans="1:6" x14ac:dyDescent="0.25">
      <c r="A156" t="s">
        <v>8</v>
      </c>
      <c r="B156" s="2">
        <v>45316</v>
      </c>
      <c r="C156">
        <f t="shared" si="1"/>
        <v>2024</v>
      </c>
      <c r="E156" t="s">
        <v>6</v>
      </c>
      <c r="F156">
        <f>(FruitDMg!F156/FruitFW!F156)*100</f>
        <v>8.6999999999999975</v>
      </c>
    </row>
    <row r="157" spans="1:6" x14ac:dyDescent="0.25">
      <c r="A157" t="s">
        <v>8</v>
      </c>
      <c r="B157" s="2">
        <v>45337</v>
      </c>
      <c r="C157">
        <f t="shared" si="1"/>
        <v>2024</v>
      </c>
      <c r="E157" t="s">
        <v>6</v>
      </c>
      <c r="F157">
        <f>(FruitDMg!F157/FruitFW!F157)*100</f>
        <v>12.1</v>
      </c>
    </row>
    <row r="158" spans="1:6" x14ac:dyDescent="0.25">
      <c r="A158" t="s">
        <v>8</v>
      </c>
      <c r="B158" s="2">
        <v>45350</v>
      </c>
      <c r="C158">
        <f t="shared" si="1"/>
        <v>2024</v>
      </c>
      <c r="E158" t="s">
        <v>6</v>
      </c>
      <c r="F158">
        <f>(FruitDMg!F158/FruitFW!F158)*100</f>
        <v>13.5</v>
      </c>
    </row>
    <row r="159" spans="1:6" x14ac:dyDescent="0.25">
      <c r="A159" t="s">
        <v>8</v>
      </c>
      <c r="B159" s="2">
        <v>45364</v>
      </c>
      <c r="C159">
        <f t="shared" si="1"/>
        <v>2024</v>
      </c>
      <c r="E159" t="s">
        <v>6</v>
      </c>
      <c r="F159">
        <f>(FruitDMg!F159/FruitFW!F159)*100</f>
        <v>14.7</v>
      </c>
    </row>
    <row r="160" spans="1:6" x14ac:dyDescent="0.25">
      <c r="A160" t="s">
        <v>8</v>
      </c>
      <c r="B160" s="2">
        <v>45378</v>
      </c>
      <c r="C160">
        <f t="shared" si="1"/>
        <v>2024</v>
      </c>
      <c r="E160" t="s">
        <v>6</v>
      </c>
      <c r="F160">
        <f>(FruitDMg!F160/FruitFW!F160)*100</f>
        <v>15.7</v>
      </c>
    </row>
    <row r="161" spans="1:6" x14ac:dyDescent="0.25">
      <c r="A161" t="s">
        <v>8</v>
      </c>
      <c r="B161" s="2">
        <v>45390</v>
      </c>
      <c r="C161">
        <f t="shared" si="1"/>
        <v>2024</v>
      </c>
      <c r="E161" t="s">
        <v>6</v>
      </c>
      <c r="F161">
        <f>(FruitDMg!F161/FruitFW!F161)*100</f>
        <v>16.499999999999996</v>
      </c>
    </row>
    <row r="162" spans="1:6" x14ac:dyDescent="0.25">
      <c r="A162" t="s">
        <v>8</v>
      </c>
      <c r="B162" s="2">
        <v>45407</v>
      </c>
      <c r="C162">
        <f t="shared" si="1"/>
        <v>2024</v>
      </c>
      <c r="E162" t="s">
        <v>6</v>
      </c>
      <c r="F162">
        <f>(FruitDMg!F162/FruitFW!F162)*100</f>
        <v>16.5</v>
      </c>
    </row>
    <row r="163" spans="1:6" x14ac:dyDescent="0.25">
      <c r="A163" t="s">
        <v>8</v>
      </c>
      <c r="B163" s="2">
        <v>45413</v>
      </c>
      <c r="C163">
        <f t="shared" si="1"/>
        <v>2024</v>
      </c>
      <c r="E163" t="s">
        <v>6</v>
      </c>
      <c r="F163">
        <f>(FruitDMg!F163/FruitFW!F163)*100</f>
        <v>16.8</v>
      </c>
    </row>
    <row r="164" spans="1:6" x14ac:dyDescent="0.25">
      <c r="A164" t="s">
        <v>8</v>
      </c>
      <c r="B164" s="2">
        <v>45425</v>
      </c>
      <c r="C164">
        <f t="shared" si="1"/>
        <v>2024</v>
      </c>
      <c r="E164" t="s">
        <v>6</v>
      </c>
      <c r="F164">
        <f>(FruitDMg!F164/FruitFW!F164)*100</f>
        <v>17.8</v>
      </c>
    </row>
    <row r="165" spans="1:6" x14ac:dyDescent="0.25">
      <c r="A165" t="s">
        <v>8</v>
      </c>
      <c r="B165" s="2">
        <v>45439</v>
      </c>
      <c r="C165">
        <f t="shared" si="1"/>
        <v>2024</v>
      </c>
      <c r="E165" t="s">
        <v>6</v>
      </c>
      <c r="F165">
        <f>(FruitDMg!F165/FruitFW!F165)*100</f>
        <v>15</v>
      </c>
    </row>
    <row r="166" spans="1:6" x14ac:dyDescent="0.25">
      <c r="A166" t="s">
        <v>8</v>
      </c>
      <c r="B166" s="2">
        <v>45454</v>
      </c>
      <c r="C166">
        <f t="shared" si="1"/>
        <v>2024</v>
      </c>
      <c r="E166" t="s">
        <v>6</v>
      </c>
      <c r="F166">
        <f>(FruitDMg!F166/FruitFW!F166)*100</f>
        <v>17.5</v>
      </c>
    </row>
    <row r="167" spans="1:6" x14ac:dyDescent="0.25">
      <c r="A167" t="s">
        <v>8</v>
      </c>
      <c r="B167" s="2">
        <v>42387</v>
      </c>
      <c r="C167">
        <f t="shared" si="1"/>
        <v>2016</v>
      </c>
      <c r="E167" t="s">
        <v>6</v>
      </c>
      <c r="F167">
        <f>(FruitDMg!F167/FruitFW!F167)*100</f>
        <v>7.3999999999999995</v>
      </c>
    </row>
    <row r="168" spans="1:6" x14ac:dyDescent="0.25">
      <c r="A168" t="s">
        <v>8</v>
      </c>
      <c r="B168" s="2">
        <v>42387</v>
      </c>
      <c r="C168">
        <f t="shared" si="1"/>
        <v>2016</v>
      </c>
      <c r="E168" t="s">
        <v>6</v>
      </c>
      <c r="F168">
        <f>(FruitDMg!F168/FruitFW!F168)*100</f>
        <v>6.8999999999999995</v>
      </c>
    </row>
    <row r="169" spans="1:6" x14ac:dyDescent="0.25">
      <c r="A169" t="s">
        <v>8</v>
      </c>
      <c r="B169" s="2">
        <v>42423</v>
      </c>
      <c r="C169">
        <f t="shared" si="1"/>
        <v>2016</v>
      </c>
      <c r="E169" t="s">
        <v>6</v>
      </c>
      <c r="F169">
        <f>(FruitDMg!F169/FruitFW!F169)*100</f>
        <v>11.8</v>
      </c>
    </row>
    <row r="170" spans="1:6" x14ac:dyDescent="0.25">
      <c r="A170" t="s">
        <v>8</v>
      </c>
      <c r="B170" s="2">
        <v>42423</v>
      </c>
      <c r="C170">
        <f t="shared" si="1"/>
        <v>2016</v>
      </c>
      <c r="E170" t="s">
        <v>6</v>
      </c>
      <c r="F170">
        <f>(FruitDMg!F170/FruitFW!F170)*100</f>
        <v>11.899999999999999</v>
      </c>
    </row>
    <row r="171" spans="1:6" x14ac:dyDescent="0.25">
      <c r="A171" t="s">
        <v>8</v>
      </c>
      <c r="B171" s="2">
        <v>42437</v>
      </c>
      <c r="C171">
        <f t="shared" si="1"/>
        <v>2016</v>
      </c>
      <c r="E171" t="s">
        <v>6</v>
      </c>
      <c r="F171">
        <f>(FruitDMg!F171/FruitFW!F171)*100</f>
        <v>13.399999999999999</v>
      </c>
    </row>
    <row r="172" spans="1:6" x14ac:dyDescent="0.25">
      <c r="A172" t="s">
        <v>8</v>
      </c>
      <c r="B172" s="2">
        <v>42437</v>
      </c>
      <c r="C172">
        <f t="shared" si="1"/>
        <v>2016</v>
      </c>
      <c r="E172" t="s">
        <v>6</v>
      </c>
      <c r="F172">
        <f>(FruitDMg!F172/FruitFW!F172)*100</f>
        <v>13.600000000000001</v>
      </c>
    </row>
    <row r="173" spans="1:6" x14ac:dyDescent="0.25">
      <c r="A173" t="s">
        <v>8</v>
      </c>
      <c r="B173" s="2">
        <v>42451</v>
      </c>
      <c r="C173">
        <f t="shared" si="1"/>
        <v>2016</v>
      </c>
      <c r="E173" t="s">
        <v>6</v>
      </c>
      <c r="F173">
        <f>(FruitDMg!F173/FruitFW!F173)*100</f>
        <v>14.299999999999999</v>
      </c>
    </row>
    <row r="174" spans="1:6" x14ac:dyDescent="0.25">
      <c r="A174" t="s">
        <v>8</v>
      </c>
      <c r="B174" s="2">
        <v>42451</v>
      </c>
      <c r="C174">
        <f t="shared" si="1"/>
        <v>2016</v>
      </c>
      <c r="E174" t="s">
        <v>6</v>
      </c>
      <c r="F174">
        <f>(FruitDMg!F174/FruitFW!F174)*100</f>
        <v>14.899999999999999</v>
      </c>
    </row>
    <row r="175" spans="1:6" x14ac:dyDescent="0.25">
      <c r="A175" t="s">
        <v>8</v>
      </c>
      <c r="B175" s="2">
        <v>42466</v>
      </c>
      <c r="C175">
        <f t="shared" si="1"/>
        <v>2016</v>
      </c>
      <c r="E175" t="s">
        <v>6</v>
      </c>
      <c r="F175">
        <f>(FruitDMg!F175/FruitFW!F175)*100</f>
        <v>14.500000000000002</v>
      </c>
    </row>
    <row r="176" spans="1:6" x14ac:dyDescent="0.25">
      <c r="A176" t="s">
        <v>8</v>
      </c>
      <c r="B176" s="2">
        <v>42467</v>
      </c>
      <c r="C176">
        <f t="shared" si="1"/>
        <v>2016</v>
      </c>
      <c r="E176" t="s">
        <v>6</v>
      </c>
      <c r="F176">
        <f>(FruitDMg!F176/FruitFW!F176)*100</f>
        <v>15.299999999999999</v>
      </c>
    </row>
    <row r="177" spans="1:6" x14ac:dyDescent="0.25">
      <c r="A177" t="s">
        <v>8</v>
      </c>
      <c r="B177" s="2">
        <v>42474</v>
      </c>
      <c r="C177">
        <f t="shared" si="1"/>
        <v>2016</v>
      </c>
      <c r="E177" t="s">
        <v>6</v>
      </c>
      <c r="F177">
        <f>(FruitDMg!F177/FruitFW!F177)*100</f>
        <v>15.300000000000002</v>
      </c>
    </row>
    <row r="178" spans="1:6" x14ac:dyDescent="0.25">
      <c r="A178" t="s">
        <v>8</v>
      </c>
      <c r="B178" s="2">
        <v>42475</v>
      </c>
      <c r="C178">
        <f t="shared" si="1"/>
        <v>2016</v>
      </c>
      <c r="E178" t="s">
        <v>6</v>
      </c>
      <c r="F178">
        <f>(FruitDMg!F178/FruitFW!F178)*100</f>
        <v>15.2</v>
      </c>
    </row>
    <row r="179" spans="1:6" x14ac:dyDescent="0.25">
      <c r="A179" t="s">
        <v>8</v>
      </c>
      <c r="B179" s="2">
        <v>42482</v>
      </c>
      <c r="C179">
        <f t="shared" si="1"/>
        <v>2016</v>
      </c>
      <c r="E179" t="s">
        <v>6</v>
      </c>
      <c r="F179">
        <f>(FruitDMg!F179/FruitFW!F179)*100</f>
        <v>15</v>
      </c>
    </row>
    <row r="180" spans="1:6" x14ac:dyDescent="0.25">
      <c r="A180" t="s">
        <v>8</v>
      </c>
      <c r="B180" s="2">
        <v>42482</v>
      </c>
      <c r="C180">
        <f t="shared" si="1"/>
        <v>2016</v>
      </c>
      <c r="E180" t="s">
        <v>6</v>
      </c>
      <c r="F180">
        <f>(FruitDMg!F180/FruitFW!F180)*100</f>
        <v>15.599999999999998</v>
      </c>
    </row>
    <row r="181" spans="1:6" x14ac:dyDescent="0.25">
      <c r="A181" t="s">
        <v>8</v>
      </c>
      <c r="B181" s="2">
        <v>42486</v>
      </c>
      <c r="C181">
        <f t="shared" si="1"/>
        <v>2016</v>
      </c>
      <c r="E181" t="s">
        <v>6</v>
      </c>
      <c r="F181">
        <f>(FruitDMg!F181/FruitFW!F181)*100</f>
        <v>15.5</v>
      </c>
    </row>
    <row r="182" spans="1:6" x14ac:dyDescent="0.25">
      <c r="A182" t="s">
        <v>8</v>
      </c>
      <c r="B182" s="2">
        <v>42486</v>
      </c>
      <c r="C182">
        <f t="shared" si="1"/>
        <v>2016</v>
      </c>
      <c r="E182" t="s">
        <v>6</v>
      </c>
      <c r="F182">
        <f>(FruitDMg!F182/FruitFW!F182)*100</f>
        <v>15.6</v>
      </c>
    </row>
    <row r="183" spans="1:6" x14ac:dyDescent="0.25">
      <c r="A183" t="s">
        <v>8</v>
      </c>
      <c r="B183" s="2">
        <v>42493</v>
      </c>
      <c r="C183">
        <f t="shared" si="1"/>
        <v>2016</v>
      </c>
      <c r="E183" t="s">
        <v>6</v>
      </c>
      <c r="F183">
        <f>(FruitDMg!F183/FruitFW!F183)*100</f>
        <v>15.7</v>
      </c>
    </row>
    <row r="184" spans="1:6" x14ac:dyDescent="0.25">
      <c r="A184" t="s">
        <v>8</v>
      </c>
      <c r="B184" s="2">
        <v>42493</v>
      </c>
      <c r="C184">
        <f t="shared" si="1"/>
        <v>2016</v>
      </c>
      <c r="E184" t="s">
        <v>6</v>
      </c>
      <c r="F184">
        <f>(FruitDMg!F184/FruitFW!F184)*100</f>
        <v>16.5</v>
      </c>
    </row>
    <row r="185" spans="1:6" x14ac:dyDescent="0.25">
      <c r="A185" t="s">
        <v>8</v>
      </c>
      <c r="B185" s="2">
        <v>42510</v>
      </c>
      <c r="C185">
        <f t="shared" si="1"/>
        <v>2016</v>
      </c>
      <c r="E185" t="s">
        <v>6</v>
      </c>
      <c r="F185">
        <f>(FruitDMg!F185/FruitFW!F185)*100</f>
        <v>15.800000000000002</v>
      </c>
    </row>
    <row r="186" spans="1:6" x14ac:dyDescent="0.25">
      <c r="A186" t="s">
        <v>8</v>
      </c>
      <c r="B186" s="2">
        <v>42510</v>
      </c>
      <c r="C186">
        <f t="shared" si="1"/>
        <v>2016</v>
      </c>
      <c r="E186" t="s">
        <v>6</v>
      </c>
      <c r="F186">
        <f>(FruitDMg!F186/FruitFW!F186)*100</f>
        <v>16.600000000000001</v>
      </c>
    </row>
    <row r="187" spans="1:6" x14ac:dyDescent="0.25">
      <c r="A187" t="s">
        <v>8</v>
      </c>
      <c r="B187" s="2">
        <v>42521</v>
      </c>
      <c r="C187">
        <f t="shared" si="1"/>
        <v>2016</v>
      </c>
      <c r="E187" t="s">
        <v>6</v>
      </c>
      <c r="F187">
        <f>(FruitDMg!F187/FruitFW!F187)*100</f>
        <v>15.900000000000002</v>
      </c>
    </row>
    <row r="188" spans="1:6" x14ac:dyDescent="0.25">
      <c r="A188" t="s">
        <v>8</v>
      </c>
      <c r="B188" s="2">
        <v>42521</v>
      </c>
      <c r="C188">
        <f t="shared" ref="C188:C251" si="2">YEAR(B188)</f>
        <v>2016</v>
      </c>
      <c r="E188" t="s">
        <v>6</v>
      </c>
      <c r="F188">
        <f>(FruitDMg!F188/FruitFW!F188)*100</f>
        <v>16.600000000000001</v>
      </c>
    </row>
    <row r="189" spans="1:6" x14ac:dyDescent="0.25">
      <c r="A189" t="s">
        <v>8</v>
      </c>
      <c r="B189" s="2">
        <v>42535</v>
      </c>
      <c r="C189">
        <f t="shared" si="2"/>
        <v>2016</v>
      </c>
      <c r="E189" t="s">
        <v>6</v>
      </c>
      <c r="F189">
        <f>(FruitDMg!F189/FruitFW!F189)*100</f>
        <v>16.899999999999999</v>
      </c>
    </row>
    <row r="190" spans="1:6" x14ac:dyDescent="0.25">
      <c r="A190" t="s">
        <v>8</v>
      </c>
      <c r="B190" s="2">
        <v>42535</v>
      </c>
      <c r="C190">
        <f t="shared" si="2"/>
        <v>2016</v>
      </c>
      <c r="E190" t="s">
        <v>6</v>
      </c>
      <c r="F190">
        <f>(FruitDMg!F190/FruitFW!F190)*100</f>
        <v>17.100000000000005</v>
      </c>
    </row>
    <row r="191" spans="1:6" x14ac:dyDescent="0.25">
      <c r="A191" t="s">
        <v>8</v>
      </c>
      <c r="B191" s="2">
        <v>42752</v>
      </c>
      <c r="C191">
        <f t="shared" si="2"/>
        <v>2017</v>
      </c>
      <c r="E191" t="s">
        <v>6</v>
      </c>
      <c r="F191">
        <f>(FruitDMg!F191/FruitFW!F191)*100</f>
        <v>8.6</v>
      </c>
    </row>
    <row r="192" spans="1:6" x14ac:dyDescent="0.25">
      <c r="A192" t="s">
        <v>8</v>
      </c>
      <c r="B192" s="2">
        <v>42752</v>
      </c>
      <c r="C192">
        <f t="shared" si="2"/>
        <v>2017</v>
      </c>
      <c r="E192" t="s">
        <v>6</v>
      </c>
      <c r="F192">
        <f>(FruitDMg!F192/FruitFW!F192)*100</f>
        <v>7.1999999999999993</v>
      </c>
    </row>
    <row r="193" spans="1:6" x14ac:dyDescent="0.25">
      <c r="A193" t="s">
        <v>8</v>
      </c>
      <c r="B193" s="2">
        <v>42787</v>
      </c>
      <c r="C193">
        <f t="shared" si="2"/>
        <v>2017</v>
      </c>
      <c r="E193" t="s">
        <v>6</v>
      </c>
      <c r="F193">
        <f>(FruitDMg!F193/FruitFW!F193)*100</f>
        <v>12.8</v>
      </c>
    </row>
    <row r="194" spans="1:6" x14ac:dyDescent="0.25">
      <c r="A194" t="s">
        <v>8</v>
      </c>
      <c r="B194" s="2">
        <v>42787</v>
      </c>
      <c r="C194">
        <f t="shared" si="2"/>
        <v>2017</v>
      </c>
      <c r="E194" t="s">
        <v>6</v>
      </c>
      <c r="F194">
        <f>(FruitDMg!F194/FruitFW!F194)*100</f>
        <v>11.4</v>
      </c>
    </row>
    <row r="195" spans="1:6" x14ac:dyDescent="0.25">
      <c r="A195" t="s">
        <v>8</v>
      </c>
      <c r="B195" s="2">
        <v>42801</v>
      </c>
      <c r="C195">
        <f t="shared" si="2"/>
        <v>2017</v>
      </c>
      <c r="E195" t="s">
        <v>6</v>
      </c>
      <c r="F195">
        <f>(FruitDMg!F195/FruitFW!F195)*100</f>
        <v>14.299999999999999</v>
      </c>
    </row>
    <row r="196" spans="1:6" x14ac:dyDescent="0.25">
      <c r="A196" t="s">
        <v>8</v>
      </c>
      <c r="B196" s="2">
        <v>42801</v>
      </c>
      <c r="C196">
        <f t="shared" si="2"/>
        <v>2017</v>
      </c>
      <c r="E196" t="s">
        <v>6</v>
      </c>
      <c r="F196">
        <f>(FruitDMg!F196/FruitFW!F196)*100</f>
        <v>12.7</v>
      </c>
    </row>
    <row r="197" spans="1:6" x14ac:dyDescent="0.25">
      <c r="A197" t="s">
        <v>8</v>
      </c>
      <c r="B197" s="2">
        <v>42815</v>
      </c>
      <c r="C197">
        <f t="shared" si="2"/>
        <v>2017</v>
      </c>
      <c r="E197" t="s">
        <v>6</v>
      </c>
      <c r="F197">
        <f>(FruitDMg!F197/FruitFW!F197)*100</f>
        <v>14.7</v>
      </c>
    </row>
    <row r="198" spans="1:6" x14ac:dyDescent="0.25">
      <c r="A198" t="s">
        <v>8</v>
      </c>
      <c r="B198" s="2">
        <v>42815</v>
      </c>
      <c r="C198">
        <f t="shared" si="2"/>
        <v>2017</v>
      </c>
      <c r="E198" t="s">
        <v>6</v>
      </c>
      <c r="F198">
        <f>(FruitDMg!F198/FruitFW!F198)*100</f>
        <v>13.700000000000001</v>
      </c>
    </row>
    <row r="199" spans="1:6" x14ac:dyDescent="0.25">
      <c r="A199" t="s">
        <v>8</v>
      </c>
      <c r="B199" s="2">
        <v>42829</v>
      </c>
      <c r="C199">
        <f t="shared" si="2"/>
        <v>2017</v>
      </c>
      <c r="E199" t="s">
        <v>6</v>
      </c>
      <c r="F199">
        <f>(FruitDMg!F199/FruitFW!F199)*100</f>
        <v>15.300000000000002</v>
      </c>
    </row>
    <row r="200" spans="1:6" x14ac:dyDescent="0.25">
      <c r="A200" t="s">
        <v>8</v>
      </c>
      <c r="B200" s="2">
        <v>42829</v>
      </c>
      <c r="C200">
        <f t="shared" si="2"/>
        <v>2017</v>
      </c>
      <c r="E200" t="s">
        <v>6</v>
      </c>
      <c r="F200">
        <f>(FruitDMg!F200/FruitFW!F200)*100</f>
        <v>14.400000000000002</v>
      </c>
    </row>
    <row r="201" spans="1:6" x14ac:dyDescent="0.25">
      <c r="A201" t="s">
        <v>8</v>
      </c>
      <c r="B201" s="2">
        <v>42839</v>
      </c>
      <c r="C201">
        <f t="shared" si="2"/>
        <v>2017</v>
      </c>
      <c r="E201" t="s">
        <v>6</v>
      </c>
      <c r="F201">
        <f>(FruitDMg!F201/FruitFW!F201)*100</f>
        <v>14.900000000000002</v>
      </c>
    </row>
    <row r="202" spans="1:6" x14ac:dyDescent="0.25">
      <c r="A202" t="s">
        <v>8</v>
      </c>
      <c r="B202" s="2">
        <v>42839</v>
      </c>
      <c r="C202">
        <f t="shared" si="2"/>
        <v>2017</v>
      </c>
      <c r="E202" t="s">
        <v>6</v>
      </c>
      <c r="F202">
        <f>(FruitDMg!F202/FruitFW!F202)*100</f>
        <v>14.2</v>
      </c>
    </row>
    <row r="203" spans="1:6" x14ac:dyDescent="0.25">
      <c r="A203" t="s">
        <v>8</v>
      </c>
      <c r="B203" s="2">
        <v>42844</v>
      </c>
      <c r="C203">
        <f t="shared" si="2"/>
        <v>2017</v>
      </c>
      <c r="E203" t="s">
        <v>6</v>
      </c>
      <c r="F203">
        <f>(FruitDMg!F203/FruitFW!F203)*100</f>
        <v>15.7</v>
      </c>
    </row>
    <row r="204" spans="1:6" x14ac:dyDescent="0.25">
      <c r="A204" t="s">
        <v>8</v>
      </c>
      <c r="B204" s="2">
        <v>42844</v>
      </c>
      <c r="C204">
        <f t="shared" si="2"/>
        <v>2017</v>
      </c>
      <c r="E204" t="s">
        <v>6</v>
      </c>
      <c r="F204">
        <f>(FruitDMg!F204/FruitFW!F204)*100</f>
        <v>14.900000000000002</v>
      </c>
    </row>
    <row r="205" spans="1:6" x14ac:dyDescent="0.25">
      <c r="A205" t="s">
        <v>8</v>
      </c>
      <c r="B205" s="2">
        <v>42850</v>
      </c>
      <c r="C205">
        <f t="shared" si="2"/>
        <v>2017</v>
      </c>
      <c r="E205" t="s">
        <v>6</v>
      </c>
      <c r="F205">
        <f>(FruitDMg!F205/FruitFW!F205)*100</f>
        <v>15.1</v>
      </c>
    </row>
    <row r="206" spans="1:6" x14ac:dyDescent="0.25">
      <c r="A206" t="s">
        <v>8</v>
      </c>
      <c r="B206" s="2">
        <v>42853</v>
      </c>
      <c r="C206">
        <f t="shared" si="2"/>
        <v>2017</v>
      </c>
      <c r="E206" t="s">
        <v>6</v>
      </c>
      <c r="F206">
        <f>(FruitDMg!F206/FruitFW!F206)*100</f>
        <v>15.9</v>
      </c>
    </row>
    <row r="207" spans="1:6" x14ac:dyDescent="0.25">
      <c r="A207" t="s">
        <v>8</v>
      </c>
      <c r="B207" s="2">
        <v>42858</v>
      </c>
      <c r="C207">
        <f t="shared" si="2"/>
        <v>2017</v>
      </c>
      <c r="E207" t="s">
        <v>6</v>
      </c>
      <c r="F207">
        <f>(FruitDMg!F207/FruitFW!F207)*100</f>
        <v>16.100000000000001</v>
      </c>
    </row>
    <row r="208" spans="1:6" x14ac:dyDescent="0.25">
      <c r="A208" t="s">
        <v>8</v>
      </c>
      <c r="B208" s="2">
        <v>42858</v>
      </c>
      <c r="C208">
        <f t="shared" si="2"/>
        <v>2017</v>
      </c>
      <c r="E208" t="s">
        <v>6</v>
      </c>
      <c r="F208">
        <f>(FruitDMg!F208/FruitFW!F208)*100</f>
        <v>15</v>
      </c>
    </row>
    <row r="209" spans="1:6" x14ac:dyDescent="0.25">
      <c r="A209" t="s">
        <v>8</v>
      </c>
      <c r="B209" s="2">
        <v>42871</v>
      </c>
      <c r="C209">
        <f t="shared" si="2"/>
        <v>2017</v>
      </c>
      <c r="E209" t="s">
        <v>6</v>
      </c>
      <c r="F209">
        <f>(FruitDMg!F209/FruitFW!F209)*100</f>
        <v>16.8</v>
      </c>
    </row>
    <row r="210" spans="1:6" x14ac:dyDescent="0.25">
      <c r="A210" t="s">
        <v>8</v>
      </c>
      <c r="B210" s="2">
        <v>42871</v>
      </c>
      <c r="C210">
        <f t="shared" si="2"/>
        <v>2017</v>
      </c>
      <c r="E210" t="s">
        <v>6</v>
      </c>
      <c r="F210">
        <f>(FruitDMg!F210/FruitFW!F210)*100</f>
        <v>16.2</v>
      </c>
    </row>
    <row r="211" spans="1:6" x14ac:dyDescent="0.25">
      <c r="A211" t="s">
        <v>8</v>
      </c>
      <c r="B211" s="2">
        <v>42885</v>
      </c>
      <c r="C211">
        <f t="shared" si="2"/>
        <v>2017</v>
      </c>
      <c r="E211" t="s">
        <v>6</v>
      </c>
      <c r="F211">
        <f>(FruitDMg!F211/FruitFW!F211)*100</f>
        <v>16.900000000000002</v>
      </c>
    </row>
    <row r="212" spans="1:6" x14ac:dyDescent="0.25">
      <c r="A212" t="s">
        <v>8</v>
      </c>
      <c r="B212" s="2">
        <v>42885</v>
      </c>
      <c r="C212">
        <f t="shared" si="2"/>
        <v>2017</v>
      </c>
      <c r="E212" t="s">
        <v>6</v>
      </c>
      <c r="F212">
        <f>(FruitDMg!F212/FruitFW!F212)*100</f>
        <v>16.3</v>
      </c>
    </row>
    <row r="213" spans="1:6" x14ac:dyDescent="0.25">
      <c r="A213" t="s">
        <v>8</v>
      </c>
      <c r="B213" s="2">
        <v>42893</v>
      </c>
      <c r="C213">
        <f t="shared" si="2"/>
        <v>2017</v>
      </c>
      <c r="E213" t="s">
        <v>6</v>
      </c>
      <c r="F213">
        <f>(FruitDMg!F213/FruitFW!F213)*100</f>
        <v>17.100000000000005</v>
      </c>
    </row>
    <row r="214" spans="1:6" x14ac:dyDescent="0.25">
      <c r="A214" t="s">
        <v>8</v>
      </c>
      <c r="B214" s="2">
        <v>42893</v>
      </c>
      <c r="C214">
        <f t="shared" si="2"/>
        <v>2017</v>
      </c>
      <c r="E214" t="s">
        <v>6</v>
      </c>
      <c r="F214">
        <f>(FruitDMg!F214/FruitFW!F214)*100</f>
        <v>16.5</v>
      </c>
    </row>
    <row r="215" spans="1:6" x14ac:dyDescent="0.25">
      <c r="A215" t="s">
        <v>8</v>
      </c>
      <c r="B215" s="2">
        <v>42907</v>
      </c>
      <c r="C215">
        <f t="shared" si="2"/>
        <v>2017</v>
      </c>
      <c r="E215" t="s">
        <v>6</v>
      </c>
      <c r="F215">
        <f>(FruitDMg!F215/FruitFW!F215)*100</f>
        <v>17.3</v>
      </c>
    </row>
    <row r="216" spans="1:6" x14ac:dyDescent="0.25">
      <c r="A216" t="s">
        <v>8</v>
      </c>
      <c r="B216" s="2">
        <v>42907</v>
      </c>
      <c r="C216">
        <f t="shared" si="2"/>
        <v>2017</v>
      </c>
      <c r="E216" t="s">
        <v>6</v>
      </c>
      <c r="F216">
        <f>(FruitDMg!F216/FruitFW!F216)*100</f>
        <v>16.400000000000002</v>
      </c>
    </row>
    <row r="217" spans="1:6" x14ac:dyDescent="0.25">
      <c r="A217" t="s">
        <v>8</v>
      </c>
      <c r="B217" s="2">
        <v>43116</v>
      </c>
      <c r="C217">
        <f t="shared" si="2"/>
        <v>2018</v>
      </c>
      <c r="E217" t="s">
        <v>6</v>
      </c>
      <c r="F217">
        <f>(FruitDMg!F217/FruitFW!F217)*100</f>
        <v>7.7</v>
      </c>
    </row>
    <row r="218" spans="1:6" x14ac:dyDescent="0.25">
      <c r="A218" t="s">
        <v>8</v>
      </c>
      <c r="B218" s="2">
        <v>43116</v>
      </c>
      <c r="C218">
        <f t="shared" si="2"/>
        <v>2018</v>
      </c>
      <c r="E218" t="s">
        <v>6</v>
      </c>
      <c r="F218">
        <f>(FruitDMg!F218/FruitFW!F218)*100</f>
        <v>6.7999999999999989</v>
      </c>
    </row>
    <row r="219" spans="1:6" x14ac:dyDescent="0.25">
      <c r="A219" t="s">
        <v>8</v>
      </c>
      <c r="B219" s="2">
        <v>43151</v>
      </c>
      <c r="C219">
        <f t="shared" si="2"/>
        <v>2018</v>
      </c>
      <c r="E219" t="s">
        <v>6</v>
      </c>
      <c r="F219">
        <f>(FruitDMg!F219/FruitFW!F219)*100</f>
        <v>12.599999999999998</v>
      </c>
    </row>
    <row r="220" spans="1:6" x14ac:dyDescent="0.25">
      <c r="A220" t="s">
        <v>8</v>
      </c>
      <c r="B220" s="2">
        <v>43151</v>
      </c>
      <c r="C220">
        <f t="shared" si="2"/>
        <v>2018</v>
      </c>
      <c r="E220" t="s">
        <v>6</v>
      </c>
      <c r="F220">
        <f>(FruitDMg!F220/FruitFW!F220)*100</f>
        <v>11.4</v>
      </c>
    </row>
    <row r="221" spans="1:6" x14ac:dyDescent="0.25">
      <c r="A221" t="s">
        <v>8</v>
      </c>
      <c r="B221" s="2">
        <v>43165</v>
      </c>
      <c r="C221">
        <f t="shared" si="2"/>
        <v>2018</v>
      </c>
      <c r="E221" t="s">
        <v>6</v>
      </c>
      <c r="F221">
        <f>(FruitDMg!F221/FruitFW!F221)*100</f>
        <v>14.3</v>
      </c>
    </row>
    <row r="222" spans="1:6" x14ac:dyDescent="0.25">
      <c r="A222" t="s">
        <v>8</v>
      </c>
      <c r="B222" s="2">
        <v>43165</v>
      </c>
      <c r="C222">
        <f t="shared" si="2"/>
        <v>2018</v>
      </c>
      <c r="E222" t="s">
        <v>6</v>
      </c>
      <c r="F222">
        <f>(FruitDMg!F222/FruitFW!F222)*100</f>
        <v>13.299999999999997</v>
      </c>
    </row>
    <row r="223" spans="1:6" x14ac:dyDescent="0.25">
      <c r="A223" t="s">
        <v>8</v>
      </c>
      <c r="B223" s="2">
        <v>43179</v>
      </c>
      <c r="C223">
        <f t="shared" si="2"/>
        <v>2018</v>
      </c>
      <c r="E223" t="s">
        <v>6</v>
      </c>
      <c r="F223">
        <f>(FruitDMg!F223/FruitFW!F223)*100</f>
        <v>15.7</v>
      </c>
    </row>
    <row r="224" spans="1:6" x14ac:dyDescent="0.25">
      <c r="A224" t="s">
        <v>8</v>
      </c>
      <c r="B224" s="2">
        <v>43179</v>
      </c>
      <c r="C224">
        <f t="shared" si="2"/>
        <v>2018</v>
      </c>
      <c r="E224" t="s">
        <v>6</v>
      </c>
      <c r="F224">
        <f>(FruitDMg!F224/FruitFW!F224)*100</f>
        <v>14.7</v>
      </c>
    </row>
    <row r="225" spans="1:6" x14ac:dyDescent="0.25">
      <c r="A225" t="s">
        <v>8</v>
      </c>
      <c r="B225" s="2">
        <v>43195</v>
      </c>
      <c r="C225">
        <f t="shared" si="2"/>
        <v>2018</v>
      </c>
      <c r="E225" t="s">
        <v>6</v>
      </c>
      <c r="F225">
        <f>(FruitDMg!F225/FruitFW!F225)*100</f>
        <v>16.399999999999999</v>
      </c>
    </row>
    <row r="226" spans="1:6" x14ac:dyDescent="0.25">
      <c r="A226" t="s">
        <v>8</v>
      </c>
      <c r="B226" s="2">
        <v>43195</v>
      </c>
      <c r="C226">
        <f t="shared" si="2"/>
        <v>2018</v>
      </c>
      <c r="E226" t="s">
        <v>6</v>
      </c>
      <c r="F226">
        <f>(FruitDMg!F226/FruitFW!F226)*100</f>
        <v>15.4</v>
      </c>
    </row>
    <row r="227" spans="1:6" x14ac:dyDescent="0.25">
      <c r="A227" t="s">
        <v>8</v>
      </c>
      <c r="B227" s="2">
        <v>43201</v>
      </c>
      <c r="C227">
        <f t="shared" si="2"/>
        <v>2018</v>
      </c>
      <c r="E227" t="s">
        <v>6</v>
      </c>
      <c r="F227">
        <f>(FruitDMg!F227/FruitFW!F227)*100</f>
        <v>16.600000000000001</v>
      </c>
    </row>
    <row r="228" spans="1:6" x14ac:dyDescent="0.25">
      <c r="A228" t="s">
        <v>8</v>
      </c>
      <c r="B228" s="2">
        <v>43201</v>
      </c>
      <c r="C228">
        <f t="shared" si="2"/>
        <v>2018</v>
      </c>
      <c r="E228" t="s">
        <v>6</v>
      </c>
      <c r="F228">
        <f>(FruitDMg!F228/FruitFW!F228)*100</f>
        <v>15.8</v>
      </c>
    </row>
    <row r="229" spans="1:6" x14ac:dyDescent="0.25">
      <c r="A229" t="s">
        <v>8</v>
      </c>
      <c r="B229" s="2">
        <v>43209</v>
      </c>
      <c r="C229">
        <f t="shared" si="2"/>
        <v>2018</v>
      </c>
      <c r="E229" t="s">
        <v>6</v>
      </c>
      <c r="F229">
        <f>(FruitDMg!F229/FruitFW!F229)*100</f>
        <v>17.200000000000003</v>
      </c>
    </row>
    <row r="230" spans="1:6" x14ac:dyDescent="0.25">
      <c r="A230" t="s">
        <v>8</v>
      </c>
      <c r="B230" s="2">
        <v>43209</v>
      </c>
      <c r="C230">
        <f t="shared" si="2"/>
        <v>2018</v>
      </c>
      <c r="E230" t="s">
        <v>6</v>
      </c>
      <c r="F230">
        <f>(FruitDMg!F230/FruitFW!F230)*100</f>
        <v>16</v>
      </c>
    </row>
    <row r="231" spans="1:6" x14ac:dyDescent="0.25">
      <c r="A231" t="s">
        <v>8</v>
      </c>
      <c r="B231" s="2">
        <v>43215</v>
      </c>
      <c r="C231">
        <f t="shared" si="2"/>
        <v>2018</v>
      </c>
      <c r="E231" t="s">
        <v>6</v>
      </c>
      <c r="F231">
        <f>(FruitDMg!F231/FruitFW!F231)*100</f>
        <v>17.100000000000001</v>
      </c>
    </row>
    <row r="232" spans="1:6" x14ac:dyDescent="0.25">
      <c r="A232" t="s">
        <v>8</v>
      </c>
      <c r="B232" s="2">
        <v>43215</v>
      </c>
      <c r="C232">
        <f t="shared" si="2"/>
        <v>2018</v>
      </c>
      <c r="E232" t="s">
        <v>6</v>
      </c>
      <c r="F232">
        <f>(FruitDMg!F232/FruitFW!F232)*100</f>
        <v>16</v>
      </c>
    </row>
    <row r="233" spans="1:6" x14ac:dyDescent="0.25">
      <c r="A233" t="s">
        <v>8</v>
      </c>
      <c r="B233" s="2">
        <v>43221</v>
      </c>
      <c r="C233">
        <f t="shared" si="2"/>
        <v>2018</v>
      </c>
      <c r="E233" t="s">
        <v>6</v>
      </c>
      <c r="F233">
        <f>(FruitDMg!F233/FruitFW!F233)*100</f>
        <v>17.399999999999999</v>
      </c>
    </row>
    <row r="234" spans="1:6" x14ac:dyDescent="0.25">
      <c r="A234" t="s">
        <v>8</v>
      </c>
      <c r="B234" s="2">
        <v>43221</v>
      </c>
      <c r="C234">
        <f t="shared" si="2"/>
        <v>2018</v>
      </c>
      <c r="E234" t="s">
        <v>6</v>
      </c>
      <c r="F234">
        <f>(FruitDMg!F234/FruitFW!F234)*100</f>
        <v>16.600000000000001</v>
      </c>
    </row>
    <row r="235" spans="1:6" x14ac:dyDescent="0.25">
      <c r="A235" t="s">
        <v>8</v>
      </c>
      <c r="B235" s="2">
        <v>43235</v>
      </c>
      <c r="C235">
        <f t="shared" si="2"/>
        <v>2018</v>
      </c>
      <c r="E235" t="s">
        <v>6</v>
      </c>
      <c r="F235">
        <f>(FruitDMg!F235/FruitFW!F235)*100</f>
        <v>18.099999999999998</v>
      </c>
    </row>
    <row r="236" spans="1:6" x14ac:dyDescent="0.25">
      <c r="A236" t="s">
        <v>8</v>
      </c>
      <c r="B236" s="2">
        <v>43235</v>
      </c>
      <c r="C236">
        <f t="shared" si="2"/>
        <v>2018</v>
      </c>
      <c r="E236" t="s">
        <v>6</v>
      </c>
      <c r="F236">
        <f>(FruitDMg!F236/FruitFW!F236)*100</f>
        <v>16.600000000000005</v>
      </c>
    </row>
    <row r="237" spans="1:6" x14ac:dyDescent="0.25">
      <c r="A237" t="s">
        <v>8</v>
      </c>
      <c r="B237" s="2">
        <v>43249</v>
      </c>
      <c r="C237">
        <f t="shared" si="2"/>
        <v>2018</v>
      </c>
      <c r="E237" t="s">
        <v>6</v>
      </c>
      <c r="F237">
        <f>(FruitDMg!F237/FruitFW!F237)*100</f>
        <v>18.299999999999997</v>
      </c>
    </row>
    <row r="238" spans="1:6" x14ac:dyDescent="0.25">
      <c r="A238" t="s">
        <v>8</v>
      </c>
      <c r="B238" s="2">
        <v>43249</v>
      </c>
      <c r="C238">
        <f t="shared" si="2"/>
        <v>2018</v>
      </c>
      <c r="E238" t="s">
        <v>6</v>
      </c>
      <c r="F238">
        <f>(FruitDMg!F238/FruitFW!F238)*100</f>
        <v>17.299999999999997</v>
      </c>
    </row>
    <row r="239" spans="1:6" x14ac:dyDescent="0.25">
      <c r="A239" t="s">
        <v>8</v>
      </c>
      <c r="B239" s="2">
        <v>43479</v>
      </c>
      <c r="C239">
        <f t="shared" si="2"/>
        <v>2019</v>
      </c>
      <c r="E239" t="s">
        <v>6</v>
      </c>
      <c r="F239">
        <f>(FruitDMg!F239/FruitFW!F239)*100</f>
        <v>7.1</v>
      </c>
    </row>
    <row r="240" spans="1:6" x14ac:dyDescent="0.25">
      <c r="A240" t="s">
        <v>8</v>
      </c>
      <c r="B240" s="2">
        <v>43515</v>
      </c>
      <c r="C240">
        <f t="shared" si="2"/>
        <v>2019</v>
      </c>
      <c r="E240" t="s">
        <v>6</v>
      </c>
      <c r="F240">
        <f>(FruitDMg!F240/FruitFW!F240)*100</f>
        <v>12.6</v>
      </c>
    </row>
    <row r="241" spans="1:6" x14ac:dyDescent="0.25">
      <c r="A241" t="s">
        <v>8</v>
      </c>
      <c r="B241" s="2">
        <v>43529</v>
      </c>
      <c r="C241">
        <f t="shared" si="2"/>
        <v>2019</v>
      </c>
      <c r="E241" t="s">
        <v>6</v>
      </c>
      <c r="F241">
        <f>(FruitDMg!F241/FruitFW!F241)*100</f>
        <v>14.3</v>
      </c>
    </row>
    <row r="242" spans="1:6" x14ac:dyDescent="0.25">
      <c r="A242" t="s">
        <v>8</v>
      </c>
      <c r="B242" s="2">
        <v>43543</v>
      </c>
      <c r="C242">
        <f t="shared" si="2"/>
        <v>2019</v>
      </c>
      <c r="E242" t="s">
        <v>6</v>
      </c>
      <c r="F242">
        <f>(FruitDMg!F242/FruitFW!F242)*100</f>
        <v>15.6</v>
      </c>
    </row>
    <row r="243" spans="1:6" x14ac:dyDescent="0.25">
      <c r="A243" t="s">
        <v>8</v>
      </c>
      <c r="B243" s="2">
        <v>43557</v>
      </c>
      <c r="C243">
        <f t="shared" si="2"/>
        <v>2019</v>
      </c>
      <c r="E243" t="s">
        <v>6</v>
      </c>
      <c r="F243">
        <f>(FruitDMg!F243/FruitFW!F243)*100</f>
        <v>16</v>
      </c>
    </row>
    <row r="244" spans="1:6" x14ac:dyDescent="0.25">
      <c r="A244" t="s">
        <v>8</v>
      </c>
      <c r="B244" s="2">
        <v>43564</v>
      </c>
      <c r="C244">
        <f t="shared" si="2"/>
        <v>2019</v>
      </c>
      <c r="E244" t="s">
        <v>6</v>
      </c>
      <c r="F244">
        <f>(FruitDMg!F244/FruitFW!F244)*100</f>
        <v>16.5</v>
      </c>
    </row>
    <row r="245" spans="1:6" x14ac:dyDescent="0.25">
      <c r="A245" t="s">
        <v>8</v>
      </c>
      <c r="B245" s="2">
        <v>43570</v>
      </c>
      <c r="C245">
        <f t="shared" si="2"/>
        <v>2019</v>
      </c>
      <c r="E245" t="s">
        <v>6</v>
      </c>
      <c r="F245">
        <f>(FruitDMg!F245/FruitFW!F245)*100</f>
        <v>16.600000000000005</v>
      </c>
    </row>
    <row r="246" spans="1:6" x14ac:dyDescent="0.25">
      <c r="A246" t="s">
        <v>8</v>
      </c>
      <c r="B246" s="2">
        <v>43577</v>
      </c>
      <c r="C246">
        <f t="shared" si="2"/>
        <v>2019</v>
      </c>
      <c r="E246" t="s">
        <v>6</v>
      </c>
      <c r="F246">
        <f>(FruitDMg!F246/FruitFW!F246)*100</f>
        <v>16.7</v>
      </c>
    </row>
    <row r="247" spans="1:6" x14ac:dyDescent="0.25">
      <c r="A247" t="s">
        <v>8</v>
      </c>
      <c r="B247" s="2">
        <v>43584</v>
      </c>
      <c r="C247">
        <f t="shared" si="2"/>
        <v>2019</v>
      </c>
      <c r="E247" t="s">
        <v>6</v>
      </c>
      <c r="F247">
        <f>(FruitDMg!F247/FruitFW!F247)*100</f>
        <v>17.100000000000001</v>
      </c>
    </row>
    <row r="248" spans="1:6" x14ac:dyDescent="0.25">
      <c r="A248" t="s">
        <v>8</v>
      </c>
      <c r="B248" s="2">
        <v>43613</v>
      </c>
      <c r="C248">
        <f t="shared" si="2"/>
        <v>2019</v>
      </c>
      <c r="E248" t="s">
        <v>6</v>
      </c>
      <c r="F248">
        <f>(FruitDMg!F248/FruitFW!F248)*100</f>
        <v>17.899999999999999</v>
      </c>
    </row>
    <row r="249" spans="1:6" x14ac:dyDescent="0.25">
      <c r="A249" t="s">
        <v>8</v>
      </c>
      <c r="B249" s="2">
        <v>43850</v>
      </c>
      <c r="C249">
        <f t="shared" si="2"/>
        <v>2020</v>
      </c>
      <c r="E249" t="s">
        <v>6</v>
      </c>
      <c r="F249">
        <f>(FruitDMg!F249/FruitFW!F249)*100</f>
        <v>8.1</v>
      </c>
    </row>
    <row r="250" spans="1:6" x14ac:dyDescent="0.25">
      <c r="A250" t="s">
        <v>8</v>
      </c>
      <c r="B250" s="2">
        <v>43880</v>
      </c>
      <c r="C250">
        <f t="shared" si="2"/>
        <v>2020</v>
      </c>
      <c r="E250" t="s">
        <v>6</v>
      </c>
      <c r="F250">
        <f>(FruitDMg!F250/FruitFW!F250)*100</f>
        <v>12.400000000000002</v>
      </c>
    </row>
    <row r="251" spans="1:6" x14ac:dyDescent="0.25">
      <c r="A251" t="s">
        <v>8</v>
      </c>
      <c r="B251" s="2">
        <v>43892</v>
      </c>
      <c r="C251">
        <f t="shared" si="2"/>
        <v>2020</v>
      </c>
      <c r="E251" t="s">
        <v>6</v>
      </c>
      <c r="F251">
        <f>(FruitDMg!F251/FruitFW!F251)*100</f>
        <v>13.999999999999998</v>
      </c>
    </row>
    <row r="252" spans="1:6" x14ac:dyDescent="0.25">
      <c r="A252" t="s">
        <v>8</v>
      </c>
      <c r="B252" s="2">
        <v>43906</v>
      </c>
      <c r="C252">
        <f t="shared" ref="C252:C315" si="3">YEAR(B252)</f>
        <v>2020</v>
      </c>
      <c r="E252" t="s">
        <v>6</v>
      </c>
      <c r="F252">
        <f>(FruitDMg!F252/FruitFW!F252)*100</f>
        <v>15.5</v>
      </c>
    </row>
    <row r="253" spans="1:6" x14ac:dyDescent="0.25">
      <c r="A253" t="s">
        <v>8</v>
      </c>
      <c r="B253" s="2">
        <v>43950</v>
      </c>
      <c r="C253">
        <f t="shared" si="3"/>
        <v>2020</v>
      </c>
      <c r="E253" t="s">
        <v>6</v>
      </c>
      <c r="F253">
        <f>(FruitDMg!F253/FruitFW!F253)*100</f>
        <v>17.5</v>
      </c>
    </row>
    <row r="254" spans="1:6" x14ac:dyDescent="0.25">
      <c r="A254" t="s">
        <v>8</v>
      </c>
      <c r="B254" s="2">
        <v>43963</v>
      </c>
      <c r="C254">
        <f t="shared" si="3"/>
        <v>2020</v>
      </c>
      <c r="E254" t="s">
        <v>6</v>
      </c>
      <c r="F254">
        <f>(FruitDMg!F254/FruitFW!F254)*100</f>
        <v>17.699999999999996</v>
      </c>
    </row>
    <row r="255" spans="1:6" x14ac:dyDescent="0.25">
      <c r="A255" t="s">
        <v>8</v>
      </c>
      <c r="B255" s="2">
        <v>43977</v>
      </c>
      <c r="C255">
        <f t="shared" si="3"/>
        <v>2020</v>
      </c>
      <c r="E255" t="s">
        <v>6</v>
      </c>
      <c r="F255">
        <f>(FruitDMg!F255/FruitFW!F255)*100</f>
        <v>17.700000000000003</v>
      </c>
    </row>
    <row r="256" spans="1:6" x14ac:dyDescent="0.25">
      <c r="A256" t="s">
        <v>8</v>
      </c>
      <c r="B256" s="2">
        <v>44223</v>
      </c>
      <c r="C256">
        <f t="shared" si="3"/>
        <v>2021</v>
      </c>
      <c r="E256" t="s">
        <v>6</v>
      </c>
      <c r="F256">
        <f>(FruitDMg!F256/FruitFW!F256)*100</f>
        <v>8.8219087849999998</v>
      </c>
    </row>
    <row r="257" spans="1:6" x14ac:dyDescent="0.25">
      <c r="A257" t="s">
        <v>8</v>
      </c>
      <c r="B257" s="2">
        <v>44244</v>
      </c>
      <c r="C257">
        <f t="shared" si="3"/>
        <v>2021</v>
      </c>
      <c r="E257" t="s">
        <v>6</v>
      </c>
      <c r="F257">
        <f>(FruitDMg!F257/FruitFW!F257)*100</f>
        <v>11.326228609999999</v>
      </c>
    </row>
    <row r="258" spans="1:6" x14ac:dyDescent="0.25">
      <c r="A258" t="s">
        <v>8</v>
      </c>
      <c r="B258" s="2">
        <v>44258</v>
      </c>
      <c r="C258">
        <f t="shared" si="3"/>
        <v>2021</v>
      </c>
      <c r="E258" t="s">
        <v>6</v>
      </c>
      <c r="F258">
        <f>(FruitDMg!F258/FruitFW!F258)*100</f>
        <v>13.338020979999998</v>
      </c>
    </row>
    <row r="259" spans="1:6" x14ac:dyDescent="0.25">
      <c r="A259" t="s">
        <v>8</v>
      </c>
      <c r="B259" s="2">
        <v>44272</v>
      </c>
      <c r="C259">
        <f t="shared" si="3"/>
        <v>2021</v>
      </c>
      <c r="E259" t="s">
        <v>6</v>
      </c>
      <c r="F259">
        <f>(FruitDMg!F259/FruitFW!F259)*100</f>
        <v>14.397584729999998</v>
      </c>
    </row>
    <row r="260" spans="1:6" x14ac:dyDescent="0.25">
      <c r="A260" t="s">
        <v>8</v>
      </c>
      <c r="B260" s="2">
        <v>44286</v>
      </c>
      <c r="C260">
        <f t="shared" si="3"/>
        <v>2021</v>
      </c>
      <c r="E260" t="s">
        <v>6</v>
      </c>
      <c r="F260">
        <f>(FruitDMg!F260/FruitFW!F260)*100</f>
        <v>15.18128198</v>
      </c>
    </row>
    <row r="261" spans="1:6" x14ac:dyDescent="0.25">
      <c r="A261" t="s">
        <v>8</v>
      </c>
      <c r="B261" s="2">
        <v>44300</v>
      </c>
      <c r="C261">
        <f t="shared" si="3"/>
        <v>2021</v>
      </c>
      <c r="E261" t="s">
        <v>6</v>
      </c>
      <c r="F261">
        <f>(FruitDMg!F261/FruitFW!F261)*100</f>
        <v>15.203008900000004</v>
      </c>
    </row>
    <row r="262" spans="1:6" x14ac:dyDescent="0.25">
      <c r="A262" t="s">
        <v>8</v>
      </c>
      <c r="B262" s="2">
        <v>44307</v>
      </c>
      <c r="C262">
        <f t="shared" si="3"/>
        <v>2021</v>
      </c>
      <c r="E262" t="s">
        <v>6</v>
      </c>
      <c r="F262">
        <f>(FruitDMg!F262/FruitFW!F262)*100</f>
        <v>15.654528790000002</v>
      </c>
    </row>
    <row r="263" spans="1:6" x14ac:dyDescent="0.25">
      <c r="A263" t="s">
        <v>8</v>
      </c>
      <c r="B263" s="2">
        <v>44315</v>
      </c>
      <c r="C263">
        <f t="shared" si="3"/>
        <v>2021</v>
      </c>
      <c r="E263" t="s">
        <v>6</v>
      </c>
      <c r="F263">
        <f>(FruitDMg!F263/FruitFW!F263)*100</f>
        <v>15.291157419999998</v>
      </c>
    </row>
    <row r="264" spans="1:6" x14ac:dyDescent="0.25">
      <c r="A264" t="s">
        <v>8</v>
      </c>
      <c r="B264" s="2">
        <v>44321</v>
      </c>
      <c r="C264">
        <f t="shared" si="3"/>
        <v>2021</v>
      </c>
      <c r="E264" t="s">
        <v>6</v>
      </c>
      <c r="F264">
        <f>(FruitDMg!F264/FruitFW!F264)*100</f>
        <v>16.521215380000001</v>
      </c>
    </row>
    <row r="265" spans="1:6" x14ac:dyDescent="0.25">
      <c r="A265" t="s">
        <v>8</v>
      </c>
      <c r="B265" s="2">
        <v>44335</v>
      </c>
      <c r="C265">
        <f t="shared" si="3"/>
        <v>2021</v>
      </c>
      <c r="E265" t="s">
        <v>6</v>
      </c>
      <c r="F265">
        <f>(FruitDMg!F265/FruitFW!F265)*100</f>
        <v>16.493120660000002</v>
      </c>
    </row>
    <row r="266" spans="1:6" x14ac:dyDescent="0.25">
      <c r="A266" t="s">
        <v>8</v>
      </c>
      <c r="B266" s="2">
        <v>44348</v>
      </c>
      <c r="C266">
        <f t="shared" si="3"/>
        <v>2021</v>
      </c>
      <c r="E266" t="s">
        <v>6</v>
      </c>
      <c r="F266">
        <f>(FruitDMg!F266/FruitFW!F266)*100</f>
        <v>17.19554462</v>
      </c>
    </row>
    <row r="267" spans="1:6" x14ac:dyDescent="0.25">
      <c r="A267" t="s">
        <v>8</v>
      </c>
      <c r="B267" s="2">
        <v>42386</v>
      </c>
      <c r="C267">
        <f t="shared" si="3"/>
        <v>2016</v>
      </c>
      <c r="E267" t="s">
        <v>6</v>
      </c>
      <c r="F267">
        <f>(FruitDMg!F267/FruitFW!F267)*100</f>
        <v>7.2000000000000011</v>
      </c>
    </row>
    <row r="268" spans="1:6" x14ac:dyDescent="0.25">
      <c r="A268" t="s">
        <v>8</v>
      </c>
      <c r="B268" s="2">
        <v>42424</v>
      </c>
      <c r="C268">
        <f t="shared" si="3"/>
        <v>2016</v>
      </c>
      <c r="E268" t="s">
        <v>6</v>
      </c>
      <c r="F268">
        <f>(FruitDMg!F268/FruitFW!F268)*100</f>
        <v>12.7</v>
      </c>
    </row>
    <row r="269" spans="1:6" x14ac:dyDescent="0.25">
      <c r="A269" t="s">
        <v>8</v>
      </c>
      <c r="B269" s="2">
        <v>42439</v>
      </c>
      <c r="C269">
        <f t="shared" si="3"/>
        <v>2016</v>
      </c>
      <c r="E269" t="s">
        <v>6</v>
      </c>
      <c r="F269">
        <f>(FruitDMg!F269/FruitFW!F269)*100</f>
        <v>14.400000000000002</v>
      </c>
    </row>
    <row r="270" spans="1:6" x14ac:dyDescent="0.25">
      <c r="A270" t="s">
        <v>8</v>
      </c>
      <c r="B270" s="2">
        <v>42452</v>
      </c>
      <c r="C270">
        <f t="shared" si="3"/>
        <v>2016</v>
      </c>
      <c r="E270" t="s">
        <v>6</v>
      </c>
      <c r="F270">
        <f>(FruitDMg!F270/FruitFW!F270)*100</f>
        <v>15.4</v>
      </c>
    </row>
    <row r="271" spans="1:6" x14ac:dyDescent="0.25">
      <c r="A271" t="s">
        <v>8</v>
      </c>
      <c r="B271" s="2">
        <v>42467</v>
      </c>
      <c r="C271">
        <f t="shared" si="3"/>
        <v>2016</v>
      </c>
      <c r="E271" t="s">
        <v>6</v>
      </c>
      <c r="F271">
        <f>(FruitDMg!F271/FruitFW!F271)*100</f>
        <v>16</v>
      </c>
    </row>
    <row r="272" spans="1:6" x14ac:dyDescent="0.25">
      <c r="A272" t="s">
        <v>8</v>
      </c>
      <c r="B272" s="2">
        <v>42474</v>
      </c>
      <c r="C272">
        <f t="shared" si="3"/>
        <v>2016</v>
      </c>
      <c r="E272" t="s">
        <v>6</v>
      </c>
      <c r="F272">
        <f>(FruitDMg!F272/FruitFW!F272)*100</f>
        <v>16</v>
      </c>
    </row>
    <row r="273" spans="1:6" x14ac:dyDescent="0.25">
      <c r="A273" t="s">
        <v>8</v>
      </c>
      <c r="B273" s="2">
        <v>42482</v>
      </c>
      <c r="C273">
        <f t="shared" si="3"/>
        <v>2016</v>
      </c>
      <c r="E273" t="s">
        <v>6</v>
      </c>
      <c r="F273">
        <f>(FruitDMg!F273/FruitFW!F273)*100</f>
        <v>16.5</v>
      </c>
    </row>
    <row r="274" spans="1:6" x14ac:dyDescent="0.25">
      <c r="A274" t="s">
        <v>8</v>
      </c>
      <c r="B274" s="2">
        <v>42489</v>
      </c>
      <c r="C274">
        <f t="shared" si="3"/>
        <v>2016</v>
      </c>
      <c r="E274" t="s">
        <v>6</v>
      </c>
      <c r="F274">
        <f>(FruitDMg!F274/FruitFW!F274)*100</f>
        <v>16.600000000000001</v>
      </c>
    </row>
    <row r="275" spans="1:6" x14ac:dyDescent="0.25">
      <c r="A275" t="s">
        <v>8</v>
      </c>
      <c r="B275" s="2">
        <v>42496</v>
      </c>
      <c r="C275">
        <f t="shared" si="3"/>
        <v>2016</v>
      </c>
      <c r="E275" t="s">
        <v>6</v>
      </c>
      <c r="F275">
        <f>(FruitDMg!F275/FruitFW!F275)*100</f>
        <v>16.8</v>
      </c>
    </row>
    <row r="276" spans="1:6" x14ac:dyDescent="0.25">
      <c r="A276" t="s">
        <v>8</v>
      </c>
      <c r="B276" s="2">
        <v>42510</v>
      </c>
      <c r="C276">
        <f t="shared" si="3"/>
        <v>2016</v>
      </c>
      <c r="E276" t="s">
        <v>6</v>
      </c>
      <c r="F276">
        <f>(FruitDMg!F276/FruitFW!F276)*100</f>
        <v>17.700000000000003</v>
      </c>
    </row>
    <row r="277" spans="1:6" x14ac:dyDescent="0.25">
      <c r="A277" t="s">
        <v>8</v>
      </c>
      <c r="B277" s="2">
        <v>42523</v>
      </c>
      <c r="C277">
        <f t="shared" si="3"/>
        <v>2016</v>
      </c>
      <c r="E277" t="s">
        <v>6</v>
      </c>
      <c r="F277">
        <f>(FruitDMg!F277/FruitFW!F277)*100</f>
        <v>17.899999999999995</v>
      </c>
    </row>
    <row r="278" spans="1:6" x14ac:dyDescent="0.25">
      <c r="A278" t="s">
        <v>8</v>
      </c>
      <c r="B278" s="2">
        <v>42535</v>
      </c>
      <c r="C278">
        <f t="shared" si="3"/>
        <v>2016</v>
      </c>
      <c r="E278" t="s">
        <v>6</v>
      </c>
      <c r="F278">
        <f>(FruitDMg!F278/FruitFW!F278)*100</f>
        <v>17.899999999999999</v>
      </c>
    </row>
    <row r="279" spans="1:6" x14ac:dyDescent="0.25">
      <c r="A279" t="s">
        <v>8</v>
      </c>
      <c r="B279" s="2">
        <v>42753</v>
      </c>
      <c r="C279">
        <f t="shared" si="3"/>
        <v>2017</v>
      </c>
      <c r="E279" t="s">
        <v>6</v>
      </c>
      <c r="F279">
        <f>(FruitDMg!F279/FruitFW!F279)*100</f>
        <v>8</v>
      </c>
    </row>
    <row r="280" spans="1:6" x14ac:dyDescent="0.25">
      <c r="A280" t="s">
        <v>8</v>
      </c>
      <c r="B280" s="2">
        <v>42789</v>
      </c>
      <c r="C280">
        <f t="shared" si="3"/>
        <v>2017</v>
      </c>
      <c r="E280" t="s">
        <v>6</v>
      </c>
      <c r="F280">
        <f>(FruitDMg!F280/FruitFW!F280)*100</f>
        <v>12.4</v>
      </c>
    </row>
    <row r="281" spans="1:6" x14ac:dyDescent="0.25">
      <c r="A281" t="s">
        <v>8</v>
      </c>
      <c r="B281" s="2">
        <v>42804</v>
      </c>
      <c r="C281">
        <f t="shared" si="3"/>
        <v>2017</v>
      </c>
      <c r="E281" t="s">
        <v>6</v>
      </c>
      <c r="F281">
        <f>(FruitDMg!F281/FruitFW!F281)*100</f>
        <v>14.6</v>
      </c>
    </row>
    <row r="282" spans="1:6" x14ac:dyDescent="0.25">
      <c r="A282" t="s">
        <v>8</v>
      </c>
      <c r="B282" s="2">
        <v>42817</v>
      </c>
      <c r="C282">
        <f t="shared" si="3"/>
        <v>2017</v>
      </c>
      <c r="E282" t="s">
        <v>6</v>
      </c>
      <c r="F282">
        <f>(FruitDMg!F282/FruitFW!F282)*100</f>
        <v>15.5</v>
      </c>
    </row>
    <row r="283" spans="1:6" x14ac:dyDescent="0.25">
      <c r="A283" t="s">
        <v>8</v>
      </c>
      <c r="B283" s="2">
        <v>42832</v>
      </c>
      <c r="C283">
        <f t="shared" si="3"/>
        <v>2017</v>
      </c>
      <c r="E283" t="s">
        <v>6</v>
      </c>
      <c r="F283">
        <f>(FruitDMg!F283/FruitFW!F283)*100</f>
        <v>15.9</v>
      </c>
    </row>
    <row r="284" spans="1:6" x14ac:dyDescent="0.25">
      <c r="A284" t="s">
        <v>8</v>
      </c>
      <c r="B284" s="2">
        <v>42838</v>
      </c>
      <c r="C284">
        <f t="shared" si="3"/>
        <v>2017</v>
      </c>
      <c r="E284" t="s">
        <v>6</v>
      </c>
      <c r="F284">
        <f>(FruitDMg!F284/FruitFW!F284)*100</f>
        <v>16</v>
      </c>
    </row>
    <row r="285" spans="1:6" x14ac:dyDescent="0.25">
      <c r="A285" t="s">
        <v>8</v>
      </c>
      <c r="B285" s="2">
        <v>42845</v>
      </c>
      <c r="C285">
        <f t="shared" si="3"/>
        <v>2017</v>
      </c>
      <c r="E285" t="s">
        <v>6</v>
      </c>
      <c r="F285">
        <f>(FruitDMg!F285/FruitFW!F285)*100</f>
        <v>16.7</v>
      </c>
    </row>
    <row r="286" spans="1:6" x14ac:dyDescent="0.25">
      <c r="A286" t="s">
        <v>8</v>
      </c>
      <c r="B286" s="2">
        <v>42853</v>
      </c>
      <c r="C286">
        <f t="shared" si="3"/>
        <v>2017</v>
      </c>
      <c r="E286" t="s">
        <v>6</v>
      </c>
      <c r="F286">
        <f>(FruitDMg!F286/FruitFW!F286)*100</f>
        <v>16.900000000000002</v>
      </c>
    </row>
    <row r="287" spans="1:6" x14ac:dyDescent="0.25">
      <c r="A287" t="s">
        <v>8</v>
      </c>
      <c r="B287" s="2">
        <v>42859</v>
      </c>
      <c r="C287">
        <f t="shared" si="3"/>
        <v>2017</v>
      </c>
      <c r="E287" t="s">
        <v>6</v>
      </c>
      <c r="F287">
        <f>(FruitDMg!F287/FruitFW!F287)*100</f>
        <v>17</v>
      </c>
    </row>
    <row r="288" spans="1:6" x14ac:dyDescent="0.25">
      <c r="A288" t="s">
        <v>8</v>
      </c>
      <c r="B288" s="2">
        <v>42873</v>
      </c>
      <c r="C288">
        <f t="shared" si="3"/>
        <v>2017</v>
      </c>
      <c r="E288" t="s">
        <v>6</v>
      </c>
      <c r="F288">
        <f>(FruitDMg!F288/FruitFW!F288)*100</f>
        <v>17.7</v>
      </c>
    </row>
    <row r="289" spans="1:6" x14ac:dyDescent="0.25">
      <c r="A289" t="s">
        <v>8</v>
      </c>
      <c r="B289" s="2">
        <v>42887</v>
      </c>
      <c r="C289">
        <f t="shared" si="3"/>
        <v>2017</v>
      </c>
      <c r="E289" t="s">
        <v>6</v>
      </c>
      <c r="F289">
        <f>(FruitDMg!F289/FruitFW!F289)*100</f>
        <v>17.7</v>
      </c>
    </row>
    <row r="290" spans="1:6" x14ac:dyDescent="0.25">
      <c r="A290" t="s">
        <v>8</v>
      </c>
      <c r="B290" s="2">
        <v>42894</v>
      </c>
      <c r="C290">
        <f t="shared" si="3"/>
        <v>2017</v>
      </c>
      <c r="E290" t="s">
        <v>6</v>
      </c>
      <c r="F290">
        <f>(FruitDMg!F290/FruitFW!F290)*100</f>
        <v>18.100000000000001</v>
      </c>
    </row>
    <row r="291" spans="1:6" x14ac:dyDescent="0.25">
      <c r="A291" t="s">
        <v>8</v>
      </c>
      <c r="B291" s="2">
        <v>42908</v>
      </c>
      <c r="C291">
        <f t="shared" si="3"/>
        <v>2017</v>
      </c>
      <c r="E291" t="s">
        <v>6</v>
      </c>
      <c r="F291">
        <f>(FruitDMg!F291/FruitFW!F291)*100</f>
        <v>17.899999999999999</v>
      </c>
    </row>
    <row r="292" spans="1:6" x14ac:dyDescent="0.25">
      <c r="A292" t="s">
        <v>8</v>
      </c>
      <c r="B292" s="2">
        <v>43116</v>
      </c>
      <c r="C292">
        <f t="shared" si="3"/>
        <v>2018</v>
      </c>
      <c r="E292" t="s">
        <v>6</v>
      </c>
      <c r="F292">
        <f>(FruitDMg!F292/FruitFW!F292)*100</f>
        <v>7.1</v>
      </c>
    </row>
    <row r="293" spans="1:6" x14ac:dyDescent="0.25">
      <c r="A293" t="s">
        <v>8</v>
      </c>
      <c r="B293" s="2">
        <v>43151</v>
      </c>
      <c r="C293">
        <f t="shared" si="3"/>
        <v>2018</v>
      </c>
      <c r="E293" t="s">
        <v>6</v>
      </c>
      <c r="F293">
        <f>(FruitDMg!F293/FruitFW!F293)*100</f>
        <v>11.300000000000002</v>
      </c>
    </row>
    <row r="294" spans="1:6" x14ac:dyDescent="0.25">
      <c r="A294" t="s">
        <v>8</v>
      </c>
      <c r="B294" s="2">
        <v>43165</v>
      </c>
      <c r="C294">
        <f t="shared" si="3"/>
        <v>2018</v>
      </c>
      <c r="E294" t="s">
        <v>6</v>
      </c>
      <c r="F294">
        <f>(FruitDMg!F294/FruitFW!F294)*100</f>
        <v>13.699999999999998</v>
      </c>
    </row>
    <row r="295" spans="1:6" x14ac:dyDescent="0.25">
      <c r="A295" t="s">
        <v>8</v>
      </c>
      <c r="B295" s="2">
        <v>43179</v>
      </c>
      <c r="C295">
        <f t="shared" si="3"/>
        <v>2018</v>
      </c>
      <c r="E295" t="s">
        <v>6</v>
      </c>
      <c r="F295">
        <f>(FruitDMg!F295/FruitFW!F295)*100</f>
        <v>15.300000000000002</v>
      </c>
    </row>
    <row r="296" spans="1:6" x14ac:dyDescent="0.25">
      <c r="A296" t="s">
        <v>8</v>
      </c>
      <c r="B296" s="2">
        <v>43194</v>
      </c>
      <c r="C296">
        <f t="shared" si="3"/>
        <v>2018</v>
      </c>
      <c r="E296" t="s">
        <v>6</v>
      </c>
      <c r="F296">
        <f>(FruitDMg!F296/FruitFW!F296)*100</f>
        <v>15.9</v>
      </c>
    </row>
    <row r="297" spans="1:6" x14ac:dyDescent="0.25">
      <c r="A297" t="s">
        <v>8</v>
      </c>
      <c r="B297" s="2">
        <v>43201</v>
      </c>
      <c r="C297">
        <f t="shared" si="3"/>
        <v>2018</v>
      </c>
      <c r="E297" t="s">
        <v>6</v>
      </c>
      <c r="F297">
        <f>(FruitDMg!F297/FruitFW!F297)*100</f>
        <v>16.2</v>
      </c>
    </row>
    <row r="298" spans="1:6" x14ac:dyDescent="0.25">
      <c r="A298" t="s">
        <v>8</v>
      </c>
      <c r="B298" s="2">
        <v>43209</v>
      </c>
      <c r="C298">
        <f t="shared" si="3"/>
        <v>2018</v>
      </c>
      <c r="E298" t="s">
        <v>6</v>
      </c>
      <c r="F298">
        <f>(FruitDMg!F298/FruitFW!F298)*100</f>
        <v>16.3</v>
      </c>
    </row>
    <row r="299" spans="1:6" x14ac:dyDescent="0.25">
      <c r="A299" t="s">
        <v>8</v>
      </c>
      <c r="B299" s="2">
        <v>43215</v>
      </c>
      <c r="C299">
        <f t="shared" si="3"/>
        <v>2018</v>
      </c>
      <c r="E299" t="s">
        <v>6</v>
      </c>
      <c r="F299">
        <f>(FruitDMg!F299/FruitFW!F299)*100</f>
        <v>16.800000000000004</v>
      </c>
    </row>
    <row r="300" spans="1:6" x14ac:dyDescent="0.25">
      <c r="A300" t="s">
        <v>8</v>
      </c>
      <c r="B300" s="2">
        <v>43221</v>
      </c>
      <c r="C300">
        <f t="shared" si="3"/>
        <v>2018</v>
      </c>
      <c r="E300" t="s">
        <v>6</v>
      </c>
      <c r="F300">
        <f>(FruitDMg!F300/FruitFW!F300)*100</f>
        <v>17</v>
      </c>
    </row>
    <row r="301" spans="1:6" x14ac:dyDescent="0.25">
      <c r="A301" t="s">
        <v>8</v>
      </c>
      <c r="B301" s="2">
        <v>43235</v>
      </c>
      <c r="C301">
        <f t="shared" si="3"/>
        <v>2018</v>
      </c>
      <c r="E301" t="s">
        <v>6</v>
      </c>
      <c r="F301">
        <f>(FruitDMg!F301/FruitFW!F301)*100</f>
        <v>17.3</v>
      </c>
    </row>
    <row r="302" spans="1:6" x14ac:dyDescent="0.25">
      <c r="A302" t="s">
        <v>8</v>
      </c>
      <c r="B302" s="2">
        <v>43249</v>
      </c>
      <c r="C302">
        <f t="shared" si="3"/>
        <v>2018</v>
      </c>
      <c r="E302" t="s">
        <v>6</v>
      </c>
      <c r="F302">
        <f>(FruitDMg!F302/FruitFW!F302)*100</f>
        <v>17.599999999999998</v>
      </c>
    </row>
    <row r="303" spans="1:6" x14ac:dyDescent="0.25">
      <c r="A303" t="s">
        <v>8</v>
      </c>
      <c r="B303" s="2">
        <v>43479</v>
      </c>
      <c r="C303">
        <f t="shared" si="3"/>
        <v>2019</v>
      </c>
      <c r="E303" t="s">
        <v>6</v>
      </c>
      <c r="F303">
        <f>(FruitDMg!F303/FruitFW!F303)*100</f>
        <v>7.3</v>
      </c>
    </row>
    <row r="304" spans="1:6" x14ac:dyDescent="0.25">
      <c r="A304" t="s">
        <v>8</v>
      </c>
      <c r="B304" s="2">
        <v>43515</v>
      </c>
      <c r="C304">
        <f t="shared" si="3"/>
        <v>2019</v>
      </c>
      <c r="E304" t="s">
        <v>6</v>
      </c>
      <c r="F304">
        <f>(FruitDMg!F304/FruitFW!F304)*100</f>
        <v>12.9</v>
      </c>
    </row>
    <row r="305" spans="1:6" x14ac:dyDescent="0.25">
      <c r="A305" t="s">
        <v>8</v>
      </c>
      <c r="B305" s="2">
        <v>43529</v>
      </c>
      <c r="C305">
        <f t="shared" si="3"/>
        <v>2019</v>
      </c>
      <c r="E305" t="s">
        <v>6</v>
      </c>
      <c r="F305">
        <f>(FruitDMg!F305/FruitFW!F305)*100</f>
        <v>14.6</v>
      </c>
    </row>
    <row r="306" spans="1:6" x14ac:dyDescent="0.25">
      <c r="A306" t="s">
        <v>8</v>
      </c>
      <c r="B306" s="2">
        <v>43543</v>
      </c>
      <c r="C306">
        <f t="shared" si="3"/>
        <v>2019</v>
      </c>
      <c r="E306" t="s">
        <v>6</v>
      </c>
      <c r="F306">
        <f>(FruitDMg!F306/FruitFW!F306)*100</f>
        <v>16.100000000000001</v>
      </c>
    </row>
    <row r="307" spans="1:6" x14ac:dyDescent="0.25">
      <c r="A307" t="s">
        <v>8</v>
      </c>
      <c r="B307" s="2">
        <v>43557</v>
      </c>
      <c r="C307">
        <f t="shared" si="3"/>
        <v>2019</v>
      </c>
      <c r="E307" t="s">
        <v>6</v>
      </c>
      <c r="F307">
        <f>(FruitDMg!F307/FruitFW!F307)*100</f>
        <v>16.5</v>
      </c>
    </row>
    <row r="308" spans="1:6" x14ac:dyDescent="0.25">
      <c r="A308" t="s">
        <v>8</v>
      </c>
      <c r="B308" s="2">
        <v>43564</v>
      </c>
      <c r="C308">
        <f t="shared" si="3"/>
        <v>2019</v>
      </c>
      <c r="E308" t="s">
        <v>6</v>
      </c>
      <c r="F308">
        <f>(FruitDMg!F308/FruitFW!F308)*100</f>
        <v>16.899999999999999</v>
      </c>
    </row>
    <row r="309" spans="1:6" x14ac:dyDescent="0.25">
      <c r="A309" t="s">
        <v>8</v>
      </c>
      <c r="B309" s="2">
        <v>43570</v>
      </c>
      <c r="C309">
        <f t="shared" si="3"/>
        <v>2019</v>
      </c>
      <c r="E309" t="s">
        <v>6</v>
      </c>
      <c r="F309">
        <f>(FruitDMg!F309/FruitFW!F309)*100</f>
        <v>17</v>
      </c>
    </row>
    <row r="310" spans="1:6" x14ac:dyDescent="0.25">
      <c r="A310" t="s">
        <v>8</v>
      </c>
      <c r="B310" s="2">
        <v>43577</v>
      </c>
      <c r="C310">
        <f t="shared" si="3"/>
        <v>2019</v>
      </c>
      <c r="E310" t="s">
        <v>6</v>
      </c>
      <c r="F310">
        <f>(FruitDMg!F310/FruitFW!F310)*100</f>
        <v>17.299999999999997</v>
      </c>
    </row>
    <row r="311" spans="1:6" x14ac:dyDescent="0.25">
      <c r="A311" t="s">
        <v>8</v>
      </c>
      <c r="B311" s="2">
        <v>43584</v>
      </c>
      <c r="C311">
        <f t="shared" si="3"/>
        <v>2019</v>
      </c>
      <c r="E311" t="s">
        <v>6</v>
      </c>
      <c r="F311">
        <f>(FruitDMg!F311/FruitFW!F311)*100</f>
        <v>17.5</v>
      </c>
    </row>
    <row r="312" spans="1:6" x14ac:dyDescent="0.25">
      <c r="A312" t="s">
        <v>8</v>
      </c>
      <c r="B312" s="2">
        <v>43613</v>
      </c>
      <c r="C312">
        <f t="shared" si="3"/>
        <v>2019</v>
      </c>
      <c r="E312" t="s">
        <v>6</v>
      </c>
      <c r="F312">
        <f>(FruitDMg!F312/FruitFW!F312)*100</f>
        <v>18.3</v>
      </c>
    </row>
    <row r="313" spans="1:6" x14ac:dyDescent="0.25">
      <c r="A313" t="s">
        <v>8</v>
      </c>
      <c r="B313" s="2">
        <v>43851</v>
      </c>
      <c r="C313">
        <f t="shared" si="3"/>
        <v>2020</v>
      </c>
      <c r="E313" t="s">
        <v>6</v>
      </c>
      <c r="F313">
        <f>(FruitDMg!F313/FruitFW!F313)*100</f>
        <v>8.6999999999999993</v>
      </c>
    </row>
    <row r="314" spans="1:6" x14ac:dyDescent="0.25">
      <c r="A314" t="s">
        <v>8</v>
      </c>
      <c r="B314" s="2">
        <v>43880</v>
      </c>
      <c r="C314">
        <f t="shared" si="3"/>
        <v>2020</v>
      </c>
      <c r="E314" t="s">
        <v>6</v>
      </c>
      <c r="F314">
        <f>(FruitDMg!F314/FruitFW!F314)*100</f>
        <v>13.4</v>
      </c>
    </row>
    <row r="315" spans="1:6" x14ac:dyDescent="0.25">
      <c r="A315" t="s">
        <v>8</v>
      </c>
      <c r="B315" s="2">
        <v>43894</v>
      </c>
      <c r="C315">
        <f t="shared" si="3"/>
        <v>2020</v>
      </c>
      <c r="E315" t="s">
        <v>6</v>
      </c>
      <c r="F315">
        <f>(FruitDMg!F315/FruitFW!F315)*100</f>
        <v>14.899999999999999</v>
      </c>
    </row>
    <row r="316" spans="1:6" x14ac:dyDescent="0.25">
      <c r="A316" t="s">
        <v>8</v>
      </c>
      <c r="B316" s="2">
        <v>43907</v>
      </c>
      <c r="C316">
        <f t="shared" ref="C316:C379" si="4">YEAR(B316)</f>
        <v>2020</v>
      </c>
      <c r="E316" t="s">
        <v>6</v>
      </c>
      <c r="F316">
        <f>(FruitDMg!F316/FruitFW!F316)*100</f>
        <v>16.5</v>
      </c>
    </row>
    <row r="317" spans="1:6" x14ac:dyDescent="0.25">
      <c r="A317" t="s">
        <v>8</v>
      </c>
      <c r="B317" s="2">
        <v>43951</v>
      </c>
      <c r="C317">
        <f t="shared" si="4"/>
        <v>2020</v>
      </c>
      <c r="E317" t="s">
        <v>6</v>
      </c>
      <c r="F317">
        <f>(FruitDMg!F317/FruitFW!F317)*100</f>
        <v>18.800000000000004</v>
      </c>
    </row>
    <row r="318" spans="1:6" x14ac:dyDescent="0.25">
      <c r="A318" t="s">
        <v>8</v>
      </c>
      <c r="B318" s="2">
        <v>43963</v>
      </c>
      <c r="C318">
        <f t="shared" si="4"/>
        <v>2020</v>
      </c>
      <c r="E318" t="s">
        <v>6</v>
      </c>
      <c r="F318">
        <f>(FruitDMg!F318/FruitFW!F318)*100</f>
        <v>18.899999999999999</v>
      </c>
    </row>
    <row r="319" spans="1:6" x14ac:dyDescent="0.25">
      <c r="A319" t="s">
        <v>8</v>
      </c>
      <c r="B319" s="2">
        <v>43979</v>
      </c>
      <c r="C319">
        <f t="shared" si="4"/>
        <v>2020</v>
      </c>
      <c r="E319" t="s">
        <v>6</v>
      </c>
      <c r="F319">
        <f>(FruitDMg!F319/FruitFW!F319)*100</f>
        <v>19.5</v>
      </c>
    </row>
    <row r="320" spans="1:6" x14ac:dyDescent="0.25">
      <c r="A320" t="s">
        <v>8</v>
      </c>
      <c r="B320" s="2">
        <v>44223</v>
      </c>
      <c r="C320">
        <f t="shared" si="4"/>
        <v>2021</v>
      </c>
      <c r="E320" t="s">
        <v>6</v>
      </c>
      <c r="F320">
        <f>(FruitDMg!F320/FruitFW!F320)*100</f>
        <v>10.179676189999999</v>
      </c>
    </row>
    <row r="321" spans="1:6" x14ac:dyDescent="0.25">
      <c r="A321" t="s">
        <v>8</v>
      </c>
      <c r="B321" s="2">
        <v>44258</v>
      </c>
      <c r="C321">
        <f t="shared" si="4"/>
        <v>2021</v>
      </c>
      <c r="E321" t="s">
        <v>6</v>
      </c>
      <c r="F321">
        <f>(FruitDMg!F321/FruitFW!F321)*100</f>
        <v>15.628000080000001</v>
      </c>
    </row>
    <row r="322" spans="1:6" x14ac:dyDescent="0.25">
      <c r="A322" t="s">
        <v>8</v>
      </c>
      <c r="B322" s="2">
        <v>44272</v>
      </c>
      <c r="C322">
        <f t="shared" si="4"/>
        <v>2021</v>
      </c>
      <c r="E322" t="s">
        <v>6</v>
      </c>
      <c r="F322">
        <f>(FruitDMg!F322/FruitFW!F322)*100</f>
        <v>16.63794643</v>
      </c>
    </row>
    <row r="323" spans="1:6" x14ac:dyDescent="0.25">
      <c r="A323" t="s">
        <v>8</v>
      </c>
      <c r="B323" s="2">
        <v>44286</v>
      </c>
      <c r="C323">
        <f t="shared" si="4"/>
        <v>2021</v>
      </c>
      <c r="E323" t="s">
        <v>6</v>
      </c>
      <c r="F323">
        <f>(FruitDMg!F323/FruitFW!F323)*100</f>
        <v>17.359527880000002</v>
      </c>
    </row>
    <row r="324" spans="1:6" x14ac:dyDescent="0.25">
      <c r="A324" t="s">
        <v>8</v>
      </c>
      <c r="B324" s="2">
        <v>44300</v>
      </c>
      <c r="C324">
        <f t="shared" si="4"/>
        <v>2021</v>
      </c>
      <c r="E324" t="s">
        <v>6</v>
      </c>
      <c r="F324">
        <f>(FruitDMg!F324/FruitFW!F324)*100</f>
        <v>17.60640596</v>
      </c>
    </row>
    <row r="325" spans="1:6" x14ac:dyDescent="0.25">
      <c r="A325" t="s">
        <v>8</v>
      </c>
      <c r="B325" s="2">
        <v>44307</v>
      </c>
      <c r="C325">
        <f t="shared" si="4"/>
        <v>2021</v>
      </c>
      <c r="E325" t="s">
        <v>6</v>
      </c>
      <c r="F325">
        <f>(FruitDMg!F325/FruitFW!F325)*100</f>
        <v>17.904109959999996</v>
      </c>
    </row>
    <row r="326" spans="1:6" x14ac:dyDescent="0.25">
      <c r="A326" t="s">
        <v>8</v>
      </c>
      <c r="B326" s="2">
        <v>44315</v>
      </c>
      <c r="C326">
        <f t="shared" si="4"/>
        <v>2021</v>
      </c>
      <c r="E326" t="s">
        <v>6</v>
      </c>
      <c r="F326">
        <f>(FruitDMg!F326/FruitFW!F326)*100</f>
        <v>18.175619019999996</v>
      </c>
    </row>
    <row r="327" spans="1:6" x14ac:dyDescent="0.25">
      <c r="A327" t="s">
        <v>8</v>
      </c>
      <c r="B327" s="2">
        <v>44321</v>
      </c>
      <c r="C327">
        <f t="shared" si="4"/>
        <v>2021</v>
      </c>
      <c r="E327" t="s">
        <v>6</v>
      </c>
      <c r="F327">
        <f>(FruitDMg!F327/FruitFW!F327)*100</f>
        <v>18.282530170000001</v>
      </c>
    </row>
    <row r="328" spans="1:6" x14ac:dyDescent="0.25">
      <c r="A328" t="s">
        <v>8</v>
      </c>
      <c r="B328" s="2">
        <v>44335</v>
      </c>
      <c r="C328">
        <f t="shared" si="4"/>
        <v>2021</v>
      </c>
      <c r="E328" t="s">
        <v>6</v>
      </c>
      <c r="F328">
        <f>(FruitDMg!F328/FruitFW!F328)*100</f>
        <v>18.609304609999999</v>
      </c>
    </row>
    <row r="329" spans="1:6" x14ac:dyDescent="0.25">
      <c r="A329" t="s">
        <v>8</v>
      </c>
      <c r="B329" s="2">
        <v>44348</v>
      </c>
      <c r="C329">
        <f t="shared" si="4"/>
        <v>2021</v>
      </c>
      <c r="E329" t="s">
        <v>6</v>
      </c>
      <c r="F329">
        <f>(FruitDMg!F329/FruitFW!F329)*100</f>
        <v>18.614446149999999</v>
      </c>
    </row>
    <row r="330" spans="1:6" x14ac:dyDescent="0.25">
      <c r="A330" t="s">
        <v>8</v>
      </c>
      <c r="B330" s="2">
        <v>42386</v>
      </c>
      <c r="C330">
        <f t="shared" si="4"/>
        <v>2016</v>
      </c>
      <c r="E330" t="s">
        <v>6</v>
      </c>
      <c r="F330">
        <f>(FruitDMg!F330/FruitFW!F330)*100</f>
        <v>7.7</v>
      </c>
    </row>
    <row r="331" spans="1:6" x14ac:dyDescent="0.25">
      <c r="A331" t="s">
        <v>8</v>
      </c>
      <c r="B331" s="2">
        <v>42386</v>
      </c>
      <c r="C331">
        <f t="shared" si="4"/>
        <v>2016</v>
      </c>
      <c r="E331" t="s">
        <v>6</v>
      </c>
      <c r="F331">
        <f>(FruitDMg!F331/FruitFW!F331)*100</f>
        <v>7.1999999999999993</v>
      </c>
    </row>
    <row r="332" spans="1:6" x14ac:dyDescent="0.25">
      <c r="A332" t="s">
        <v>8</v>
      </c>
      <c r="B332" s="2">
        <v>42386</v>
      </c>
      <c r="C332">
        <f t="shared" si="4"/>
        <v>2016</v>
      </c>
      <c r="E332" t="s">
        <v>6</v>
      </c>
      <c r="F332">
        <f>(FruitDMg!F332/FruitFW!F332)*100</f>
        <v>7.3</v>
      </c>
    </row>
    <row r="333" spans="1:6" x14ac:dyDescent="0.25">
      <c r="A333" t="s">
        <v>8</v>
      </c>
      <c r="B333" s="2">
        <v>42389</v>
      </c>
      <c r="C333">
        <f t="shared" si="4"/>
        <v>2016</v>
      </c>
      <c r="E333" t="s">
        <v>6</v>
      </c>
      <c r="F333">
        <f>(FruitDMg!F333/FruitFW!F333)*100</f>
        <v>7.8</v>
      </c>
    </row>
    <row r="334" spans="1:6" x14ac:dyDescent="0.25">
      <c r="A334" t="s">
        <v>8</v>
      </c>
      <c r="B334" s="2">
        <v>42424</v>
      </c>
      <c r="C334">
        <f t="shared" si="4"/>
        <v>2016</v>
      </c>
      <c r="E334" t="s">
        <v>6</v>
      </c>
      <c r="F334">
        <f>(FruitDMg!F334/FruitFW!F334)*100</f>
        <v>13.3</v>
      </c>
    </row>
    <row r="335" spans="1:6" x14ac:dyDescent="0.25">
      <c r="A335" t="s">
        <v>8</v>
      </c>
      <c r="B335" s="2">
        <v>42424</v>
      </c>
      <c r="C335">
        <f t="shared" si="4"/>
        <v>2016</v>
      </c>
      <c r="E335" t="s">
        <v>6</v>
      </c>
      <c r="F335">
        <f>(FruitDMg!F335/FruitFW!F335)*100</f>
        <v>12.7</v>
      </c>
    </row>
    <row r="336" spans="1:6" x14ac:dyDescent="0.25">
      <c r="A336" t="s">
        <v>8</v>
      </c>
      <c r="B336" s="2">
        <v>42424</v>
      </c>
      <c r="C336">
        <f t="shared" si="4"/>
        <v>2016</v>
      </c>
      <c r="E336" t="s">
        <v>6</v>
      </c>
      <c r="F336">
        <f>(FruitDMg!F336/FruitFW!F336)*100</f>
        <v>11.600000000000001</v>
      </c>
    </row>
    <row r="337" spans="1:6" x14ac:dyDescent="0.25">
      <c r="A337" t="s">
        <v>8</v>
      </c>
      <c r="B337" s="2">
        <v>42424</v>
      </c>
      <c r="C337">
        <f t="shared" si="4"/>
        <v>2016</v>
      </c>
      <c r="E337" t="s">
        <v>6</v>
      </c>
      <c r="F337">
        <f>(FruitDMg!F337/FruitFW!F337)*100</f>
        <v>11.800000000000002</v>
      </c>
    </row>
    <row r="338" spans="1:6" x14ac:dyDescent="0.25">
      <c r="A338" t="s">
        <v>8</v>
      </c>
      <c r="B338" s="2">
        <v>42438</v>
      </c>
      <c r="C338">
        <f t="shared" si="4"/>
        <v>2016</v>
      </c>
      <c r="E338" t="s">
        <v>6</v>
      </c>
      <c r="F338">
        <f>(FruitDMg!F338/FruitFW!F338)*100</f>
        <v>13.600000000000001</v>
      </c>
    </row>
    <row r="339" spans="1:6" x14ac:dyDescent="0.25">
      <c r="A339" t="s">
        <v>8</v>
      </c>
      <c r="B339" s="2">
        <v>42439</v>
      </c>
      <c r="C339">
        <f t="shared" si="4"/>
        <v>2016</v>
      </c>
      <c r="E339" t="s">
        <v>6</v>
      </c>
      <c r="F339">
        <f>(FruitDMg!F339/FruitFW!F339)*100</f>
        <v>15</v>
      </c>
    </row>
    <row r="340" spans="1:6" x14ac:dyDescent="0.25">
      <c r="A340" t="s">
        <v>8</v>
      </c>
      <c r="B340" s="2">
        <v>42439</v>
      </c>
      <c r="C340">
        <f t="shared" si="4"/>
        <v>2016</v>
      </c>
      <c r="E340" t="s">
        <v>6</v>
      </c>
      <c r="F340">
        <f>(FruitDMg!F340/FruitFW!F340)*100</f>
        <v>14.2</v>
      </c>
    </row>
    <row r="341" spans="1:6" x14ac:dyDescent="0.25">
      <c r="A341" t="s">
        <v>8</v>
      </c>
      <c r="B341" s="2">
        <v>42439</v>
      </c>
      <c r="C341">
        <f t="shared" si="4"/>
        <v>2016</v>
      </c>
      <c r="E341" t="s">
        <v>6</v>
      </c>
      <c r="F341">
        <f>(FruitDMg!F341/FruitFW!F341)*100</f>
        <v>13.100000000000001</v>
      </c>
    </row>
    <row r="342" spans="1:6" x14ac:dyDescent="0.25">
      <c r="A342" t="s">
        <v>8</v>
      </c>
      <c r="B342" s="2">
        <v>42452</v>
      </c>
      <c r="C342">
        <f t="shared" si="4"/>
        <v>2016</v>
      </c>
      <c r="E342" t="s">
        <v>6</v>
      </c>
      <c r="F342">
        <f>(FruitDMg!F342/FruitFW!F342)*100</f>
        <v>15.800000000000002</v>
      </c>
    </row>
    <row r="343" spans="1:6" x14ac:dyDescent="0.25">
      <c r="A343" t="s">
        <v>8</v>
      </c>
      <c r="B343" s="2">
        <v>42452</v>
      </c>
      <c r="C343">
        <f t="shared" si="4"/>
        <v>2016</v>
      </c>
      <c r="E343" t="s">
        <v>6</v>
      </c>
      <c r="F343">
        <f>(FruitDMg!F343/FruitFW!F343)*100</f>
        <v>15</v>
      </c>
    </row>
    <row r="344" spans="1:6" x14ac:dyDescent="0.25">
      <c r="A344" t="s">
        <v>8</v>
      </c>
      <c r="B344" s="2">
        <v>42452</v>
      </c>
      <c r="C344">
        <f t="shared" si="4"/>
        <v>2016</v>
      </c>
      <c r="E344" t="s">
        <v>6</v>
      </c>
      <c r="F344">
        <f>(FruitDMg!F344/FruitFW!F344)*100</f>
        <v>14.099999999999998</v>
      </c>
    </row>
    <row r="345" spans="1:6" x14ac:dyDescent="0.25">
      <c r="A345" t="s">
        <v>8</v>
      </c>
      <c r="B345" s="2">
        <v>42452</v>
      </c>
      <c r="C345">
        <f t="shared" si="4"/>
        <v>2016</v>
      </c>
      <c r="E345" t="s">
        <v>6</v>
      </c>
      <c r="F345">
        <f>(FruitDMg!F345/FruitFW!F345)*100</f>
        <v>14.499999999999998</v>
      </c>
    </row>
    <row r="346" spans="1:6" x14ac:dyDescent="0.25">
      <c r="A346" t="s">
        <v>8</v>
      </c>
      <c r="B346" s="2">
        <v>42467</v>
      </c>
      <c r="C346">
        <f t="shared" si="4"/>
        <v>2016</v>
      </c>
      <c r="E346" t="s">
        <v>6</v>
      </c>
      <c r="F346">
        <f>(FruitDMg!F346/FruitFW!F346)*100</f>
        <v>16.7</v>
      </c>
    </row>
    <row r="347" spans="1:6" x14ac:dyDescent="0.25">
      <c r="A347" t="s">
        <v>8</v>
      </c>
      <c r="B347" s="2">
        <v>42467</v>
      </c>
      <c r="C347">
        <f t="shared" si="4"/>
        <v>2016</v>
      </c>
      <c r="E347" t="s">
        <v>6</v>
      </c>
      <c r="F347">
        <f>(FruitDMg!F347/FruitFW!F347)*100</f>
        <v>15.400000000000002</v>
      </c>
    </row>
    <row r="348" spans="1:6" x14ac:dyDescent="0.25">
      <c r="A348" t="s">
        <v>8</v>
      </c>
      <c r="B348" s="2">
        <v>42467</v>
      </c>
      <c r="C348">
        <f t="shared" si="4"/>
        <v>2016</v>
      </c>
      <c r="E348" t="s">
        <v>6</v>
      </c>
      <c r="F348">
        <f>(FruitDMg!F348/FruitFW!F348)*100</f>
        <v>15</v>
      </c>
    </row>
    <row r="349" spans="1:6" x14ac:dyDescent="0.25">
      <c r="A349" t="s">
        <v>8</v>
      </c>
      <c r="B349" s="2">
        <v>42467</v>
      </c>
      <c r="C349">
        <f t="shared" si="4"/>
        <v>2016</v>
      </c>
      <c r="E349" t="s">
        <v>6</v>
      </c>
      <c r="F349">
        <f>(FruitDMg!F349/FruitFW!F349)*100</f>
        <v>15.2</v>
      </c>
    </row>
    <row r="350" spans="1:6" x14ac:dyDescent="0.25">
      <c r="A350" t="s">
        <v>8</v>
      </c>
      <c r="B350" s="2">
        <v>42474</v>
      </c>
      <c r="C350">
        <f t="shared" si="4"/>
        <v>2016</v>
      </c>
      <c r="E350" t="s">
        <v>6</v>
      </c>
      <c r="F350">
        <f>(FruitDMg!F350/FruitFW!F350)*100</f>
        <v>15.400000000000002</v>
      </c>
    </row>
    <row r="351" spans="1:6" x14ac:dyDescent="0.25">
      <c r="A351" t="s">
        <v>8</v>
      </c>
      <c r="B351" s="2">
        <v>42475</v>
      </c>
      <c r="C351">
        <f t="shared" si="4"/>
        <v>2016</v>
      </c>
      <c r="E351" t="s">
        <v>6</v>
      </c>
      <c r="F351">
        <f>(FruitDMg!F351/FruitFW!F351)*100</f>
        <v>16.5</v>
      </c>
    </row>
    <row r="352" spans="1:6" x14ac:dyDescent="0.25">
      <c r="A352" t="s">
        <v>8</v>
      </c>
      <c r="B352" s="2">
        <v>42475</v>
      </c>
      <c r="C352">
        <f t="shared" si="4"/>
        <v>2016</v>
      </c>
      <c r="E352" t="s">
        <v>6</v>
      </c>
      <c r="F352">
        <f>(FruitDMg!F352/FruitFW!F352)*100</f>
        <v>15.7</v>
      </c>
    </row>
    <row r="353" spans="1:6" x14ac:dyDescent="0.25">
      <c r="A353" t="s">
        <v>8</v>
      </c>
      <c r="B353" s="2">
        <v>42475</v>
      </c>
      <c r="C353">
        <f t="shared" si="4"/>
        <v>2016</v>
      </c>
      <c r="E353" t="s">
        <v>6</v>
      </c>
      <c r="F353">
        <f>(FruitDMg!F353/FruitFW!F353)*100</f>
        <v>15.2</v>
      </c>
    </row>
    <row r="354" spans="1:6" x14ac:dyDescent="0.25">
      <c r="A354" t="s">
        <v>8</v>
      </c>
      <c r="B354" s="2">
        <v>42482</v>
      </c>
      <c r="C354">
        <f t="shared" si="4"/>
        <v>2016</v>
      </c>
      <c r="E354" t="s">
        <v>6</v>
      </c>
      <c r="F354">
        <f>(FruitDMg!F354/FruitFW!F354)*100</f>
        <v>16.900000000000002</v>
      </c>
    </row>
    <row r="355" spans="1:6" x14ac:dyDescent="0.25">
      <c r="A355" t="s">
        <v>8</v>
      </c>
      <c r="B355" s="2">
        <v>42482</v>
      </c>
      <c r="C355">
        <f t="shared" si="4"/>
        <v>2016</v>
      </c>
      <c r="E355" t="s">
        <v>6</v>
      </c>
      <c r="F355">
        <f>(FruitDMg!F355/FruitFW!F355)*100</f>
        <v>15.7</v>
      </c>
    </row>
    <row r="356" spans="1:6" x14ac:dyDescent="0.25">
      <c r="A356" t="s">
        <v>8</v>
      </c>
      <c r="B356" s="2">
        <v>42482</v>
      </c>
      <c r="C356">
        <f t="shared" si="4"/>
        <v>2016</v>
      </c>
      <c r="E356" t="s">
        <v>6</v>
      </c>
      <c r="F356">
        <f>(FruitDMg!F356/FruitFW!F356)*100</f>
        <v>15.5</v>
      </c>
    </row>
    <row r="357" spans="1:6" x14ac:dyDescent="0.25">
      <c r="A357" t="s">
        <v>8</v>
      </c>
      <c r="B357" s="2">
        <v>42482</v>
      </c>
      <c r="C357">
        <f t="shared" si="4"/>
        <v>2016</v>
      </c>
      <c r="E357" t="s">
        <v>6</v>
      </c>
      <c r="F357">
        <f>(FruitDMg!F357/FruitFW!F357)*100</f>
        <v>15.1</v>
      </c>
    </row>
    <row r="358" spans="1:6" x14ac:dyDescent="0.25">
      <c r="A358" t="s">
        <v>8</v>
      </c>
      <c r="B358" s="2">
        <v>42489</v>
      </c>
      <c r="C358">
        <f t="shared" si="4"/>
        <v>2016</v>
      </c>
      <c r="E358" t="s">
        <v>6</v>
      </c>
      <c r="F358">
        <f>(FruitDMg!F358/FruitFW!F358)*100</f>
        <v>17.399999999999999</v>
      </c>
    </row>
    <row r="359" spans="1:6" x14ac:dyDescent="0.25">
      <c r="A359" t="s">
        <v>8</v>
      </c>
      <c r="B359" s="2">
        <v>42489</v>
      </c>
      <c r="C359">
        <f t="shared" si="4"/>
        <v>2016</v>
      </c>
      <c r="E359" t="s">
        <v>6</v>
      </c>
      <c r="F359">
        <f>(FruitDMg!F359/FruitFW!F359)*100</f>
        <v>16</v>
      </c>
    </row>
    <row r="360" spans="1:6" x14ac:dyDescent="0.25">
      <c r="A360" t="s">
        <v>8</v>
      </c>
      <c r="B360" s="2">
        <v>42489</v>
      </c>
      <c r="C360">
        <f t="shared" si="4"/>
        <v>2016</v>
      </c>
      <c r="E360" t="s">
        <v>6</v>
      </c>
      <c r="F360">
        <f>(FruitDMg!F360/FruitFW!F360)*100</f>
        <v>15.7</v>
      </c>
    </row>
    <row r="361" spans="1:6" x14ac:dyDescent="0.25">
      <c r="A361" t="s">
        <v>8</v>
      </c>
      <c r="B361" s="2">
        <v>42489</v>
      </c>
      <c r="C361">
        <f t="shared" si="4"/>
        <v>2016</v>
      </c>
      <c r="E361" t="s">
        <v>6</v>
      </c>
      <c r="F361">
        <f>(FruitDMg!F361/FruitFW!F361)*100</f>
        <v>15.699999999999998</v>
      </c>
    </row>
    <row r="362" spans="1:6" x14ac:dyDescent="0.25">
      <c r="A362" t="s">
        <v>8</v>
      </c>
      <c r="B362" s="2">
        <v>42494</v>
      </c>
      <c r="C362">
        <f t="shared" si="4"/>
        <v>2016</v>
      </c>
      <c r="E362" t="s">
        <v>6</v>
      </c>
      <c r="F362">
        <f>(FruitDMg!F362/FruitFW!F362)*100</f>
        <v>16.100000000000001</v>
      </c>
    </row>
    <row r="363" spans="1:6" x14ac:dyDescent="0.25">
      <c r="A363" t="s">
        <v>8</v>
      </c>
      <c r="B363" s="2">
        <v>42496</v>
      </c>
      <c r="C363">
        <f t="shared" si="4"/>
        <v>2016</v>
      </c>
      <c r="E363" t="s">
        <v>6</v>
      </c>
      <c r="F363">
        <f>(FruitDMg!F363/FruitFW!F363)*100</f>
        <v>17.200000000000003</v>
      </c>
    </row>
    <row r="364" spans="1:6" x14ac:dyDescent="0.25">
      <c r="A364" t="s">
        <v>8</v>
      </c>
      <c r="B364" s="2">
        <v>42496</v>
      </c>
      <c r="C364">
        <f t="shared" si="4"/>
        <v>2016</v>
      </c>
      <c r="E364" t="s">
        <v>6</v>
      </c>
      <c r="F364">
        <f>(FruitDMg!F364/FruitFW!F364)*100</f>
        <v>16.100000000000001</v>
      </c>
    </row>
    <row r="365" spans="1:6" x14ac:dyDescent="0.25">
      <c r="A365" t="s">
        <v>8</v>
      </c>
      <c r="B365" s="2">
        <v>42496</v>
      </c>
      <c r="C365">
        <f t="shared" si="4"/>
        <v>2016</v>
      </c>
      <c r="E365" t="s">
        <v>6</v>
      </c>
      <c r="F365">
        <f>(FruitDMg!F365/FruitFW!F365)*100</f>
        <v>16.2</v>
      </c>
    </row>
    <row r="366" spans="1:6" x14ac:dyDescent="0.25">
      <c r="A366" t="s">
        <v>8</v>
      </c>
      <c r="B366" s="2">
        <v>42509</v>
      </c>
      <c r="C366">
        <f t="shared" si="4"/>
        <v>2016</v>
      </c>
      <c r="E366" t="s">
        <v>6</v>
      </c>
      <c r="F366">
        <f>(FruitDMg!F366/FruitFW!F366)*100</f>
        <v>17.5</v>
      </c>
    </row>
    <row r="367" spans="1:6" x14ac:dyDescent="0.25">
      <c r="A367" t="s">
        <v>8</v>
      </c>
      <c r="B367" s="2">
        <v>42509</v>
      </c>
      <c r="C367">
        <f t="shared" si="4"/>
        <v>2016</v>
      </c>
      <c r="E367" t="s">
        <v>6</v>
      </c>
      <c r="F367">
        <f>(FruitDMg!F367/FruitFW!F367)*100</f>
        <v>17.100000000000001</v>
      </c>
    </row>
    <row r="368" spans="1:6" x14ac:dyDescent="0.25">
      <c r="A368" t="s">
        <v>8</v>
      </c>
      <c r="B368" s="2">
        <v>42509</v>
      </c>
      <c r="C368">
        <f t="shared" si="4"/>
        <v>2016</v>
      </c>
      <c r="E368" t="s">
        <v>6</v>
      </c>
      <c r="F368">
        <f>(FruitDMg!F368/FruitFW!F368)*100</f>
        <v>16.399999999999999</v>
      </c>
    </row>
    <row r="369" spans="1:6" x14ac:dyDescent="0.25">
      <c r="A369" t="s">
        <v>8</v>
      </c>
      <c r="B369" s="2">
        <v>42510</v>
      </c>
      <c r="C369">
        <f t="shared" si="4"/>
        <v>2016</v>
      </c>
      <c r="E369" t="s">
        <v>6</v>
      </c>
      <c r="F369">
        <f>(FruitDMg!F369/FruitFW!F369)*100</f>
        <v>16.8</v>
      </c>
    </row>
    <row r="370" spans="1:6" x14ac:dyDescent="0.25">
      <c r="A370" t="s">
        <v>8</v>
      </c>
      <c r="B370" s="2">
        <v>42522</v>
      </c>
      <c r="C370">
        <f t="shared" si="4"/>
        <v>2016</v>
      </c>
      <c r="E370" t="s">
        <v>6</v>
      </c>
      <c r="F370">
        <f>(FruitDMg!F370/FruitFW!F370)*100</f>
        <v>17.099999999999998</v>
      </c>
    </row>
    <row r="371" spans="1:6" x14ac:dyDescent="0.25">
      <c r="A371" t="s">
        <v>8</v>
      </c>
      <c r="B371" s="2">
        <v>42523</v>
      </c>
      <c r="C371">
        <f t="shared" si="4"/>
        <v>2016</v>
      </c>
      <c r="E371" t="s">
        <v>6</v>
      </c>
      <c r="F371">
        <f>(FruitDMg!F371/FruitFW!F371)*100</f>
        <v>18.000000000000004</v>
      </c>
    </row>
    <row r="372" spans="1:6" x14ac:dyDescent="0.25">
      <c r="A372" t="s">
        <v>8</v>
      </c>
      <c r="B372" s="2">
        <v>42523</v>
      </c>
      <c r="C372">
        <f t="shared" si="4"/>
        <v>2016</v>
      </c>
      <c r="E372" t="s">
        <v>6</v>
      </c>
      <c r="F372">
        <f>(FruitDMg!F372/FruitFW!F372)*100</f>
        <v>17.099999999999998</v>
      </c>
    </row>
    <row r="373" spans="1:6" x14ac:dyDescent="0.25">
      <c r="A373" t="s">
        <v>8</v>
      </c>
      <c r="B373" s="2">
        <v>42523</v>
      </c>
      <c r="C373">
        <f t="shared" si="4"/>
        <v>2016</v>
      </c>
      <c r="E373" t="s">
        <v>6</v>
      </c>
      <c r="F373">
        <f>(FruitDMg!F373/FruitFW!F373)*100</f>
        <v>16.8</v>
      </c>
    </row>
    <row r="374" spans="1:6" x14ac:dyDescent="0.25">
      <c r="A374" t="s">
        <v>8</v>
      </c>
      <c r="B374" s="2">
        <v>42531</v>
      </c>
      <c r="C374">
        <f t="shared" si="4"/>
        <v>2016</v>
      </c>
      <c r="E374" t="s">
        <v>6</v>
      </c>
      <c r="F374">
        <f>(FruitDMg!F374/FruitFW!F374)*100</f>
        <v>16.800000000000004</v>
      </c>
    </row>
    <row r="375" spans="1:6" x14ac:dyDescent="0.25">
      <c r="A375" t="s">
        <v>8</v>
      </c>
      <c r="B375" s="2">
        <v>42535</v>
      </c>
      <c r="C375">
        <f t="shared" si="4"/>
        <v>2016</v>
      </c>
      <c r="E375" t="s">
        <v>6</v>
      </c>
      <c r="F375">
        <f>(FruitDMg!F375/FruitFW!F375)*100</f>
        <v>18.000000000000004</v>
      </c>
    </row>
    <row r="376" spans="1:6" x14ac:dyDescent="0.25">
      <c r="A376" t="s">
        <v>8</v>
      </c>
      <c r="B376" s="2">
        <v>42535</v>
      </c>
      <c r="C376">
        <f t="shared" si="4"/>
        <v>2016</v>
      </c>
      <c r="E376" t="s">
        <v>6</v>
      </c>
      <c r="F376">
        <f>(FruitDMg!F376/FruitFW!F376)*100</f>
        <v>17.3</v>
      </c>
    </row>
    <row r="377" spans="1:6" x14ac:dyDescent="0.25">
      <c r="A377" t="s">
        <v>8</v>
      </c>
      <c r="B377" s="2">
        <v>42753</v>
      </c>
      <c r="C377">
        <f t="shared" si="4"/>
        <v>2017</v>
      </c>
      <c r="E377" t="s">
        <v>6</v>
      </c>
      <c r="F377">
        <f>(FruitDMg!F377/FruitFW!F377)*100</f>
        <v>8</v>
      </c>
    </row>
    <row r="378" spans="1:6" x14ac:dyDescent="0.25">
      <c r="A378" t="s">
        <v>8</v>
      </c>
      <c r="B378" s="2">
        <v>42753</v>
      </c>
      <c r="C378">
        <f t="shared" si="4"/>
        <v>2017</v>
      </c>
      <c r="E378" t="s">
        <v>6</v>
      </c>
      <c r="F378">
        <f>(FruitDMg!F378/FruitFW!F378)*100</f>
        <v>7.8</v>
      </c>
    </row>
    <row r="379" spans="1:6" x14ac:dyDescent="0.25">
      <c r="A379" t="s">
        <v>8</v>
      </c>
      <c r="B379" s="2">
        <v>42753</v>
      </c>
      <c r="C379">
        <f t="shared" si="4"/>
        <v>2017</v>
      </c>
      <c r="E379" t="s">
        <v>6</v>
      </c>
      <c r="F379">
        <f>(FruitDMg!F379/FruitFW!F379)*100</f>
        <v>8.1</v>
      </c>
    </row>
    <row r="380" spans="1:6" x14ac:dyDescent="0.25">
      <c r="A380" t="s">
        <v>8</v>
      </c>
      <c r="B380" s="2">
        <v>42753</v>
      </c>
      <c r="C380">
        <f t="shared" ref="C380:C443" si="5">YEAR(B380)</f>
        <v>2017</v>
      </c>
      <c r="E380" t="s">
        <v>6</v>
      </c>
      <c r="F380">
        <f>(FruitDMg!F380/FruitFW!F380)*100</f>
        <v>8.5</v>
      </c>
    </row>
    <row r="381" spans="1:6" x14ac:dyDescent="0.25">
      <c r="A381" t="s">
        <v>8</v>
      </c>
      <c r="B381" s="2">
        <v>42788</v>
      </c>
      <c r="C381">
        <f t="shared" si="5"/>
        <v>2017</v>
      </c>
      <c r="E381" t="s">
        <v>6</v>
      </c>
      <c r="F381">
        <f>(FruitDMg!F381/FruitFW!F381)*100</f>
        <v>13.100000000000001</v>
      </c>
    </row>
    <row r="382" spans="1:6" x14ac:dyDescent="0.25">
      <c r="A382" t="s">
        <v>8</v>
      </c>
      <c r="B382" s="2">
        <v>42789</v>
      </c>
      <c r="C382">
        <f t="shared" si="5"/>
        <v>2017</v>
      </c>
      <c r="E382" t="s">
        <v>6</v>
      </c>
      <c r="F382">
        <f>(FruitDMg!F382/FruitFW!F382)*100</f>
        <v>13</v>
      </c>
    </row>
    <row r="383" spans="1:6" x14ac:dyDescent="0.25">
      <c r="A383" t="s">
        <v>8</v>
      </c>
      <c r="B383" s="2">
        <v>42789</v>
      </c>
      <c r="C383">
        <f t="shared" si="5"/>
        <v>2017</v>
      </c>
      <c r="E383" t="s">
        <v>6</v>
      </c>
      <c r="F383">
        <f>(FruitDMg!F383/FruitFW!F383)*100</f>
        <v>12.400000000000002</v>
      </c>
    </row>
    <row r="384" spans="1:6" x14ac:dyDescent="0.25">
      <c r="A384" t="s">
        <v>8</v>
      </c>
      <c r="B384" s="2">
        <v>42789</v>
      </c>
      <c r="C384">
        <f t="shared" si="5"/>
        <v>2017</v>
      </c>
      <c r="E384" t="s">
        <v>6</v>
      </c>
      <c r="F384">
        <f>(FruitDMg!F384/FruitFW!F384)*100</f>
        <v>12.999999999999998</v>
      </c>
    </row>
    <row r="385" spans="1:6" x14ac:dyDescent="0.25">
      <c r="A385" t="s">
        <v>8</v>
      </c>
      <c r="B385" s="2">
        <v>42803</v>
      </c>
      <c r="C385">
        <f t="shared" si="5"/>
        <v>2017</v>
      </c>
      <c r="E385" t="s">
        <v>6</v>
      </c>
      <c r="F385">
        <f>(FruitDMg!F385/FruitFW!F385)*100</f>
        <v>14.400000000000002</v>
      </c>
    </row>
    <row r="386" spans="1:6" x14ac:dyDescent="0.25">
      <c r="A386" t="s">
        <v>8</v>
      </c>
      <c r="B386" s="2">
        <v>42803</v>
      </c>
      <c r="C386">
        <f t="shared" si="5"/>
        <v>2017</v>
      </c>
      <c r="E386" t="s">
        <v>6</v>
      </c>
      <c r="F386">
        <f>(FruitDMg!F386/FruitFW!F386)*100</f>
        <v>14.899999999999999</v>
      </c>
    </row>
    <row r="387" spans="1:6" x14ac:dyDescent="0.25">
      <c r="A387" t="s">
        <v>8</v>
      </c>
      <c r="B387" s="2">
        <v>42804</v>
      </c>
      <c r="C387">
        <f t="shared" si="5"/>
        <v>2017</v>
      </c>
      <c r="E387" t="s">
        <v>6</v>
      </c>
      <c r="F387">
        <f>(FruitDMg!F387/FruitFW!F387)*100</f>
        <v>15.1</v>
      </c>
    </row>
    <row r="388" spans="1:6" x14ac:dyDescent="0.25">
      <c r="A388" t="s">
        <v>8</v>
      </c>
      <c r="B388" s="2">
        <v>42804</v>
      </c>
      <c r="C388">
        <f t="shared" si="5"/>
        <v>2017</v>
      </c>
      <c r="E388" t="s">
        <v>6</v>
      </c>
      <c r="F388">
        <f>(FruitDMg!F388/FruitFW!F388)*100</f>
        <v>14.7</v>
      </c>
    </row>
    <row r="389" spans="1:6" x14ac:dyDescent="0.25">
      <c r="A389" t="s">
        <v>8</v>
      </c>
      <c r="B389" s="2">
        <v>42816</v>
      </c>
      <c r="C389">
        <f t="shared" si="5"/>
        <v>2017</v>
      </c>
      <c r="E389" t="s">
        <v>6</v>
      </c>
      <c r="F389">
        <f>(FruitDMg!F389/FruitFW!F389)*100</f>
        <v>15.6</v>
      </c>
    </row>
    <row r="390" spans="1:6" x14ac:dyDescent="0.25">
      <c r="A390" t="s">
        <v>8</v>
      </c>
      <c r="B390" s="2">
        <v>42817</v>
      </c>
      <c r="C390">
        <f t="shared" si="5"/>
        <v>2017</v>
      </c>
      <c r="E390" t="s">
        <v>6</v>
      </c>
      <c r="F390">
        <f>(FruitDMg!F390/FruitFW!F390)*100</f>
        <v>15.599999999999998</v>
      </c>
    </row>
    <row r="391" spans="1:6" x14ac:dyDescent="0.25">
      <c r="A391" t="s">
        <v>8</v>
      </c>
      <c r="B391" s="2">
        <v>42817</v>
      </c>
      <c r="C391">
        <f t="shared" si="5"/>
        <v>2017</v>
      </c>
      <c r="E391" t="s">
        <v>6</v>
      </c>
      <c r="F391">
        <f>(FruitDMg!F391/FruitFW!F391)*100</f>
        <v>14.899999999999999</v>
      </c>
    </row>
    <row r="392" spans="1:6" x14ac:dyDescent="0.25">
      <c r="A392" t="s">
        <v>8</v>
      </c>
      <c r="B392" s="2">
        <v>42817</v>
      </c>
      <c r="C392">
        <f t="shared" si="5"/>
        <v>2017</v>
      </c>
      <c r="E392" t="s">
        <v>6</v>
      </c>
      <c r="F392">
        <f>(FruitDMg!F392/FruitFW!F392)*100</f>
        <v>15.699999999999998</v>
      </c>
    </row>
    <row r="393" spans="1:6" x14ac:dyDescent="0.25">
      <c r="A393" t="s">
        <v>8</v>
      </c>
      <c r="B393" s="2">
        <v>42831</v>
      </c>
      <c r="C393">
        <f t="shared" si="5"/>
        <v>2017</v>
      </c>
      <c r="E393" t="s">
        <v>6</v>
      </c>
      <c r="F393">
        <f>(FruitDMg!F393/FruitFW!F393)*100</f>
        <v>16.100000000000001</v>
      </c>
    </row>
    <row r="394" spans="1:6" x14ac:dyDescent="0.25">
      <c r="A394" t="s">
        <v>8</v>
      </c>
      <c r="B394" s="2">
        <v>42832</v>
      </c>
      <c r="C394">
        <f t="shared" si="5"/>
        <v>2017</v>
      </c>
      <c r="E394" t="s">
        <v>6</v>
      </c>
      <c r="F394">
        <f>(FruitDMg!F394/FruitFW!F394)*100</f>
        <v>16</v>
      </c>
    </row>
    <row r="395" spans="1:6" x14ac:dyDescent="0.25">
      <c r="A395" t="s">
        <v>8</v>
      </c>
      <c r="B395" s="2">
        <v>42832</v>
      </c>
      <c r="C395">
        <f t="shared" si="5"/>
        <v>2017</v>
      </c>
      <c r="E395" t="s">
        <v>6</v>
      </c>
      <c r="F395">
        <f>(FruitDMg!F395/FruitFW!F395)*100</f>
        <v>15.400000000000002</v>
      </c>
    </row>
    <row r="396" spans="1:6" x14ac:dyDescent="0.25">
      <c r="A396" t="s">
        <v>8</v>
      </c>
      <c r="B396" s="2">
        <v>42832</v>
      </c>
      <c r="C396">
        <f t="shared" si="5"/>
        <v>2017</v>
      </c>
      <c r="E396" t="s">
        <v>6</v>
      </c>
      <c r="F396">
        <f>(FruitDMg!F396/FruitFW!F396)*100</f>
        <v>16.2</v>
      </c>
    </row>
    <row r="397" spans="1:6" x14ac:dyDescent="0.25">
      <c r="A397" t="s">
        <v>8</v>
      </c>
      <c r="B397" s="2">
        <v>42837</v>
      </c>
      <c r="C397">
        <f t="shared" si="5"/>
        <v>2017</v>
      </c>
      <c r="E397" t="s">
        <v>6</v>
      </c>
      <c r="F397">
        <f>(FruitDMg!F397/FruitFW!F397)*100</f>
        <v>16.100000000000001</v>
      </c>
    </row>
    <row r="398" spans="1:6" x14ac:dyDescent="0.25">
      <c r="A398" t="s">
        <v>8</v>
      </c>
      <c r="B398" s="2">
        <v>42838</v>
      </c>
      <c r="C398">
        <f t="shared" si="5"/>
        <v>2017</v>
      </c>
      <c r="E398" t="s">
        <v>6</v>
      </c>
      <c r="F398">
        <f>(FruitDMg!F398/FruitFW!F398)*100</f>
        <v>16.100000000000001</v>
      </c>
    </row>
    <row r="399" spans="1:6" x14ac:dyDescent="0.25">
      <c r="A399" t="s">
        <v>8</v>
      </c>
      <c r="B399" s="2">
        <v>42838</v>
      </c>
      <c r="C399">
        <f t="shared" si="5"/>
        <v>2017</v>
      </c>
      <c r="E399" t="s">
        <v>6</v>
      </c>
      <c r="F399">
        <f>(FruitDMg!F399/FruitFW!F399)*100</f>
        <v>15.400000000000002</v>
      </c>
    </row>
    <row r="400" spans="1:6" x14ac:dyDescent="0.25">
      <c r="A400" t="s">
        <v>8</v>
      </c>
      <c r="B400" s="2">
        <v>42838</v>
      </c>
      <c r="C400">
        <f t="shared" si="5"/>
        <v>2017</v>
      </c>
      <c r="E400" t="s">
        <v>6</v>
      </c>
      <c r="F400">
        <f>(FruitDMg!F400/FruitFW!F400)*100</f>
        <v>16.100000000000001</v>
      </c>
    </row>
    <row r="401" spans="1:6" x14ac:dyDescent="0.25">
      <c r="A401" t="s">
        <v>8</v>
      </c>
      <c r="B401" s="2">
        <v>42844</v>
      </c>
      <c r="C401">
        <f t="shared" si="5"/>
        <v>2017</v>
      </c>
      <c r="E401" t="s">
        <v>6</v>
      </c>
      <c r="F401">
        <f>(FruitDMg!F401/FruitFW!F401)*100</f>
        <v>16.100000000000001</v>
      </c>
    </row>
    <row r="402" spans="1:6" x14ac:dyDescent="0.25">
      <c r="A402" t="s">
        <v>8</v>
      </c>
      <c r="B402" s="2">
        <v>42845</v>
      </c>
      <c r="C402">
        <f t="shared" si="5"/>
        <v>2017</v>
      </c>
      <c r="E402" t="s">
        <v>6</v>
      </c>
      <c r="F402">
        <f>(FruitDMg!F402/FruitFW!F402)*100</f>
        <v>16.3</v>
      </c>
    </row>
    <row r="403" spans="1:6" x14ac:dyDescent="0.25">
      <c r="A403" t="s">
        <v>8</v>
      </c>
      <c r="B403" s="2">
        <v>42845</v>
      </c>
      <c r="C403">
        <f t="shared" si="5"/>
        <v>2017</v>
      </c>
      <c r="E403" t="s">
        <v>6</v>
      </c>
      <c r="F403">
        <f>(FruitDMg!F403/FruitFW!F403)*100</f>
        <v>15.5</v>
      </c>
    </row>
    <row r="404" spans="1:6" x14ac:dyDescent="0.25">
      <c r="A404" t="s">
        <v>8</v>
      </c>
      <c r="B404" s="2">
        <v>42845</v>
      </c>
      <c r="C404">
        <f t="shared" si="5"/>
        <v>2017</v>
      </c>
      <c r="E404" t="s">
        <v>6</v>
      </c>
      <c r="F404">
        <f>(FruitDMg!F404/FruitFW!F404)*100</f>
        <v>16.799999999999997</v>
      </c>
    </row>
    <row r="405" spans="1:6" x14ac:dyDescent="0.25">
      <c r="A405" t="s">
        <v>8</v>
      </c>
      <c r="B405" s="2">
        <v>42853</v>
      </c>
      <c r="C405">
        <f t="shared" si="5"/>
        <v>2017</v>
      </c>
      <c r="E405" t="s">
        <v>6</v>
      </c>
      <c r="F405">
        <f>(FruitDMg!F405/FruitFW!F405)*100</f>
        <v>16.7</v>
      </c>
    </row>
    <row r="406" spans="1:6" x14ac:dyDescent="0.25">
      <c r="A406" t="s">
        <v>8</v>
      </c>
      <c r="B406" s="2">
        <v>42853</v>
      </c>
      <c r="C406">
        <f t="shared" si="5"/>
        <v>2017</v>
      </c>
      <c r="E406" t="s">
        <v>6</v>
      </c>
      <c r="F406">
        <f>(FruitDMg!F406/FruitFW!F406)*100</f>
        <v>16.2</v>
      </c>
    </row>
    <row r="407" spans="1:6" x14ac:dyDescent="0.25">
      <c r="A407" t="s">
        <v>8</v>
      </c>
      <c r="B407" s="2">
        <v>42853</v>
      </c>
      <c r="C407">
        <f t="shared" si="5"/>
        <v>2017</v>
      </c>
      <c r="E407" t="s">
        <v>6</v>
      </c>
      <c r="F407">
        <f>(FruitDMg!F407/FruitFW!F407)*100</f>
        <v>17</v>
      </c>
    </row>
    <row r="408" spans="1:6" x14ac:dyDescent="0.25">
      <c r="A408" t="s">
        <v>8</v>
      </c>
      <c r="B408" s="2">
        <v>42853</v>
      </c>
      <c r="C408">
        <f t="shared" si="5"/>
        <v>2017</v>
      </c>
      <c r="E408" t="s">
        <v>6</v>
      </c>
      <c r="F408">
        <f>(FruitDMg!F408/FruitFW!F408)*100</f>
        <v>17</v>
      </c>
    </row>
    <row r="409" spans="1:6" x14ac:dyDescent="0.25">
      <c r="A409" t="s">
        <v>8</v>
      </c>
      <c r="B409" s="2">
        <v>42858</v>
      </c>
      <c r="C409">
        <f t="shared" si="5"/>
        <v>2017</v>
      </c>
      <c r="E409" t="s">
        <v>6</v>
      </c>
      <c r="F409">
        <f>(FruitDMg!F409/FruitFW!F409)*100</f>
        <v>17.2</v>
      </c>
    </row>
    <row r="410" spans="1:6" x14ac:dyDescent="0.25">
      <c r="A410" t="s">
        <v>8</v>
      </c>
      <c r="B410" s="2">
        <v>42859</v>
      </c>
      <c r="C410">
        <f t="shared" si="5"/>
        <v>2017</v>
      </c>
      <c r="E410" t="s">
        <v>6</v>
      </c>
      <c r="F410">
        <f>(FruitDMg!F410/FruitFW!F410)*100</f>
        <v>16.399999999999999</v>
      </c>
    </row>
    <row r="411" spans="1:6" x14ac:dyDescent="0.25">
      <c r="A411" t="s">
        <v>8</v>
      </c>
      <c r="B411" s="2">
        <v>42860</v>
      </c>
      <c r="C411">
        <f t="shared" si="5"/>
        <v>2017</v>
      </c>
      <c r="E411" t="s">
        <v>6</v>
      </c>
      <c r="F411">
        <f>(FruitDMg!F411/FruitFW!F411)*100</f>
        <v>16.800000000000004</v>
      </c>
    </row>
    <row r="412" spans="1:6" x14ac:dyDescent="0.25">
      <c r="A412" t="s">
        <v>8</v>
      </c>
      <c r="B412" s="2">
        <v>42860</v>
      </c>
      <c r="C412">
        <f t="shared" si="5"/>
        <v>2017</v>
      </c>
      <c r="E412" t="s">
        <v>6</v>
      </c>
      <c r="F412">
        <f>(FruitDMg!F412/FruitFW!F412)*100</f>
        <v>17.199999999999996</v>
      </c>
    </row>
    <row r="413" spans="1:6" x14ac:dyDescent="0.25">
      <c r="A413" t="s">
        <v>8</v>
      </c>
      <c r="B413" s="2">
        <v>42872</v>
      </c>
      <c r="C413">
        <f t="shared" si="5"/>
        <v>2017</v>
      </c>
      <c r="E413" t="s">
        <v>6</v>
      </c>
      <c r="F413">
        <f>(FruitDMg!F413/FruitFW!F413)*100</f>
        <v>17.699999999999996</v>
      </c>
    </row>
    <row r="414" spans="1:6" x14ac:dyDescent="0.25">
      <c r="A414" t="s">
        <v>8</v>
      </c>
      <c r="B414" s="2">
        <v>42873</v>
      </c>
      <c r="C414">
        <f t="shared" si="5"/>
        <v>2017</v>
      </c>
      <c r="E414" t="s">
        <v>6</v>
      </c>
      <c r="F414">
        <f>(FruitDMg!F414/FruitFW!F414)*100</f>
        <v>17.2</v>
      </c>
    </row>
    <row r="415" spans="1:6" x14ac:dyDescent="0.25">
      <c r="A415" t="s">
        <v>8</v>
      </c>
      <c r="B415" s="2">
        <v>42873</v>
      </c>
      <c r="C415">
        <f t="shared" si="5"/>
        <v>2017</v>
      </c>
      <c r="E415" t="s">
        <v>6</v>
      </c>
      <c r="F415">
        <f>(FruitDMg!F415/FruitFW!F415)*100</f>
        <v>16.7</v>
      </c>
    </row>
    <row r="416" spans="1:6" x14ac:dyDescent="0.25">
      <c r="A416" t="s">
        <v>8</v>
      </c>
      <c r="B416" s="2">
        <v>42873</v>
      </c>
      <c r="C416">
        <f t="shared" si="5"/>
        <v>2017</v>
      </c>
      <c r="E416" t="s">
        <v>6</v>
      </c>
      <c r="F416">
        <f>(FruitDMg!F416/FruitFW!F416)*100</f>
        <v>17.600000000000001</v>
      </c>
    </row>
    <row r="417" spans="1:6" x14ac:dyDescent="0.25">
      <c r="A417" t="s">
        <v>8</v>
      </c>
      <c r="B417" s="2">
        <v>42886</v>
      </c>
      <c r="C417">
        <f t="shared" si="5"/>
        <v>2017</v>
      </c>
      <c r="E417" t="s">
        <v>6</v>
      </c>
      <c r="F417">
        <f>(FruitDMg!F417/FruitFW!F417)*100</f>
        <v>18</v>
      </c>
    </row>
    <row r="418" spans="1:6" x14ac:dyDescent="0.25">
      <c r="A418" t="s">
        <v>8</v>
      </c>
      <c r="B418" s="2">
        <v>42887</v>
      </c>
      <c r="C418">
        <f t="shared" si="5"/>
        <v>2017</v>
      </c>
      <c r="E418" t="s">
        <v>6</v>
      </c>
      <c r="F418">
        <f>(FruitDMg!F418/FruitFW!F418)*100</f>
        <v>17.399999999999999</v>
      </c>
    </row>
    <row r="419" spans="1:6" x14ac:dyDescent="0.25">
      <c r="A419" t="s">
        <v>8</v>
      </c>
      <c r="B419" s="2">
        <v>42887</v>
      </c>
      <c r="C419">
        <f t="shared" si="5"/>
        <v>2017</v>
      </c>
      <c r="E419" t="s">
        <v>6</v>
      </c>
      <c r="F419">
        <f>(FruitDMg!F419/FruitFW!F419)*100</f>
        <v>16.899999999999999</v>
      </c>
    </row>
    <row r="420" spans="1:6" x14ac:dyDescent="0.25">
      <c r="A420" t="s">
        <v>8</v>
      </c>
      <c r="B420" s="2">
        <v>42887</v>
      </c>
      <c r="C420">
        <f t="shared" si="5"/>
        <v>2017</v>
      </c>
      <c r="E420" t="s">
        <v>6</v>
      </c>
      <c r="F420">
        <f>(FruitDMg!F420/FruitFW!F420)*100</f>
        <v>18</v>
      </c>
    </row>
    <row r="421" spans="1:6" x14ac:dyDescent="0.25">
      <c r="A421" t="s">
        <v>8</v>
      </c>
      <c r="B421" s="2">
        <v>42893</v>
      </c>
      <c r="C421">
        <f t="shared" si="5"/>
        <v>2017</v>
      </c>
      <c r="E421" t="s">
        <v>6</v>
      </c>
      <c r="F421">
        <f>(FruitDMg!F421/FruitFW!F421)*100</f>
        <v>17.899999999999999</v>
      </c>
    </row>
    <row r="422" spans="1:6" x14ac:dyDescent="0.25">
      <c r="A422" t="s">
        <v>8</v>
      </c>
      <c r="B422" s="2">
        <v>42893</v>
      </c>
      <c r="C422">
        <f t="shared" si="5"/>
        <v>2017</v>
      </c>
      <c r="E422" t="s">
        <v>6</v>
      </c>
      <c r="F422">
        <f>(FruitDMg!F422/FruitFW!F422)*100</f>
        <v>17.8</v>
      </c>
    </row>
    <row r="423" spans="1:6" x14ac:dyDescent="0.25">
      <c r="A423" t="s">
        <v>8</v>
      </c>
      <c r="B423" s="2">
        <v>42894</v>
      </c>
      <c r="C423">
        <f t="shared" si="5"/>
        <v>2017</v>
      </c>
      <c r="E423" t="s">
        <v>6</v>
      </c>
      <c r="F423">
        <f>(FruitDMg!F423/FruitFW!F423)*100</f>
        <v>17.7</v>
      </c>
    </row>
    <row r="424" spans="1:6" x14ac:dyDescent="0.25">
      <c r="A424" t="s">
        <v>8</v>
      </c>
      <c r="B424" s="2">
        <v>42907</v>
      </c>
      <c r="C424">
        <f t="shared" si="5"/>
        <v>2017</v>
      </c>
      <c r="E424" t="s">
        <v>6</v>
      </c>
      <c r="F424">
        <f>(FruitDMg!F424/FruitFW!F424)*100</f>
        <v>17.5</v>
      </c>
    </row>
    <row r="425" spans="1:6" x14ac:dyDescent="0.25">
      <c r="A425" t="s">
        <v>8</v>
      </c>
      <c r="B425" s="2">
        <v>42907</v>
      </c>
      <c r="C425">
        <f t="shared" si="5"/>
        <v>2017</v>
      </c>
      <c r="E425" t="s">
        <v>6</v>
      </c>
      <c r="F425">
        <f>(FruitDMg!F425/FruitFW!F425)*100</f>
        <v>18</v>
      </c>
    </row>
    <row r="426" spans="1:6" x14ac:dyDescent="0.25">
      <c r="A426" t="s">
        <v>8</v>
      </c>
      <c r="B426" s="2">
        <v>42908</v>
      </c>
      <c r="C426">
        <f t="shared" si="5"/>
        <v>2017</v>
      </c>
      <c r="E426" t="s">
        <v>6</v>
      </c>
      <c r="F426">
        <f>(FruitDMg!F426/FruitFW!F426)*100</f>
        <v>17.8</v>
      </c>
    </row>
    <row r="427" spans="1:6" x14ac:dyDescent="0.25">
      <c r="A427" t="s">
        <v>8</v>
      </c>
      <c r="B427" s="2">
        <v>43115</v>
      </c>
      <c r="C427">
        <f t="shared" si="5"/>
        <v>2018</v>
      </c>
      <c r="E427" t="s">
        <v>6</v>
      </c>
      <c r="F427">
        <f>(FruitDMg!F427/FruitFW!F427)*100</f>
        <v>7.1999999999999993</v>
      </c>
    </row>
    <row r="428" spans="1:6" x14ac:dyDescent="0.25">
      <c r="A428" t="s">
        <v>8</v>
      </c>
      <c r="B428" s="2">
        <v>43115</v>
      </c>
      <c r="C428">
        <f t="shared" si="5"/>
        <v>2018</v>
      </c>
      <c r="E428" t="s">
        <v>6</v>
      </c>
      <c r="F428">
        <f>(FruitDMg!F428/FruitFW!F428)*100</f>
        <v>7.8</v>
      </c>
    </row>
    <row r="429" spans="1:6" x14ac:dyDescent="0.25">
      <c r="A429" t="s">
        <v>8</v>
      </c>
      <c r="B429" s="2">
        <v>43116</v>
      </c>
      <c r="C429">
        <f t="shared" si="5"/>
        <v>2018</v>
      </c>
      <c r="E429" t="s">
        <v>6</v>
      </c>
      <c r="F429">
        <f>(FruitDMg!F429/FruitFW!F429)*100</f>
        <v>7.4000000000000012</v>
      </c>
    </row>
    <row r="430" spans="1:6" x14ac:dyDescent="0.25">
      <c r="A430" t="s">
        <v>8</v>
      </c>
      <c r="B430" s="2">
        <v>43116</v>
      </c>
      <c r="C430">
        <f t="shared" si="5"/>
        <v>2018</v>
      </c>
      <c r="E430" t="s">
        <v>6</v>
      </c>
      <c r="F430">
        <f>(FruitDMg!F430/FruitFW!F430)*100</f>
        <v>7.4000000000000012</v>
      </c>
    </row>
    <row r="431" spans="1:6" x14ac:dyDescent="0.25">
      <c r="A431" t="s">
        <v>8</v>
      </c>
      <c r="B431" s="2">
        <v>43150</v>
      </c>
      <c r="C431">
        <f t="shared" si="5"/>
        <v>2018</v>
      </c>
      <c r="E431" t="s">
        <v>6</v>
      </c>
      <c r="F431">
        <f>(FruitDMg!F431/FruitFW!F431)*100</f>
        <v>12.2</v>
      </c>
    </row>
    <row r="432" spans="1:6" x14ac:dyDescent="0.25">
      <c r="A432" t="s">
        <v>8</v>
      </c>
      <c r="B432" s="2">
        <v>43150</v>
      </c>
      <c r="C432">
        <f t="shared" si="5"/>
        <v>2018</v>
      </c>
      <c r="E432" t="s">
        <v>6</v>
      </c>
      <c r="F432">
        <f>(FruitDMg!F432/FruitFW!F432)*100</f>
        <v>11.8</v>
      </c>
    </row>
    <row r="433" spans="1:6" x14ac:dyDescent="0.25">
      <c r="A433" t="s">
        <v>8</v>
      </c>
      <c r="B433" s="2">
        <v>43151</v>
      </c>
      <c r="C433">
        <f t="shared" si="5"/>
        <v>2018</v>
      </c>
      <c r="E433" t="s">
        <v>6</v>
      </c>
      <c r="F433">
        <f>(FruitDMg!F433/FruitFW!F433)*100</f>
        <v>11.6</v>
      </c>
    </row>
    <row r="434" spans="1:6" x14ac:dyDescent="0.25">
      <c r="A434" t="s">
        <v>8</v>
      </c>
      <c r="B434" s="2">
        <v>43151</v>
      </c>
      <c r="C434">
        <f t="shared" si="5"/>
        <v>2018</v>
      </c>
      <c r="E434" t="s">
        <v>6</v>
      </c>
      <c r="F434">
        <f>(FruitDMg!F434/FruitFW!F434)*100</f>
        <v>12.000000000000002</v>
      </c>
    </row>
    <row r="435" spans="1:6" x14ac:dyDescent="0.25">
      <c r="A435" t="s">
        <v>8</v>
      </c>
      <c r="B435" s="2">
        <v>43164</v>
      </c>
      <c r="C435">
        <f t="shared" si="5"/>
        <v>2018</v>
      </c>
      <c r="E435" t="s">
        <v>6</v>
      </c>
      <c r="F435">
        <f>(FruitDMg!F435/FruitFW!F435)*100</f>
        <v>14.200000000000001</v>
      </c>
    </row>
    <row r="436" spans="1:6" x14ac:dyDescent="0.25">
      <c r="A436" t="s">
        <v>8</v>
      </c>
      <c r="B436" s="2">
        <v>43164</v>
      </c>
      <c r="C436">
        <f t="shared" si="5"/>
        <v>2018</v>
      </c>
      <c r="E436" t="s">
        <v>6</v>
      </c>
      <c r="F436">
        <f>(FruitDMg!F436/FruitFW!F436)*100</f>
        <v>14.200000000000001</v>
      </c>
    </row>
    <row r="437" spans="1:6" x14ac:dyDescent="0.25">
      <c r="A437" t="s">
        <v>8</v>
      </c>
      <c r="B437" s="2">
        <v>43165</v>
      </c>
      <c r="C437">
        <f t="shared" si="5"/>
        <v>2018</v>
      </c>
      <c r="E437" t="s">
        <v>6</v>
      </c>
      <c r="F437">
        <f>(FruitDMg!F437/FruitFW!F437)*100</f>
        <v>12.800000000000002</v>
      </c>
    </row>
    <row r="438" spans="1:6" x14ac:dyDescent="0.25">
      <c r="A438" t="s">
        <v>8</v>
      </c>
      <c r="B438" s="2">
        <v>43165</v>
      </c>
      <c r="C438">
        <f t="shared" si="5"/>
        <v>2018</v>
      </c>
      <c r="E438" t="s">
        <v>6</v>
      </c>
      <c r="F438">
        <f>(FruitDMg!F438/FruitFW!F438)*100</f>
        <v>14.100000000000001</v>
      </c>
    </row>
    <row r="439" spans="1:6" x14ac:dyDescent="0.25">
      <c r="A439" t="s">
        <v>8</v>
      </c>
      <c r="B439" s="2">
        <v>43178</v>
      </c>
      <c r="C439">
        <f t="shared" si="5"/>
        <v>2018</v>
      </c>
      <c r="E439" t="s">
        <v>6</v>
      </c>
      <c r="F439">
        <f>(FruitDMg!F439/FruitFW!F439)*100</f>
        <v>15.1</v>
      </c>
    </row>
    <row r="440" spans="1:6" x14ac:dyDescent="0.25">
      <c r="A440" t="s">
        <v>8</v>
      </c>
      <c r="B440" s="2">
        <v>43178</v>
      </c>
      <c r="C440">
        <f t="shared" si="5"/>
        <v>2018</v>
      </c>
      <c r="E440" t="s">
        <v>6</v>
      </c>
      <c r="F440">
        <f>(FruitDMg!F440/FruitFW!F440)*100</f>
        <v>15.7</v>
      </c>
    </row>
    <row r="441" spans="1:6" x14ac:dyDescent="0.25">
      <c r="A441" t="s">
        <v>8</v>
      </c>
      <c r="B441" s="2">
        <v>43179</v>
      </c>
      <c r="C441">
        <f t="shared" si="5"/>
        <v>2018</v>
      </c>
      <c r="E441" t="s">
        <v>6</v>
      </c>
      <c r="F441">
        <f>(FruitDMg!F441/FruitFW!F441)*100</f>
        <v>14.099999999999998</v>
      </c>
    </row>
    <row r="442" spans="1:6" x14ac:dyDescent="0.25">
      <c r="A442" t="s">
        <v>8</v>
      </c>
      <c r="B442" s="2">
        <v>43179</v>
      </c>
      <c r="C442">
        <f t="shared" si="5"/>
        <v>2018</v>
      </c>
      <c r="E442" t="s">
        <v>6</v>
      </c>
      <c r="F442">
        <f>(FruitDMg!F442/FruitFW!F442)*100</f>
        <v>15.299999999999999</v>
      </c>
    </row>
    <row r="443" spans="1:6" x14ac:dyDescent="0.25">
      <c r="A443" t="s">
        <v>8</v>
      </c>
      <c r="B443" s="2">
        <v>43194</v>
      </c>
      <c r="C443">
        <f t="shared" si="5"/>
        <v>2018</v>
      </c>
      <c r="E443" t="s">
        <v>6</v>
      </c>
      <c r="F443">
        <f>(FruitDMg!F443/FruitFW!F443)*100</f>
        <v>15.600000000000003</v>
      </c>
    </row>
    <row r="444" spans="1:6" x14ac:dyDescent="0.25">
      <c r="A444" t="s">
        <v>8</v>
      </c>
      <c r="B444" s="2">
        <v>43194</v>
      </c>
      <c r="C444">
        <f t="shared" ref="C444:C507" si="6">YEAR(B444)</f>
        <v>2018</v>
      </c>
      <c r="E444" t="s">
        <v>6</v>
      </c>
      <c r="F444">
        <f>(FruitDMg!F444/FruitFW!F444)*100</f>
        <v>16.600000000000005</v>
      </c>
    </row>
    <row r="445" spans="1:6" x14ac:dyDescent="0.25">
      <c r="A445" t="s">
        <v>8</v>
      </c>
      <c r="B445" s="2">
        <v>43195</v>
      </c>
      <c r="C445">
        <f t="shared" si="6"/>
        <v>2018</v>
      </c>
      <c r="E445" t="s">
        <v>6</v>
      </c>
      <c r="F445">
        <f>(FruitDMg!F445/FruitFW!F445)*100</f>
        <v>14.6</v>
      </c>
    </row>
    <row r="446" spans="1:6" x14ac:dyDescent="0.25">
      <c r="A446" t="s">
        <v>8</v>
      </c>
      <c r="B446" s="2">
        <v>43195</v>
      </c>
      <c r="C446">
        <f t="shared" si="6"/>
        <v>2018</v>
      </c>
      <c r="E446" t="s">
        <v>6</v>
      </c>
      <c r="F446">
        <f>(FruitDMg!F446/FruitFW!F446)*100</f>
        <v>15.8</v>
      </c>
    </row>
    <row r="447" spans="1:6" x14ac:dyDescent="0.25">
      <c r="A447" t="s">
        <v>8</v>
      </c>
      <c r="B447" s="2">
        <v>43200</v>
      </c>
      <c r="C447">
        <f t="shared" si="6"/>
        <v>2018</v>
      </c>
      <c r="E447" t="s">
        <v>6</v>
      </c>
      <c r="F447">
        <f>(FruitDMg!F447/FruitFW!F447)*100</f>
        <v>16.100000000000001</v>
      </c>
    </row>
    <row r="448" spans="1:6" x14ac:dyDescent="0.25">
      <c r="A448" t="s">
        <v>8</v>
      </c>
      <c r="B448" s="2">
        <v>43200</v>
      </c>
      <c r="C448">
        <f t="shared" si="6"/>
        <v>2018</v>
      </c>
      <c r="E448" t="s">
        <v>6</v>
      </c>
      <c r="F448">
        <f>(FruitDMg!F448/FruitFW!F448)*100</f>
        <v>16.399999999999999</v>
      </c>
    </row>
    <row r="449" spans="1:6" x14ac:dyDescent="0.25">
      <c r="A449" t="s">
        <v>8</v>
      </c>
      <c r="B449" s="2">
        <v>43201</v>
      </c>
      <c r="C449">
        <f t="shared" si="6"/>
        <v>2018</v>
      </c>
      <c r="E449" t="s">
        <v>6</v>
      </c>
      <c r="F449">
        <f>(FruitDMg!F449/FruitFW!F449)*100</f>
        <v>14.6</v>
      </c>
    </row>
    <row r="450" spans="1:6" x14ac:dyDescent="0.25">
      <c r="A450" t="s">
        <v>8</v>
      </c>
      <c r="B450" s="2">
        <v>43201</v>
      </c>
      <c r="C450">
        <f t="shared" si="6"/>
        <v>2018</v>
      </c>
      <c r="E450" t="s">
        <v>6</v>
      </c>
      <c r="F450">
        <f>(FruitDMg!F450/FruitFW!F450)*100</f>
        <v>16.300000000000004</v>
      </c>
    </row>
    <row r="451" spans="1:6" x14ac:dyDescent="0.25">
      <c r="A451" t="s">
        <v>8</v>
      </c>
      <c r="B451" s="2">
        <v>43206</v>
      </c>
      <c r="C451">
        <f t="shared" si="6"/>
        <v>2018</v>
      </c>
      <c r="E451" t="s">
        <v>6</v>
      </c>
      <c r="F451">
        <f>(FruitDMg!F451/FruitFW!F451)*100</f>
        <v>16</v>
      </c>
    </row>
    <row r="452" spans="1:6" x14ac:dyDescent="0.25">
      <c r="A452" t="s">
        <v>8</v>
      </c>
      <c r="B452" s="2">
        <v>43206</v>
      </c>
      <c r="C452">
        <f t="shared" si="6"/>
        <v>2018</v>
      </c>
      <c r="E452" t="s">
        <v>6</v>
      </c>
      <c r="F452">
        <f>(FruitDMg!F452/FruitFW!F452)*100</f>
        <v>17</v>
      </c>
    </row>
    <row r="453" spans="1:6" x14ac:dyDescent="0.25">
      <c r="A453" t="s">
        <v>8</v>
      </c>
      <c r="B453" s="2">
        <v>43209</v>
      </c>
      <c r="C453">
        <f t="shared" si="6"/>
        <v>2018</v>
      </c>
      <c r="E453" t="s">
        <v>6</v>
      </c>
      <c r="F453">
        <f>(FruitDMg!F453/FruitFW!F453)*100</f>
        <v>15.299999999999999</v>
      </c>
    </row>
    <row r="454" spans="1:6" x14ac:dyDescent="0.25">
      <c r="A454" t="s">
        <v>8</v>
      </c>
      <c r="B454" s="2">
        <v>43209</v>
      </c>
      <c r="C454">
        <f t="shared" si="6"/>
        <v>2018</v>
      </c>
      <c r="E454" t="s">
        <v>6</v>
      </c>
      <c r="F454">
        <f>(FruitDMg!F454/FruitFW!F454)*100</f>
        <v>16.600000000000001</v>
      </c>
    </row>
    <row r="455" spans="1:6" x14ac:dyDescent="0.25">
      <c r="A455" t="s">
        <v>8</v>
      </c>
      <c r="B455" s="2">
        <v>43215</v>
      </c>
      <c r="C455">
        <f t="shared" si="6"/>
        <v>2018</v>
      </c>
      <c r="E455" t="s">
        <v>6</v>
      </c>
      <c r="F455">
        <f>(FruitDMg!F455/FruitFW!F455)*100</f>
        <v>15.6</v>
      </c>
    </row>
    <row r="456" spans="1:6" x14ac:dyDescent="0.25">
      <c r="A456" t="s">
        <v>8</v>
      </c>
      <c r="B456" s="2">
        <v>43215</v>
      </c>
      <c r="C456">
        <f t="shared" si="6"/>
        <v>2018</v>
      </c>
      <c r="E456" t="s">
        <v>6</v>
      </c>
      <c r="F456">
        <f>(FruitDMg!F456/FruitFW!F456)*100</f>
        <v>16.600000000000005</v>
      </c>
    </row>
    <row r="457" spans="1:6" x14ac:dyDescent="0.25">
      <c r="A457" t="s">
        <v>8</v>
      </c>
      <c r="B457" s="2">
        <v>43215</v>
      </c>
      <c r="C457">
        <f t="shared" si="6"/>
        <v>2018</v>
      </c>
      <c r="E457" t="s">
        <v>6</v>
      </c>
      <c r="F457">
        <f>(FruitDMg!F457/FruitFW!F457)*100</f>
        <v>17.100000000000001</v>
      </c>
    </row>
    <row r="458" spans="1:6" x14ac:dyDescent="0.25">
      <c r="A458" t="s">
        <v>8</v>
      </c>
      <c r="B458" s="2">
        <v>43215</v>
      </c>
      <c r="C458">
        <f t="shared" si="6"/>
        <v>2018</v>
      </c>
      <c r="E458" t="s">
        <v>6</v>
      </c>
      <c r="F458">
        <f>(FruitDMg!F458/FruitFW!F458)*100</f>
        <v>17.100000000000005</v>
      </c>
    </row>
    <row r="459" spans="1:6" x14ac:dyDescent="0.25">
      <c r="A459" t="s">
        <v>8</v>
      </c>
      <c r="B459" s="2">
        <v>43221</v>
      </c>
      <c r="C459">
        <f t="shared" si="6"/>
        <v>2018</v>
      </c>
      <c r="E459" t="s">
        <v>6</v>
      </c>
      <c r="F459">
        <f>(FruitDMg!F459/FruitFW!F459)*100</f>
        <v>15.7</v>
      </c>
    </row>
    <row r="460" spans="1:6" x14ac:dyDescent="0.25">
      <c r="A460" t="s">
        <v>8</v>
      </c>
      <c r="B460" s="2">
        <v>43221</v>
      </c>
      <c r="C460">
        <f t="shared" si="6"/>
        <v>2018</v>
      </c>
      <c r="E460" t="s">
        <v>6</v>
      </c>
      <c r="F460">
        <f>(FruitDMg!F460/FruitFW!F460)*100</f>
        <v>16.600000000000001</v>
      </c>
    </row>
    <row r="461" spans="1:6" x14ac:dyDescent="0.25">
      <c r="A461" t="s">
        <v>8</v>
      </c>
      <c r="B461" s="2">
        <v>43221</v>
      </c>
      <c r="C461">
        <f t="shared" si="6"/>
        <v>2018</v>
      </c>
      <c r="E461" t="s">
        <v>6</v>
      </c>
      <c r="F461">
        <f>(FruitDMg!F461/FruitFW!F461)*100</f>
        <v>17</v>
      </c>
    </row>
    <row r="462" spans="1:6" x14ac:dyDescent="0.25">
      <c r="A462" t="s">
        <v>8</v>
      </c>
      <c r="B462" s="2">
        <v>43221</v>
      </c>
      <c r="C462">
        <f t="shared" si="6"/>
        <v>2018</v>
      </c>
      <c r="E462" t="s">
        <v>6</v>
      </c>
      <c r="F462">
        <f>(FruitDMg!F462/FruitFW!F462)*100</f>
        <v>17.2</v>
      </c>
    </row>
    <row r="463" spans="1:6" x14ac:dyDescent="0.25">
      <c r="A463" t="s">
        <v>8</v>
      </c>
      <c r="B463" s="2">
        <v>43234</v>
      </c>
      <c r="C463">
        <f t="shared" si="6"/>
        <v>2018</v>
      </c>
      <c r="E463" t="s">
        <v>6</v>
      </c>
      <c r="F463">
        <f>(FruitDMg!F463/FruitFW!F463)*100</f>
        <v>16.600000000000001</v>
      </c>
    </row>
    <row r="464" spans="1:6" x14ac:dyDescent="0.25">
      <c r="A464" t="s">
        <v>8</v>
      </c>
      <c r="B464" s="2">
        <v>43234</v>
      </c>
      <c r="C464">
        <f t="shared" si="6"/>
        <v>2018</v>
      </c>
      <c r="E464" t="s">
        <v>6</v>
      </c>
      <c r="F464">
        <f>(FruitDMg!F464/FruitFW!F464)*100</f>
        <v>17.899999999999999</v>
      </c>
    </row>
    <row r="465" spans="1:6" x14ac:dyDescent="0.25">
      <c r="A465" t="s">
        <v>8</v>
      </c>
      <c r="B465" s="2">
        <v>43235</v>
      </c>
      <c r="C465">
        <f t="shared" si="6"/>
        <v>2018</v>
      </c>
      <c r="E465" t="s">
        <v>6</v>
      </c>
      <c r="F465">
        <f>(FruitDMg!F465/FruitFW!F465)*100</f>
        <v>16</v>
      </c>
    </row>
    <row r="466" spans="1:6" x14ac:dyDescent="0.25">
      <c r="A466" t="s">
        <v>8</v>
      </c>
      <c r="B466" s="2">
        <v>43235</v>
      </c>
      <c r="C466">
        <f t="shared" si="6"/>
        <v>2018</v>
      </c>
      <c r="E466" t="s">
        <v>6</v>
      </c>
      <c r="F466">
        <f>(FruitDMg!F466/FruitFW!F466)*100</f>
        <v>17.7</v>
      </c>
    </row>
    <row r="467" spans="1:6" x14ac:dyDescent="0.25">
      <c r="A467" t="s">
        <v>8</v>
      </c>
      <c r="B467" s="2">
        <v>43248</v>
      </c>
      <c r="C467">
        <f t="shared" si="6"/>
        <v>2018</v>
      </c>
      <c r="E467" t="s">
        <v>6</v>
      </c>
      <c r="F467">
        <f>(FruitDMg!F467/FruitFW!F467)*100</f>
        <v>17.2</v>
      </c>
    </row>
    <row r="468" spans="1:6" x14ac:dyDescent="0.25">
      <c r="A468" t="s">
        <v>8</v>
      </c>
      <c r="B468" s="2">
        <v>43248</v>
      </c>
      <c r="C468">
        <f t="shared" si="6"/>
        <v>2018</v>
      </c>
      <c r="E468" t="s">
        <v>6</v>
      </c>
      <c r="F468">
        <f>(FruitDMg!F468/FruitFW!F468)*100</f>
        <v>18.399999999999999</v>
      </c>
    </row>
    <row r="469" spans="1:6" x14ac:dyDescent="0.25">
      <c r="A469" t="s">
        <v>8</v>
      </c>
      <c r="B469" s="2">
        <v>43249</v>
      </c>
      <c r="C469">
        <f t="shared" si="6"/>
        <v>2018</v>
      </c>
      <c r="E469" t="s">
        <v>6</v>
      </c>
      <c r="F469">
        <f>(FruitDMg!F469/FruitFW!F469)*100</f>
        <v>16.600000000000001</v>
      </c>
    </row>
    <row r="470" spans="1:6" x14ac:dyDescent="0.25">
      <c r="A470" t="s">
        <v>8</v>
      </c>
      <c r="B470" s="2">
        <v>43249</v>
      </c>
      <c r="C470">
        <f t="shared" si="6"/>
        <v>2018</v>
      </c>
      <c r="E470" t="s">
        <v>6</v>
      </c>
      <c r="F470">
        <f>(FruitDMg!F470/FruitFW!F470)*100</f>
        <v>17.8</v>
      </c>
    </row>
    <row r="471" spans="1:6" x14ac:dyDescent="0.25">
      <c r="A471" t="s">
        <v>8</v>
      </c>
      <c r="B471" s="2">
        <v>43479</v>
      </c>
      <c r="C471">
        <f t="shared" si="6"/>
        <v>2019</v>
      </c>
      <c r="E471" t="s">
        <v>6</v>
      </c>
      <c r="F471">
        <f>(FruitDMg!F471/FruitFW!F471)*100</f>
        <v>8</v>
      </c>
    </row>
    <row r="472" spans="1:6" x14ac:dyDescent="0.25">
      <c r="A472" t="s">
        <v>8</v>
      </c>
      <c r="B472" s="2">
        <v>43479</v>
      </c>
      <c r="C472">
        <f t="shared" si="6"/>
        <v>2019</v>
      </c>
      <c r="E472" t="s">
        <v>6</v>
      </c>
      <c r="F472">
        <f>(FruitDMg!F472/FruitFW!F472)*100</f>
        <v>7.4000000000000012</v>
      </c>
    </row>
    <row r="473" spans="1:6" x14ac:dyDescent="0.25">
      <c r="A473" t="s">
        <v>8</v>
      </c>
      <c r="B473" s="2">
        <v>43479</v>
      </c>
      <c r="C473">
        <f t="shared" si="6"/>
        <v>2019</v>
      </c>
      <c r="E473" t="s">
        <v>6</v>
      </c>
      <c r="F473">
        <f>(FruitDMg!F473/FruitFW!F473)*100</f>
        <v>7.6</v>
      </c>
    </row>
    <row r="474" spans="1:6" x14ac:dyDescent="0.25">
      <c r="A474" t="s">
        <v>8</v>
      </c>
      <c r="B474" s="2">
        <v>43479</v>
      </c>
      <c r="C474">
        <f t="shared" si="6"/>
        <v>2019</v>
      </c>
      <c r="E474" t="s">
        <v>6</v>
      </c>
      <c r="F474">
        <f>(FruitDMg!F474/FruitFW!F474)*100</f>
        <v>7.7999999999999989</v>
      </c>
    </row>
    <row r="475" spans="1:6" x14ac:dyDescent="0.25">
      <c r="A475" t="s">
        <v>8</v>
      </c>
      <c r="B475" s="2">
        <v>43514</v>
      </c>
      <c r="C475">
        <f t="shared" si="6"/>
        <v>2019</v>
      </c>
      <c r="E475" t="s">
        <v>6</v>
      </c>
      <c r="F475">
        <f>(FruitDMg!F475/FruitFW!F475)*100</f>
        <v>13.3</v>
      </c>
    </row>
    <row r="476" spans="1:6" x14ac:dyDescent="0.25">
      <c r="A476" t="s">
        <v>8</v>
      </c>
      <c r="B476" s="2">
        <v>43514</v>
      </c>
      <c r="C476">
        <f t="shared" si="6"/>
        <v>2019</v>
      </c>
      <c r="E476" t="s">
        <v>6</v>
      </c>
      <c r="F476">
        <f>(FruitDMg!F476/FruitFW!F476)*100</f>
        <v>12.800000000000002</v>
      </c>
    </row>
    <row r="477" spans="1:6" x14ac:dyDescent="0.25">
      <c r="A477" t="s">
        <v>8</v>
      </c>
      <c r="B477" s="2">
        <v>43514</v>
      </c>
      <c r="C477">
        <f t="shared" si="6"/>
        <v>2019</v>
      </c>
      <c r="E477" t="s">
        <v>6</v>
      </c>
      <c r="F477">
        <f>(FruitDMg!F477/FruitFW!F477)*100</f>
        <v>12.899999999999997</v>
      </c>
    </row>
    <row r="478" spans="1:6" x14ac:dyDescent="0.25">
      <c r="A478" t="s">
        <v>8</v>
      </c>
      <c r="B478" s="2">
        <v>43514</v>
      </c>
      <c r="C478">
        <f t="shared" si="6"/>
        <v>2019</v>
      </c>
      <c r="E478" t="s">
        <v>6</v>
      </c>
      <c r="F478">
        <f>(FruitDMg!F478/FruitFW!F478)*100</f>
        <v>13.4</v>
      </c>
    </row>
    <row r="479" spans="1:6" x14ac:dyDescent="0.25">
      <c r="A479" t="s">
        <v>8</v>
      </c>
      <c r="B479" s="2">
        <v>43528</v>
      </c>
      <c r="C479">
        <f t="shared" si="6"/>
        <v>2019</v>
      </c>
      <c r="E479" t="s">
        <v>6</v>
      </c>
      <c r="F479">
        <f>(FruitDMg!F479/FruitFW!F479)*100</f>
        <v>14.499999999999998</v>
      </c>
    </row>
    <row r="480" spans="1:6" x14ac:dyDescent="0.25">
      <c r="A480" t="s">
        <v>8</v>
      </c>
      <c r="B480" s="2">
        <v>43528</v>
      </c>
      <c r="C480">
        <f t="shared" si="6"/>
        <v>2019</v>
      </c>
      <c r="E480" t="s">
        <v>6</v>
      </c>
      <c r="F480">
        <f>(FruitDMg!F480/FruitFW!F480)*100</f>
        <v>14.700000000000003</v>
      </c>
    </row>
    <row r="481" spans="1:6" x14ac:dyDescent="0.25">
      <c r="A481" t="s">
        <v>8</v>
      </c>
      <c r="B481" s="2">
        <v>43529</v>
      </c>
      <c r="C481">
        <f t="shared" si="6"/>
        <v>2019</v>
      </c>
      <c r="E481" t="s">
        <v>6</v>
      </c>
      <c r="F481">
        <f>(FruitDMg!F481/FruitFW!F481)*100</f>
        <v>15.200000000000003</v>
      </c>
    </row>
    <row r="482" spans="1:6" x14ac:dyDescent="0.25">
      <c r="A482" t="s">
        <v>8</v>
      </c>
      <c r="B482" s="2">
        <v>43542</v>
      </c>
      <c r="C482">
        <f t="shared" si="6"/>
        <v>2019</v>
      </c>
      <c r="E482" t="s">
        <v>6</v>
      </c>
      <c r="F482">
        <f>(FruitDMg!F482/FruitFW!F482)*100</f>
        <v>15.8</v>
      </c>
    </row>
    <row r="483" spans="1:6" x14ac:dyDescent="0.25">
      <c r="A483" t="s">
        <v>8</v>
      </c>
      <c r="B483" s="2">
        <v>43542</v>
      </c>
      <c r="C483">
        <f t="shared" si="6"/>
        <v>2019</v>
      </c>
      <c r="E483" t="s">
        <v>6</v>
      </c>
      <c r="F483">
        <f>(FruitDMg!F483/FruitFW!F483)*100</f>
        <v>15.4</v>
      </c>
    </row>
    <row r="484" spans="1:6" x14ac:dyDescent="0.25">
      <c r="A484" t="s">
        <v>8</v>
      </c>
      <c r="B484" s="2">
        <v>43543</v>
      </c>
      <c r="C484">
        <f t="shared" si="6"/>
        <v>2019</v>
      </c>
      <c r="E484" t="s">
        <v>6</v>
      </c>
      <c r="F484">
        <f>(FruitDMg!F484/FruitFW!F484)*100</f>
        <v>16</v>
      </c>
    </row>
    <row r="485" spans="1:6" x14ac:dyDescent="0.25">
      <c r="A485" t="s">
        <v>8</v>
      </c>
      <c r="B485" s="2">
        <v>43557</v>
      </c>
      <c r="C485">
        <f t="shared" si="6"/>
        <v>2019</v>
      </c>
      <c r="E485" t="s">
        <v>6</v>
      </c>
      <c r="F485">
        <f>(FruitDMg!F485/FruitFW!F485)*100</f>
        <v>16.100000000000001</v>
      </c>
    </row>
    <row r="486" spans="1:6" x14ac:dyDescent="0.25">
      <c r="A486" t="s">
        <v>8</v>
      </c>
      <c r="B486" s="2">
        <v>43557</v>
      </c>
      <c r="C486">
        <f t="shared" si="6"/>
        <v>2019</v>
      </c>
      <c r="E486" t="s">
        <v>6</v>
      </c>
      <c r="F486">
        <f>(FruitDMg!F486/FruitFW!F486)*100</f>
        <v>16.400000000000002</v>
      </c>
    </row>
    <row r="487" spans="1:6" x14ac:dyDescent="0.25">
      <c r="A487" t="s">
        <v>8</v>
      </c>
      <c r="B487" s="2">
        <v>43557</v>
      </c>
      <c r="C487">
        <f t="shared" si="6"/>
        <v>2019</v>
      </c>
      <c r="E487" t="s">
        <v>6</v>
      </c>
      <c r="F487">
        <f>(FruitDMg!F487/FruitFW!F487)*100</f>
        <v>16.600000000000001</v>
      </c>
    </row>
    <row r="488" spans="1:6" x14ac:dyDescent="0.25">
      <c r="A488" t="s">
        <v>8</v>
      </c>
      <c r="B488" s="2">
        <v>43557</v>
      </c>
      <c r="C488">
        <f t="shared" si="6"/>
        <v>2019</v>
      </c>
      <c r="E488" t="s">
        <v>6</v>
      </c>
      <c r="F488">
        <f>(FruitDMg!F488/FruitFW!F488)*100</f>
        <v>15.7</v>
      </c>
    </row>
    <row r="489" spans="1:6" x14ac:dyDescent="0.25">
      <c r="A489" t="s">
        <v>8</v>
      </c>
      <c r="B489" s="2">
        <v>43564</v>
      </c>
      <c r="C489">
        <f t="shared" si="6"/>
        <v>2019</v>
      </c>
      <c r="E489" t="s">
        <v>6</v>
      </c>
      <c r="F489">
        <f>(FruitDMg!F489/FruitFW!F489)*100</f>
        <v>16.5</v>
      </c>
    </row>
    <row r="490" spans="1:6" x14ac:dyDescent="0.25">
      <c r="A490" t="s">
        <v>8</v>
      </c>
      <c r="B490" s="2">
        <v>43564</v>
      </c>
      <c r="C490">
        <f t="shared" si="6"/>
        <v>2019</v>
      </c>
      <c r="E490" t="s">
        <v>6</v>
      </c>
      <c r="F490">
        <f>(FruitDMg!F490/FruitFW!F490)*100</f>
        <v>16.3</v>
      </c>
    </row>
    <row r="491" spans="1:6" x14ac:dyDescent="0.25">
      <c r="A491" t="s">
        <v>8</v>
      </c>
      <c r="B491" s="2">
        <v>43564</v>
      </c>
      <c r="C491">
        <f t="shared" si="6"/>
        <v>2019</v>
      </c>
      <c r="E491" t="s">
        <v>6</v>
      </c>
      <c r="F491">
        <f>(FruitDMg!F491/FruitFW!F491)*100</f>
        <v>16.899999999999999</v>
      </c>
    </row>
    <row r="492" spans="1:6" x14ac:dyDescent="0.25">
      <c r="A492" t="s">
        <v>8</v>
      </c>
      <c r="B492" s="2">
        <v>43564</v>
      </c>
      <c r="C492">
        <f t="shared" si="6"/>
        <v>2019</v>
      </c>
      <c r="E492" t="s">
        <v>6</v>
      </c>
      <c r="F492">
        <f>(FruitDMg!F492/FruitFW!F492)*100</f>
        <v>16.3</v>
      </c>
    </row>
    <row r="493" spans="1:6" x14ac:dyDescent="0.25">
      <c r="A493" t="s">
        <v>8</v>
      </c>
      <c r="B493" s="2">
        <v>43570</v>
      </c>
      <c r="C493">
        <f t="shared" si="6"/>
        <v>2019</v>
      </c>
      <c r="E493" t="s">
        <v>6</v>
      </c>
      <c r="F493">
        <f>(FruitDMg!F493/FruitFW!F493)*100</f>
        <v>16.600000000000001</v>
      </c>
    </row>
    <row r="494" spans="1:6" x14ac:dyDescent="0.25">
      <c r="A494" t="s">
        <v>8</v>
      </c>
      <c r="B494" s="2">
        <v>43570</v>
      </c>
      <c r="C494">
        <f t="shared" si="6"/>
        <v>2019</v>
      </c>
      <c r="E494" t="s">
        <v>6</v>
      </c>
      <c r="F494">
        <f>(FruitDMg!F494/FruitFW!F494)*100</f>
        <v>16.7</v>
      </c>
    </row>
    <row r="495" spans="1:6" x14ac:dyDescent="0.25">
      <c r="A495" t="s">
        <v>8</v>
      </c>
      <c r="B495" s="2">
        <v>43570</v>
      </c>
      <c r="C495">
        <f t="shared" si="6"/>
        <v>2019</v>
      </c>
      <c r="E495" t="s">
        <v>6</v>
      </c>
      <c r="F495">
        <f>(FruitDMg!F495/FruitFW!F495)*100</f>
        <v>17.299999999999997</v>
      </c>
    </row>
    <row r="496" spans="1:6" x14ac:dyDescent="0.25">
      <c r="A496" t="s">
        <v>8</v>
      </c>
      <c r="B496" s="2">
        <v>43570</v>
      </c>
      <c r="C496">
        <f t="shared" si="6"/>
        <v>2019</v>
      </c>
      <c r="E496" t="s">
        <v>6</v>
      </c>
      <c r="F496">
        <f>(FruitDMg!F496/FruitFW!F496)*100</f>
        <v>16.399999999999999</v>
      </c>
    </row>
    <row r="497" spans="1:6" x14ac:dyDescent="0.25">
      <c r="A497" t="s">
        <v>8</v>
      </c>
      <c r="B497" s="2">
        <v>43577</v>
      </c>
      <c r="C497">
        <f t="shared" si="6"/>
        <v>2019</v>
      </c>
      <c r="E497" t="s">
        <v>6</v>
      </c>
      <c r="F497">
        <f>(FruitDMg!F497/FruitFW!F497)*100</f>
        <v>16.400000000000002</v>
      </c>
    </row>
    <row r="498" spans="1:6" x14ac:dyDescent="0.25">
      <c r="A498" t="s">
        <v>8</v>
      </c>
      <c r="B498" s="2">
        <v>43577</v>
      </c>
      <c r="C498">
        <f t="shared" si="6"/>
        <v>2019</v>
      </c>
      <c r="E498" t="s">
        <v>6</v>
      </c>
      <c r="F498">
        <f>(FruitDMg!F498/FruitFW!F498)*100</f>
        <v>16.8</v>
      </c>
    </row>
    <row r="499" spans="1:6" x14ac:dyDescent="0.25">
      <c r="A499" t="s">
        <v>8</v>
      </c>
      <c r="B499" s="2">
        <v>43577</v>
      </c>
      <c r="C499">
        <f t="shared" si="6"/>
        <v>2019</v>
      </c>
      <c r="E499" t="s">
        <v>6</v>
      </c>
      <c r="F499">
        <f>(FruitDMg!F499/FruitFW!F499)*100</f>
        <v>17.399999999999999</v>
      </c>
    </row>
    <row r="500" spans="1:6" x14ac:dyDescent="0.25">
      <c r="A500" t="s">
        <v>8</v>
      </c>
      <c r="B500" s="2">
        <v>43577</v>
      </c>
      <c r="C500">
        <f t="shared" si="6"/>
        <v>2019</v>
      </c>
      <c r="E500" t="s">
        <v>6</v>
      </c>
      <c r="F500">
        <f>(FruitDMg!F500/FruitFW!F500)*100</f>
        <v>16.3</v>
      </c>
    </row>
    <row r="501" spans="1:6" x14ac:dyDescent="0.25">
      <c r="A501" t="s">
        <v>8</v>
      </c>
      <c r="B501" s="2">
        <v>43584</v>
      </c>
      <c r="C501">
        <f t="shared" si="6"/>
        <v>2019</v>
      </c>
      <c r="E501" t="s">
        <v>6</v>
      </c>
      <c r="F501">
        <f>(FruitDMg!F501/FruitFW!F501)*100</f>
        <v>16.7</v>
      </c>
    </row>
    <row r="502" spans="1:6" x14ac:dyDescent="0.25">
      <c r="A502" t="s">
        <v>8</v>
      </c>
      <c r="B502" s="2">
        <v>43584</v>
      </c>
      <c r="C502">
        <f t="shared" si="6"/>
        <v>2019</v>
      </c>
      <c r="E502" t="s">
        <v>6</v>
      </c>
      <c r="F502">
        <f>(FruitDMg!F502/FruitFW!F502)*100</f>
        <v>16.899999999999999</v>
      </c>
    </row>
    <row r="503" spans="1:6" x14ac:dyDescent="0.25">
      <c r="A503" t="s">
        <v>8</v>
      </c>
      <c r="B503" s="2">
        <v>43584</v>
      </c>
      <c r="C503">
        <f t="shared" si="6"/>
        <v>2019</v>
      </c>
      <c r="E503" t="s">
        <v>6</v>
      </c>
      <c r="F503">
        <f>(FruitDMg!F503/FruitFW!F503)*100</f>
        <v>17.599999999999998</v>
      </c>
    </row>
    <row r="504" spans="1:6" x14ac:dyDescent="0.25">
      <c r="A504" t="s">
        <v>8</v>
      </c>
      <c r="B504" s="2">
        <v>43584</v>
      </c>
      <c r="C504">
        <f t="shared" si="6"/>
        <v>2019</v>
      </c>
      <c r="E504" t="s">
        <v>6</v>
      </c>
      <c r="F504">
        <f>(FruitDMg!F504/FruitFW!F504)*100</f>
        <v>16.600000000000001</v>
      </c>
    </row>
    <row r="505" spans="1:6" x14ac:dyDescent="0.25">
      <c r="A505" t="s">
        <v>8</v>
      </c>
      <c r="B505" s="2">
        <v>43612</v>
      </c>
      <c r="C505">
        <f t="shared" si="6"/>
        <v>2019</v>
      </c>
      <c r="E505" t="s">
        <v>6</v>
      </c>
      <c r="F505">
        <f>(FruitDMg!F505/FruitFW!F505)*100</f>
        <v>18.3</v>
      </c>
    </row>
    <row r="506" spans="1:6" x14ac:dyDescent="0.25">
      <c r="A506" t="s">
        <v>8</v>
      </c>
      <c r="B506" s="2">
        <v>43612</v>
      </c>
      <c r="C506">
        <f t="shared" si="6"/>
        <v>2019</v>
      </c>
      <c r="E506" t="s">
        <v>6</v>
      </c>
      <c r="F506">
        <f>(FruitDMg!F506/FruitFW!F506)*100</f>
        <v>17.5</v>
      </c>
    </row>
    <row r="507" spans="1:6" x14ac:dyDescent="0.25">
      <c r="A507" t="s">
        <v>8</v>
      </c>
      <c r="B507" s="2">
        <v>43613</v>
      </c>
      <c r="C507">
        <f t="shared" si="6"/>
        <v>2019</v>
      </c>
      <c r="E507" t="s">
        <v>6</v>
      </c>
      <c r="F507">
        <f>(FruitDMg!F507/FruitFW!F507)*100</f>
        <v>17.599999999999998</v>
      </c>
    </row>
    <row r="508" spans="1:6" x14ac:dyDescent="0.25">
      <c r="A508" t="s">
        <v>8</v>
      </c>
      <c r="B508" s="2">
        <v>43613</v>
      </c>
      <c r="C508">
        <f t="shared" ref="C508:C571" si="7">YEAR(B508)</f>
        <v>2019</v>
      </c>
      <c r="E508" t="s">
        <v>6</v>
      </c>
      <c r="F508">
        <f>(FruitDMg!F508/FruitFW!F508)*100</f>
        <v>17.700000000000003</v>
      </c>
    </row>
    <row r="509" spans="1:6" x14ac:dyDescent="0.25">
      <c r="A509" t="s">
        <v>8</v>
      </c>
      <c r="B509" s="2">
        <v>43850</v>
      </c>
      <c r="C509">
        <f t="shared" si="7"/>
        <v>2020</v>
      </c>
      <c r="E509" t="s">
        <v>6</v>
      </c>
      <c r="F509">
        <f>(FruitDMg!F509/FruitFW!F509)*100</f>
        <v>8.6</v>
      </c>
    </row>
    <row r="510" spans="1:6" x14ac:dyDescent="0.25">
      <c r="A510" t="s">
        <v>8</v>
      </c>
      <c r="B510" s="2">
        <v>43850</v>
      </c>
      <c r="C510">
        <f t="shared" si="7"/>
        <v>2020</v>
      </c>
      <c r="E510" t="s">
        <v>6</v>
      </c>
      <c r="F510">
        <f>(FruitDMg!F510/FruitFW!F510)*100</f>
        <v>8.6000000000000014</v>
      </c>
    </row>
    <row r="511" spans="1:6" x14ac:dyDescent="0.25">
      <c r="A511" t="s">
        <v>8</v>
      </c>
      <c r="B511" s="2">
        <v>43851</v>
      </c>
      <c r="C511">
        <f t="shared" si="7"/>
        <v>2020</v>
      </c>
      <c r="E511" t="s">
        <v>6</v>
      </c>
      <c r="F511">
        <f>(FruitDMg!F511/FruitFW!F511)*100</f>
        <v>8.9</v>
      </c>
    </row>
    <row r="512" spans="1:6" x14ac:dyDescent="0.25">
      <c r="A512" t="s">
        <v>8</v>
      </c>
      <c r="B512" s="2">
        <v>43878</v>
      </c>
      <c r="C512">
        <f t="shared" si="7"/>
        <v>2020</v>
      </c>
      <c r="E512" t="s">
        <v>6</v>
      </c>
      <c r="F512">
        <f>(FruitDMg!F512/FruitFW!F512)*100</f>
        <v>13.3</v>
      </c>
    </row>
    <row r="513" spans="1:6" x14ac:dyDescent="0.25">
      <c r="A513" t="s">
        <v>8</v>
      </c>
      <c r="B513" s="2">
        <v>43878</v>
      </c>
      <c r="C513">
        <f t="shared" si="7"/>
        <v>2020</v>
      </c>
      <c r="E513" t="s">
        <v>6</v>
      </c>
      <c r="F513">
        <f>(FruitDMg!F513/FruitFW!F513)*100</f>
        <v>12.799999999999997</v>
      </c>
    </row>
    <row r="514" spans="1:6" x14ac:dyDescent="0.25">
      <c r="A514" t="s">
        <v>8</v>
      </c>
      <c r="B514" s="2">
        <v>43880</v>
      </c>
      <c r="C514">
        <f t="shared" si="7"/>
        <v>2020</v>
      </c>
      <c r="E514" t="s">
        <v>6</v>
      </c>
      <c r="F514">
        <f>(FruitDMg!F514/FruitFW!F514)*100</f>
        <v>13.5</v>
      </c>
    </row>
    <row r="515" spans="1:6" x14ac:dyDescent="0.25">
      <c r="A515" t="s">
        <v>8</v>
      </c>
      <c r="B515" s="2">
        <v>43892</v>
      </c>
      <c r="C515">
        <f t="shared" si="7"/>
        <v>2020</v>
      </c>
      <c r="E515" t="s">
        <v>6</v>
      </c>
      <c r="F515">
        <f>(FruitDMg!F515/FruitFW!F515)*100</f>
        <v>14.900000000000002</v>
      </c>
    </row>
    <row r="516" spans="1:6" x14ac:dyDescent="0.25">
      <c r="A516" t="s">
        <v>8</v>
      </c>
      <c r="B516" s="2">
        <v>43892</v>
      </c>
      <c r="C516">
        <f t="shared" si="7"/>
        <v>2020</v>
      </c>
      <c r="E516" t="s">
        <v>6</v>
      </c>
      <c r="F516">
        <f>(FruitDMg!F516/FruitFW!F516)*100</f>
        <v>14.900000000000002</v>
      </c>
    </row>
    <row r="517" spans="1:6" x14ac:dyDescent="0.25">
      <c r="A517" t="s">
        <v>8</v>
      </c>
      <c r="B517" s="2">
        <v>43894</v>
      </c>
      <c r="C517">
        <f t="shared" si="7"/>
        <v>2020</v>
      </c>
      <c r="E517" t="s">
        <v>6</v>
      </c>
      <c r="F517">
        <f>(FruitDMg!F517/FruitFW!F517)*100</f>
        <v>14.400000000000002</v>
      </c>
    </row>
    <row r="518" spans="1:6" x14ac:dyDescent="0.25">
      <c r="A518" t="s">
        <v>8</v>
      </c>
      <c r="B518" s="2">
        <v>43906</v>
      </c>
      <c r="C518">
        <f t="shared" si="7"/>
        <v>2020</v>
      </c>
      <c r="E518" t="s">
        <v>6</v>
      </c>
      <c r="F518">
        <f>(FruitDMg!F518/FruitFW!F518)*100</f>
        <v>16</v>
      </c>
    </row>
    <row r="519" spans="1:6" x14ac:dyDescent="0.25">
      <c r="A519" t="s">
        <v>8</v>
      </c>
      <c r="B519" s="2">
        <v>43906</v>
      </c>
      <c r="C519">
        <f t="shared" si="7"/>
        <v>2020</v>
      </c>
      <c r="E519" t="s">
        <v>6</v>
      </c>
      <c r="F519">
        <f>(FruitDMg!F519/FruitFW!F519)*100</f>
        <v>16</v>
      </c>
    </row>
    <row r="520" spans="1:6" x14ac:dyDescent="0.25">
      <c r="A520" t="s">
        <v>8</v>
      </c>
      <c r="B520" s="2">
        <v>43907</v>
      </c>
      <c r="C520">
        <f t="shared" si="7"/>
        <v>2020</v>
      </c>
      <c r="E520" t="s">
        <v>6</v>
      </c>
      <c r="F520">
        <f>(FruitDMg!F520/FruitFW!F520)*100</f>
        <v>15.4</v>
      </c>
    </row>
    <row r="521" spans="1:6" x14ac:dyDescent="0.25">
      <c r="A521" t="s">
        <v>8</v>
      </c>
      <c r="B521" s="2">
        <v>43950</v>
      </c>
      <c r="C521">
        <f t="shared" si="7"/>
        <v>2020</v>
      </c>
      <c r="E521" t="s">
        <v>6</v>
      </c>
      <c r="F521">
        <f>(FruitDMg!F521/FruitFW!F521)*100</f>
        <v>18.5</v>
      </c>
    </row>
    <row r="522" spans="1:6" x14ac:dyDescent="0.25">
      <c r="A522" t="s">
        <v>8</v>
      </c>
      <c r="B522" s="2">
        <v>43950</v>
      </c>
      <c r="C522">
        <f t="shared" si="7"/>
        <v>2020</v>
      </c>
      <c r="E522" t="s">
        <v>6</v>
      </c>
      <c r="F522">
        <f>(FruitDMg!F522/FruitFW!F522)*100</f>
        <v>18.5</v>
      </c>
    </row>
    <row r="523" spans="1:6" x14ac:dyDescent="0.25">
      <c r="A523" t="s">
        <v>8</v>
      </c>
      <c r="B523" s="2">
        <v>43950</v>
      </c>
      <c r="C523">
        <f t="shared" si="7"/>
        <v>2020</v>
      </c>
      <c r="E523" t="s">
        <v>6</v>
      </c>
      <c r="F523">
        <f>(FruitDMg!F523/FruitFW!F523)*100</f>
        <v>17.299999999999997</v>
      </c>
    </row>
    <row r="524" spans="1:6" x14ac:dyDescent="0.25">
      <c r="A524" t="s">
        <v>8</v>
      </c>
      <c r="B524" s="2">
        <v>43963</v>
      </c>
      <c r="C524">
        <f t="shared" si="7"/>
        <v>2020</v>
      </c>
      <c r="E524" t="s">
        <v>6</v>
      </c>
      <c r="F524">
        <f>(FruitDMg!F524/FruitFW!F524)*100</f>
        <v>18.899999999999999</v>
      </c>
    </row>
    <row r="525" spans="1:6" x14ac:dyDescent="0.25">
      <c r="A525" t="s">
        <v>8</v>
      </c>
      <c r="B525" s="2">
        <v>43964</v>
      </c>
      <c r="C525">
        <f t="shared" si="7"/>
        <v>2020</v>
      </c>
      <c r="E525" t="s">
        <v>6</v>
      </c>
      <c r="F525">
        <f>(FruitDMg!F525/FruitFW!F525)*100</f>
        <v>18.8</v>
      </c>
    </row>
    <row r="526" spans="1:6" x14ac:dyDescent="0.25">
      <c r="A526" t="s">
        <v>8</v>
      </c>
      <c r="B526" s="2">
        <v>43964</v>
      </c>
      <c r="C526">
        <f t="shared" si="7"/>
        <v>2020</v>
      </c>
      <c r="E526" t="s">
        <v>6</v>
      </c>
      <c r="F526">
        <f>(FruitDMg!F526/FruitFW!F526)*100</f>
        <v>17.5</v>
      </c>
    </row>
    <row r="527" spans="1:6" x14ac:dyDescent="0.25">
      <c r="A527" t="s">
        <v>8</v>
      </c>
      <c r="B527" s="2">
        <v>43978</v>
      </c>
      <c r="C527">
        <f t="shared" si="7"/>
        <v>2020</v>
      </c>
      <c r="E527" t="s">
        <v>6</v>
      </c>
      <c r="F527">
        <f>(FruitDMg!F527/FruitFW!F527)*100</f>
        <v>18.999999999999996</v>
      </c>
    </row>
    <row r="528" spans="1:6" x14ac:dyDescent="0.25">
      <c r="A528" t="s">
        <v>8</v>
      </c>
      <c r="B528" s="2">
        <v>43978</v>
      </c>
      <c r="C528">
        <f t="shared" si="7"/>
        <v>2020</v>
      </c>
      <c r="E528" t="s">
        <v>6</v>
      </c>
      <c r="F528">
        <f>(FruitDMg!F528/FruitFW!F528)*100</f>
        <v>18.199999999999996</v>
      </c>
    </row>
    <row r="529" spans="1:6" x14ac:dyDescent="0.25">
      <c r="A529" t="s">
        <v>8</v>
      </c>
      <c r="B529" s="2">
        <v>44223</v>
      </c>
      <c r="C529">
        <f t="shared" si="7"/>
        <v>2021</v>
      </c>
      <c r="E529" t="s">
        <v>6</v>
      </c>
      <c r="F529">
        <f>(FruitDMg!F529/FruitFW!F529)*100</f>
        <v>10.13879683</v>
      </c>
    </row>
    <row r="530" spans="1:6" x14ac:dyDescent="0.25">
      <c r="A530" t="s">
        <v>8</v>
      </c>
      <c r="B530" s="2">
        <v>44223</v>
      </c>
      <c r="C530">
        <f t="shared" si="7"/>
        <v>2021</v>
      </c>
      <c r="E530" t="s">
        <v>6</v>
      </c>
      <c r="F530">
        <f>(FruitDMg!F530/FruitFW!F530)*100</f>
        <v>8.9871780220000002</v>
      </c>
    </row>
    <row r="531" spans="1:6" x14ac:dyDescent="0.25">
      <c r="A531" t="s">
        <v>8</v>
      </c>
      <c r="B531" s="2">
        <v>44224</v>
      </c>
      <c r="C531">
        <f t="shared" si="7"/>
        <v>2021</v>
      </c>
      <c r="E531" t="s">
        <v>6</v>
      </c>
      <c r="F531">
        <f>(FruitDMg!F531/FruitFW!F531)*100</f>
        <v>9.5918194680000006</v>
      </c>
    </row>
    <row r="532" spans="1:6" x14ac:dyDescent="0.25">
      <c r="A532" t="s">
        <v>8</v>
      </c>
      <c r="B532" s="2">
        <v>44244</v>
      </c>
      <c r="C532">
        <f t="shared" si="7"/>
        <v>2021</v>
      </c>
      <c r="E532" t="s">
        <v>6</v>
      </c>
      <c r="F532">
        <f>(FruitDMg!F532/FruitFW!F532)*100</f>
        <v>12.588401129999999</v>
      </c>
    </row>
    <row r="533" spans="1:6" x14ac:dyDescent="0.25">
      <c r="A533" t="s">
        <v>8</v>
      </c>
      <c r="B533" s="2">
        <v>44245</v>
      </c>
      <c r="C533">
        <f t="shared" si="7"/>
        <v>2021</v>
      </c>
      <c r="E533" t="s">
        <v>6</v>
      </c>
      <c r="F533">
        <f>(FruitDMg!F533/FruitFW!F533)*100</f>
        <v>12.309720889999999</v>
      </c>
    </row>
    <row r="534" spans="1:6" x14ac:dyDescent="0.25">
      <c r="A534" t="s">
        <v>8</v>
      </c>
      <c r="B534" s="2">
        <v>44245</v>
      </c>
      <c r="C534">
        <f t="shared" si="7"/>
        <v>2021</v>
      </c>
      <c r="E534" t="s">
        <v>6</v>
      </c>
      <c r="F534">
        <f>(FruitDMg!F534/FruitFW!F534)*100</f>
        <v>11.80923168</v>
      </c>
    </row>
    <row r="535" spans="1:6" x14ac:dyDescent="0.25">
      <c r="A535" t="s">
        <v>8</v>
      </c>
      <c r="B535" s="2">
        <v>44258</v>
      </c>
      <c r="C535">
        <f t="shared" si="7"/>
        <v>2021</v>
      </c>
      <c r="E535" t="s">
        <v>6</v>
      </c>
      <c r="F535">
        <f>(FruitDMg!F535/FruitFW!F535)*100</f>
        <v>14.489709960000003</v>
      </c>
    </row>
    <row r="536" spans="1:6" x14ac:dyDescent="0.25">
      <c r="A536" t="s">
        <v>8</v>
      </c>
      <c r="B536" s="2">
        <v>44258</v>
      </c>
      <c r="C536">
        <f t="shared" si="7"/>
        <v>2021</v>
      </c>
      <c r="E536" t="s">
        <v>6</v>
      </c>
      <c r="F536">
        <f>(FruitDMg!F536/FruitFW!F536)*100</f>
        <v>15.025325560000002</v>
      </c>
    </row>
    <row r="537" spans="1:6" x14ac:dyDescent="0.25">
      <c r="A537" t="s">
        <v>8</v>
      </c>
      <c r="B537" s="2">
        <v>44258</v>
      </c>
      <c r="C537">
        <f t="shared" si="7"/>
        <v>2021</v>
      </c>
      <c r="E537" t="s">
        <v>6</v>
      </c>
      <c r="F537">
        <f>(FruitDMg!F537/FruitFW!F537)*100</f>
        <v>14.567588619999999</v>
      </c>
    </row>
    <row r="538" spans="1:6" x14ac:dyDescent="0.25">
      <c r="A538" t="s">
        <v>8</v>
      </c>
      <c r="B538" s="2">
        <v>44272</v>
      </c>
      <c r="C538">
        <f t="shared" si="7"/>
        <v>2021</v>
      </c>
      <c r="E538" t="s">
        <v>6</v>
      </c>
      <c r="F538">
        <f>(FruitDMg!F538/FruitFW!F538)*100</f>
        <v>15.51031553</v>
      </c>
    </row>
    <row r="539" spans="1:6" x14ac:dyDescent="0.25">
      <c r="A539" t="s">
        <v>8</v>
      </c>
      <c r="B539" s="2">
        <v>44272</v>
      </c>
      <c r="C539">
        <f t="shared" si="7"/>
        <v>2021</v>
      </c>
      <c r="E539" t="s">
        <v>6</v>
      </c>
      <c r="F539">
        <f>(FruitDMg!F539/FruitFW!F539)*100</f>
        <v>16.65752165</v>
      </c>
    </row>
    <row r="540" spans="1:6" x14ac:dyDescent="0.25">
      <c r="A540" t="s">
        <v>8</v>
      </c>
      <c r="B540" s="2">
        <v>44272</v>
      </c>
      <c r="C540">
        <f t="shared" si="7"/>
        <v>2021</v>
      </c>
      <c r="E540" t="s">
        <v>6</v>
      </c>
      <c r="F540">
        <f>(FruitDMg!F540/FruitFW!F540)*100</f>
        <v>16.516183529999999</v>
      </c>
    </row>
    <row r="541" spans="1:6" x14ac:dyDescent="0.25">
      <c r="A541" t="s">
        <v>8</v>
      </c>
      <c r="B541" s="2">
        <v>44286</v>
      </c>
      <c r="C541">
        <f t="shared" si="7"/>
        <v>2021</v>
      </c>
      <c r="E541" t="s">
        <v>6</v>
      </c>
      <c r="F541">
        <f>(FruitDMg!F541/FruitFW!F541)*100</f>
        <v>17.496831</v>
      </c>
    </row>
    <row r="542" spans="1:6" x14ac:dyDescent="0.25">
      <c r="A542" t="s">
        <v>8</v>
      </c>
      <c r="B542" s="2">
        <v>44287</v>
      </c>
      <c r="C542">
        <f t="shared" si="7"/>
        <v>2021</v>
      </c>
      <c r="E542" t="s">
        <v>6</v>
      </c>
      <c r="F542">
        <f>(FruitDMg!F542/FruitFW!F542)*100</f>
        <v>16.263976929999998</v>
      </c>
    </row>
    <row r="543" spans="1:6" x14ac:dyDescent="0.25">
      <c r="A543" t="s">
        <v>8</v>
      </c>
      <c r="B543" s="2">
        <v>44287</v>
      </c>
      <c r="C543">
        <f t="shared" si="7"/>
        <v>2021</v>
      </c>
      <c r="E543" t="s">
        <v>6</v>
      </c>
      <c r="F543">
        <f>(FruitDMg!F543/FruitFW!F543)*100</f>
        <v>16.644487419999997</v>
      </c>
    </row>
    <row r="544" spans="1:6" x14ac:dyDescent="0.25">
      <c r="A544" t="s">
        <v>8</v>
      </c>
      <c r="B544" s="2">
        <v>44300</v>
      </c>
      <c r="C544">
        <f t="shared" si="7"/>
        <v>2021</v>
      </c>
      <c r="E544" t="s">
        <v>6</v>
      </c>
      <c r="F544">
        <f>(FruitDMg!F544/FruitFW!F544)*100</f>
        <v>17.395084430000001</v>
      </c>
    </row>
    <row r="545" spans="1:6" x14ac:dyDescent="0.25">
      <c r="A545" t="s">
        <v>8</v>
      </c>
      <c r="B545" s="2">
        <v>44301</v>
      </c>
      <c r="C545">
        <f t="shared" si="7"/>
        <v>2021</v>
      </c>
      <c r="E545" t="s">
        <v>6</v>
      </c>
      <c r="F545">
        <f>(FruitDMg!F545/FruitFW!F545)*100</f>
        <v>17.0100801</v>
      </c>
    </row>
    <row r="546" spans="1:6" x14ac:dyDescent="0.25">
      <c r="A546" t="s">
        <v>8</v>
      </c>
      <c r="B546" s="2">
        <v>44301</v>
      </c>
      <c r="C546">
        <f t="shared" si="7"/>
        <v>2021</v>
      </c>
      <c r="E546" t="s">
        <v>6</v>
      </c>
      <c r="F546">
        <f>(FruitDMg!F546/FruitFW!F546)*100</f>
        <v>16.621431399999999</v>
      </c>
    </row>
    <row r="547" spans="1:6" x14ac:dyDescent="0.25">
      <c r="A547" t="s">
        <v>8</v>
      </c>
      <c r="B547" s="2">
        <v>44307</v>
      </c>
      <c r="C547">
        <f t="shared" si="7"/>
        <v>2021</v>
      </c>
      <c r="E547" t="s">
        <v>6</v>
      </c>
      <c r="F547">
        <f>(FruitDMg!F547/FruitFW!F547)*100</f>
        <v>17.17040458</v>
      </c>
    </row>
    <row r="548" spans="1:6" x14ac:dyDescent="0.25">
      <c r="A548" t="s">
        <v>8</v>
      </c>
      <c r="B548" s="2">
        <v>44307</v>
      </c>
      <c r="C548">
        <f t="shared" si="7"/>
        <v>2021</v>
      </c>
      <c r="E548" t="s">
        <v>6</v>
      </c>
      <c r="F548">
        <f>(FruitDMg!F548/FruitFW!F548)*100</f>
        <v>17.699558069999998</v>
      </c>
    </row>
    <row r="549" spans="1:6" x14ac:dyDescent="0.25">
      <c r="A549" t="s">
        <v>8</v>
      </c>
      <c r="B549" s="2">
        <v>44307</v>
      </c>
      <c r="C549">
        <f t="shared" si="7"/>
        <v>2021</v>
      </c>
      <c r="E549" t="s">
        <v>6</v>
      </c>
      <c r="F549">
        <f>(FruitDMg!F549/FruitFW!F549)*100</f>
        <v>17.108626829999999</v>
      </c>
    </row>
    <row r="550" spans="1:6" x14ac:dyDescent="0.25">
      <c r="A550" t="s">
        <v>8</v>
      </c>
      <c r="B550" s="2">
        <v>44315</v>
      </c>
      <c r="C550">
        <f t="shared" si="7"/>
        <v>2021</v>
      </c>
      <c r="E550" t="s">
        <v>6</v>
      </c>
      <c r="F550">
        <f>(FruitDMg!F550/FruitFW!F550)*100</f>
        <v>17.549679300000001</v>
      </c>
    </row>
    <row r="551" spans="1:6" x14ac:dyDescent="0.25">
      <c r="A551" t="s">
        <v>8</v>
      </c>
      <c r="B551" s="2">
        <v>44316</v>
      </c>
      <c r="C551">
        <f t="shared" si="7"/>
        <v>2021</v>
      </c>
      <c r="E551" t="s">
        <v>6</v>
      </c>
      <c r="F551">
        <f>(FruitDMg!F551/FruitFW!F551)*100</f>
        <v>17.88764406</v>
      </c>
    </row>
    <row r="552" spans="1:6" x14ac:dyDescent="0.25">
      <c r="A552" t="s">
        <v>8</v>
      </c>
      <c r="B552" s="2">
        <v>44316</v>
      </c>
      <c r="C552">
        <f t="shared" si="7"/>
        <v>2021</v>
      </c>
      <c r="E552" t="s">
        <v>6</v>
      </c>
      <c r="F552">
        <f>(FruitDMg!F552/FruitFW!F552)*100</f>
        <v>17.83926323</v>
      </c>
    </row>
    <row r="553" spans="1:6" x14ac:dyDescent="0.25">
      <c r="A553" t="s">
        <v>8</v>
      </c>
      <c r="B553" s="2">
        <v>44321</v>
      </c>
      <c r="C553">
        <f t="shared" si="7"/>
        <v>2021</v>
      </c>
      <c r="E553" t="s">
        <v>6</v>
      </c>
      <c r="F553">
        <f>(FruitDMg!F553/FruitFW!F553)*100</f>
        <v>18.53625375</v>
      </c>
    </row>
    <row r="554" spans="1:6" x14ac:dyDescent="0.25">
      <c r="A554" t="s">
        <v>8</v>
      </c>
      <c r="B554" s="2">
        <v>44322</v>
      </c>
      <c r="C554">
        <f t="shared" si="7"/>
        <v>2021</v>
      </c>
      <c r="E554" t="s">
        <v>6</v>
      </c>
      <c r="F554">
        <f>(FruitDMg!F554/FruitFW!F554)*100</f>
        <v>17.838277249999997</v>
      </c>
    </row>
    <row r="555" spans="1:6" x14ac:dyDescent="0.25">
      <c r="A555" t="s">
        <v>8</v>
      </c>
      <c r="B555" s="2">
        <v>44322</v>
      </c>
      <c r="C555">
        <f t="shared" si="7"/>
        <v>2021</v>
      </c>
      <c r="E555" t="s">
        <v>6</v>
      </c>
      <c r="F555">
        <f>(FruitDMg!F555/FruitFW!F555)*100</f>
        <v>18.04045911</v>
      </c>
    </row>
    <row r="556" spans="1:6" x14ac:dyDescent="0.25">
      <c r="A556" t="s">
        <v>8</v>
      </c>
      <c r="B556" s="2">
        <v>44335</v>
      </c>
      <c r="C556">
        <f t="shared" si="7"/>
        <v>2021</v>
      </c>
      <c r="E556" t="s">
        <v>6</v>
      </c>
      <c r="F556">
        <f>(FruitDMg!F556/FruitFW!F556)*100</f>
        <v>19.368199059999995</v>
      </c>
    </row>
    <row r="557" spans="1:6" x14ac:dyDescent="0.25">
      <c r="A557" t="s">
        <v>8</v>
      </c>
      <c r="B557" s="2">
        <v>44336</v>
      </c>
      <c r="C557">
        <f t="shared" si="7"/>
        <v>2021</v>
      </c>
      <c r="E557" t="s">
        <v>6</v>
      </c>
      <c r="F557">
        <f>(FruitDMg!F557/FruitFW!F557)*100</f>
        <v>18.251158749999998</v>
      </c>
    </row>
    <row r="558" spans="1:6" x14ac:dyDescent="0.25">
      <c r="A558" t="s">
        <v>8</v>
      </c>
      <c r="B558" s="2">
        <v>44336</v>
      </c>
      <c r="C558">
        <f t="shared" si="7"/>
        <v>2021</v>
      </c>
      <c r="E558" t="s">
        <v>6</v>
      </c>
      <c r="F558">
        <f>(FruitDMg!F558/FruitFW!F558)*100</f>
        <v>18.661880759999999</v>
      </c>
    </row>
    <row r="559" spans="1:6" x14ac:dyDescent="0.25">
      <c r="A559" t="s">
        <v>8</v>
      </c>
      <c r="B559" s="2">
        <v>44348</v>
      </c>
      <c r="C559">
        <f t="shared" si="7"/>
        <v>2021</v>
      </c>
      <c r="E559" t="s">
        <v>6</v>
      </c>
      <c r="F559">
        <f>(FruitDMg!F559/FruitFW!F559)*100</f>
        <v>18.629489569999997</v>
      </c>
    </row>
    <row r="560" spans="1:6" x14ac:dyDescent="0.25">
      <c r="A560" t="s">
        <v>8</v>
      </c>
      <c r="B560" s="2">
        <v>44349</v>
      </c>
      <c r="C560">
        <f t="shared" si="7"/>
        <v>2021</v>
      </c>
      <c r="E560" t="s">
        <v>6</v>
      </c>
      <c r="F560">
        <f>(FruitDMg!F560/FruitFW!F560)*100</f>
        <v>18.968877419999998</v>
      </c>
    </row>
    <row r="561" spans="1:6" x14ac:dyDescent="0.25">
      <c r="A561" t="s">
        <v>8</v>
      </c>
      <c r="B561" s="2">
        <v>44349</v>
      </c>
      <c r="C561">
        <f t="shared" si="7"/>
        <v>2021</v>
      </c>
      <c r="E561" t="s">
        <v>6</v>
      </c>
      <c r="F561">
        <f>(FruitDMg!F561/FruitFW!F561)*100</f>
        <v>18.861529709999999</v>
      </c>
    </row>
    <row r="562" spans="1:6" x14ac:dyDescent="0.25">
      <c r="A562" t="s">
        <v>9</v>
      </c>
      <c r="B562" s="2">
        <v>43850</v>
      </c>
      <c r="C562">
        <f t="shared" si="7"/>
        <v>2020</v>
      </c>
      <c r="E562" t="s">
        <v>10</v>
      </c>
      <c r="F562">
        <f>(FruitDMg!F562/FruitFW!F562)*100</f>
        <v>10.1</v>
      </c>
    </row>
    <row r="563" spans="1:6" x14ac:dyDescent="0.25">
      <c r="A563" t="s">
        <v>9</v>
      </c>
      <c r="B563" s="2">
        <v>43880</v>
      </c>
      <c r="C563">
        <f t="shared" si="7"/>
        <v>2020</v>
      </c>
      <c r="E563" t="s">
        <v>10</v>
      </c>
      <c r="F563">
        <f>(FruitDMg!F563/FruitFW!F563)*100</f>
        <v>15.300000000000002</v>
      </c>
    </row>
    <row r="564" spans="1:6" x14ac:dyDescent="0.25">
      <c r="A564" t="s">
        <v>9</v>
      </c>
      <c r="B564" s="2">
        <v>43892</v>
      </c>
      <c r="C564">
        <f t="shared" si="7"/>
        <v>2020</v>
      </c>
      <c r="E564" t="s">
        <v>10</v>
      </c>
      <c r="F564">
        <f>(FruitDMg!F564/FruitFW!F564)*100</f>
        <v>16.5</v>
      </c>
    </row>
    <row r="565" spans="1:6" x14ac:dyDescent="0.25">
      <c r="A565" t="s">
        <v>9</v>
      </c>
      <c r="B565" s="2">
        <v>43906</v>
      </c>
      <c r="C565">
        <f t="shared" si="7"/>
        <v>2020</v>
      </c>
      <c r="E565" t="s">
        <v>10</v>
      </c>
      <c r="F565">
        <f>(FruitDMg!F565/FruitFW!F565)*100</f>
        <v>16.100000000000001</v>
      </c>
    </row>
    <row r="566" spans="1:6" x14ac:dyDescent="0.25">
      <c r="A566" t="s">
        <v>9</v>
      </c>
      <c r="B566" s="2">
        <v>43949</v>
      </c>
      <c r="C566">
        <f t="shared" si="7"/>
        <v>2020</v>
      </c>
      <c r="E566" t="s">
        <v>10</v>
      </c>
      <c r="F566">
        <f>(FruitDMg!F566/FruitFW!F566)*100</f>
        <v>16.600000000000005</v>
      </c>
    </row>
    <row r="567" spans="1:6" x14ac:dyDescent="0.25">
      <c r="A567" t="s">
        <v>9</v>
      </c>
      <c r="B567" s="2">
        <v>43963</v>
      </c>
      <c r="C567">
        <f t="shared" si="7"/>
        <v>2020</v>
      </c>
      <c r="E567" t="s">
        <v>10</v>
      </c>
      <c r="F567">
        <f>(FruitDMg!F567/FruitFW!F567)*100</f>
        <v>17</v>
      </c>
    </row>
    <row r="568" spans="1:6" x14ac:dyDescent="0.25">
      <c r="A568" t="s">
        <v>9</v>
      </c>
      <c r="B568" s="2">
        <v>43976</v>
      </c>
      <c r="C568">
        <f t="shared" si="7"/>
        <v>2020</v>
      </c>
      <c r="E568" t="s">
        <v>10</v>
      </c>
      <c r="F568">
        <f>(FruitDMg!F568/FruitFW!F568)*100</f>
        <v>17.3</v>
      </c>
    </row>
    <row r="569" spans="1:6" x14ac:dyDescent="0.25">
      <c r="A569" t="s">
        <v>9</v>
      </c>
      <c r="B569" s="2">
        <v>44221</v>
      </c>
      <c r="C569">
        <f t="shared" si="7"/>
        <v>2021</v>
      </c>
      <c r="E569" t="s">
        <v>10</v>
      </c>
      <c r="F569">
        <f>(FruitDMg!F569/FruitFW!F569)*100</f>
        <v>10.189048139999999</v>
      </c>
    </row>
    <row r="570" spans="1:6" x14ac:dyDescent="0.25">
      <c r="A570" t="s">
        <v>9</v>
      </c>
      <c r="B570" s="2">
        <v>44245</v>
      </c>
      <c r="C570">
        <f t="shared" si="7"/>
        <v>2021</v>
      </c>
      <c r="E570" t="s">
        <v>10</v>
      </c>
      <c r="F570">
        <f>(FruitDMg!F570/FruitFW!F570)*100</f>
        <v>13.187815029999999</v>
      </c>
    </row>
    <row r="571" spans="1:6" x14ac:dyDescent="0.25">
      <c r="A571" t="s">
        <v>9</v>
      </c>
      <c r="B571" s="2">
        <v>44256</v>
      </c>
      <c r="C571">
        <f t="shared" si="7"/>
        <v>2021</v>
      </c>
      <c r="E571" t="s">
        <v>10</v>
      </c>
      <c r="F571">
        <f>(FruitDMg!F571/FruitFW!F571)*100</f>
        <v>14.327754919999999</v>
      </c>
    </row>
    <row r="572" spans="1:6" x14ac:dyDescent="0.25">
      <c r="A572" t="s">
        <v>9</v>
      </c>
      <c r="B572" s="2">
        <v>44271</v>
      </c>
      <c r="C572">
        <f t="shared" ref="C572:C612" si="8">YEAR(B572)</f>
        <v>2021</v>
      </c>
      <c r="E572" t="s">
        <v>10</v>
      </c>
      <c r="F572">
        <f>(FruitDMg!F572/FruitFW!F572)*100</f>
        <v>14.806242410000001</v>
      </c>
    </row>
    <row r="573" spans="1:6" x14ac:dyDescent="0.25">
      <c r="A573" t="s">
        <v>9</v>
      </c>
      <c r="B573" s="2">
        <v>44284</v>
      </c>
      <c r="C573">
        <f t="shared" si="8"/>
        <v>2021</v>
      </c>
      <c r="E573" t="s">
        <v>10</v>
      </c>
      <c r="F573">
        <f>(FruitDMg!F573/FruitFW!F573)*100</f>
        <v>15.547038700000002</v>
      </c>
    </row>
    <row r="574" spans="1:6" x14ac:dyDescent="0.25">
      <c r="A574" t="s">
        <v>9</v>
      </c>
      <c r="B574" s="2">
        <v>44298</v>
      </c>
      <c r="C574">
        <f t="shared" si="8"/>
        <v>2021</v>
      </c>
      <c r="E574" t="s">
        <v>10</v>
      </c>
      <c r="F574">
        <f>(FruitDMg!F574/FruitFW!F574)*100</f>
        <v>15.93281812</v>
      </c>
    </row>
    <row r="575" spans="1:6" x14ac:dyDescent="0.25">
      <c r="A575" t="s">
        <v>9</v>
      </c>
      <c r="B575" s="2">
        <v>44307</v>
      </c>
      <c r="C575">
        <f t="shared" si="8"/>
        <v>2021</v>
      </c>
      <c r="E575" t="s">
        <v>10</v>
      </c>
      <c r="F575">
        <f>(FruitDMg!F575/FruitFW!F575)*100</f>
        <v>15.991152989999998</v>
      </c>
    </row>
    <row r="576" spans="1:6" x14ac:dyDescent="0.25">
      <c r="A576" t="s">
        <v>9</v>
      </c>
      <c r="B576" s="2">
        <v>44315</v>
      </c>
      <c r="C576">
        <f t="shared" si="8"/>
        <v>2021</v>
      </c>
      <c r="E576" t="s">
        <v>10</v>
      </c>
      <c r="F576">
        <f>(FruitDMg!F576/FruitFW!F576)*100</f>
        <v>16.40011294</v>
      </c>
    </row>
    <row r="577" spans="1:6" x14ac:dyDescent="0.25">
      <c r="A577" t="s">
        <v>9</v>
      </c>
      <c r="B577" s="2">
        <v>44321</v>
      </c>
      <c r="C577">
        <f t="shared" si="8"/>
        <v>2021</v>
      </c>
      <c r="E577" t="s">
        <v>10</v>
      </c>
      <c r="F577">
        <f>(FruitDMg!F577/FruitFW!F577)*100</f>
        <v>16.644749740000002</v>
      </c>
    </row>
    <row r="578" spans="1:6" x14ac:dyDescent="0.25">
      <c r="A578" t="s">
        <v>9</v>
      </c>
      <c r="B578" s="2">
        <v>44333</v>
      </c>
      <c r="C578">
        <f t="shared" si="8"/>
        <v>2021</v>
      </c>
      <c r="E578" t="s">
        <v>10</v>
      </c>
      <c r="F578">
        <f>(FruitDMg!F578/FruitFW!F578)*100</f>
        <v>17.180538370000001</v>
      </c>
    </row>
    <row r="579" spans="1:6" x14ac:dyDescent="0.25">
      <c r="A579" t="s">
        <v>9</v>
      </c>
      <c r="B579" s="2">
        <v>44347</v>
      </c>
      <c r="C579">
        <f t="shared" si="8"/>
        <v>2021</v>
      </c>
      <c r="E579" t="s">
        <v>10</v>
      </c>
      <c r="F579">
        <f>(FruitDMg!F579/FruitFW!F579)*100</f>
        <v>17.54431529</v>
      </c>
    </row>
    <row r="580" spans="1:6" x14ac:dyDescent="0.25">
      <c r="A580" t="s">
        <v>9</v>
      </c>
      <c r="B580" s="2">
        <v>44607</v>
      </c>
      <c r="C580">
        <f t="shared" si="8"/>
        <v>2022</v>
      </c>
      <c r="E580" t="s">
        <v>10</v>
      </c>
      <c r="F580">
        <f>(FruitDMg!F580/FruitFW!F580)*100</f>
        <v>9.8000000000000007</v>
      </c>
    </row>
    <row r="581" spans="1:6" x14ac:dyDescent="0.25">
      <c r="A581" t="s">
        <v>9</v>
      </c>
      <c r="B581" s="2">
        <v>44608</v>
      </c>
      <c r="C581">
        <f t="shared" si="8"/>
        <v>2022</v>
      </c>
      <c r="E581" t="s">
        <v>10</v>
      </c>
      <c r="F581">
        <f>(FruitDMg!F581/FruitFW!F581)*100</f>
        <v>12.6</v>
      </c>
    </row>
    <row r="582" spans="1:6" x14ac:dyDescent="0.25">
      <c r="A582" t="s">
        <v>9</v>
      </c>
      <c r="B582" s="2">
        <v>44622</v>
      </c>
      <c r="C582">
        <f t="shared" si="8"/>
        <v>2022</v>
      </c>
      <c r="E582" t="s">
        <v>10</v>
      </c>
      <c r="F582">
        <f>(FruitDMg!F582/FruitFW!F582)*100</f>
        <v>14.7</v>
      </c>
    </row>
    <row r="583" spans="1:6" x14ac:dyDescent="0.25">
      <c r="A583" t="s">
        <v>9</v>
      </c>
      <c r="B583" s="2">
        <v>44622</v>
      </c>
      <c r="C583">
        <f t="shared" si="8"/>
        <v>2022</v>
      </c>
      <c r="E583" t="s">
        <v>10</v>
      </c>
      <c r="F583">
        <f>(FruitDMg!F583/FruitFW!F583)*100</f>
        <v>16.100000000000001</v>
      </c>
    </row>
    <row r="584" spans="1:6" x14ac:dyDescent="0.25">
      <c r="A584" t="s">
        <v>9</v>
      </c>
      <c r="B584" s="2">
        <v>44635</v>
      </c>
      <c r="C584">
        <f t="shared" si="8"/>
        <v>2022</v>
      </c>
      <c r="E584" t="s">
        <v>10</v>
      </c>
      <c r="F584">
        <f>(FruitDMg!F584/FruitFW!F584)*100</f>
        <v>15.299999999999999</v>
      </c>
    </row>
    <row r="585" spans="1:6" x14ac:dyDescent="0.25">
      <c r="A585" t="s">
        <v>9</v>
      </c>
      <c r="B585" s="2">
        <v>44662</v>
      </c>
      <c r="C585">
        <f t="shared" si="8"/>
        <v>2022</v>
      </c>
      <c r="E585" t="s">
        <v>10</v>
      </c>
      <c r="F585">
        <f>(FruitDMg!F585/FruitFW!F585)*100</f>
        <v>16.899999999999999</v>
      </c>
    </row>
    <row r="586" spans="1:6" x14ac:dyDescent="0.25">
      <c r="A586" t="s">
        <v>9</v>
      </c>
      <c r="B586" s="2">
        <v>44669</v>
      </c>
      <c r="C586">
        <f t="shared" si="8"/>
        <v>2022</v>
      </c>
      <c r="E586" t="s">
        <v>10</v>
      </c>
      <c r="F586">
        <f>(FruitDMg!F586/FruitFW!F586)*100</f>
        <v>16.899999999999999</v>
      </c>
    </row>
    <row r="587" spans="1:6" x14ac:dyDescent="0.25">
      <c r="A587" t="s">
        <v>9</v>
      </c>
      <c r="B587" s="2">
        <v>44677</v>
      </c>
      <c r="C587">
        <f t="shared" si="8"/>
        <v>2022</v>
      </c>
      <c r="E587" t="s">
        <v>10</v>
      </c>
      <c r="F587">
        <f>(FruitDMg!F587/FruitFW!F587)*100</f>
        <v>16.899999999999995</v>
      </c>
    </row>
    <row r="588" spans="1:6" x14ac:dyDescent="0.25">
      <c r="A588" t="s">
        <v>9</v>
      </c>
      <c r="B588" s="2">
        <v>44683</v>
      </c>
      <c r="C588">
        <f t="shared" si="8"/>
        <v>2022</v>
      </c>
      <c r="E588" t="s">
        <v>10</v>
      </c>
      <c r="F588">
        <f>(FruitDMg!F588/FruitFW!F588)*100</f>
        <v>17.7</v>
      </c>
    </row>
    <row r="589" spans="1:6" x14ac:dyDescent="0.25">
      <c r="A589" t="s">
        <v>9</v>
      </c>
      <c r="B589" s="2">
        <v>44697</v>
      </c>
      <c r="C589">
        <f t="shared" si="8"/>
        <v>2022</v>
      </c>
      <c r="E589" t="s">
        <v>10</v>
      </c>
      <c r="F589">
        <f>(FruitDMg!F589/FruitFW!F589)*100</f>
        <v>18.000000000000004</v>
      </c>
    </row>
    <row r="590" spans="1:6" x14ac:dyDescent="0.25">
      <c r="A590" t="s">
        <v>9</v>
      </c>
      <c r="B590" s="2">
        <v>44711</v>
      </c>
      <c r="C590">
        <f t="shared" si="8"/>
        <v>2022</v>
      </c>
      <c r="E590" t="s">
        <v>10</v>
      </c>
      <c r="F590">
        <f>(FruitDMg!F590/FruitFW!F590)*100</f>
        <v>18.3</v>
      </c>
    </row>
    <row r="591" spans="1:6" x14ac:dyDescent="0.25">
      <c r="A591" t="s">
        <v>9</v>
      </c>
      <c r="B591" s="2">
        <v>44949</v>
      </c>
      <c r="C591">
        <f t="shared" si="8"/>
        <v>2023</v>
      </c>
      <c r="E591" t="s">
        <v>10</v>
      </c>
      <c r="F591">
        <f>(FruitDMg!F591/FruitFW!F591)*100</f>
        <v>9.4</v>
      </c>
    </row>
    <row r="592" spans="1:6" x14ac:dyDescent="0.25">
      <c r="A592" t="s">
        <v>9</v>
      </c>
      <c r="B592" s="2">
        <v>44971</v>
      </c>
      <c r="C592">
        <f t="shared" si="8"/>
        <v>2023</v>
      </c>
      <c r="E592" t="s">
        <v>10</v>
      </c>
      <c r="F592">
        <f>(FruitDMg!F592/FruitFW!F592)*100</f>
        <v>12.8</v>
      </c>
    </row>
    <row r="593" spans="1:6" x14ac:dyDescent="0.25">
      <c r="A593" t="s">
        <v>9</v>
      </c>
      <c r="B593" s="2">
        <v>44987</v>
      </c>
      <c r="C593">
        <f t="shared" si="8"/>
        <v>2023</v>
      </c>
      <c r="E593" t="s">
        <v>10</v>
      </c>
      <c r="F593">
        <f>(FruitDMg!F593/FruitFW!F593)*100</f>
        <v>15.4</v>
      </c>
    </row>
    <row r="594" spans="1:6" x14ac:dyDescent="0.25">
      <c r="A594" t="s">
        <v>9</v>
      </c>
      <c r="B594" s="2">
        <v>44998</v>
      </c>
      <c r="C594">
        <f t="shared" si="8"/>
        <v>2023</v>
      </c>
      <c r="E594" t="s">
        <v>10</v>
      </c>
      <c r="F594">
        <f>(FruitDMg!F594/FruitFW!F594)*100</f>
        <v>16.2</v>
      </c>
    </row>
    <row r="595" spans="1:6" x14ac:dyDescent="0.25">
      <c r="A595" t="s">
        <v>9</v>
      </c>
      <c r="B595" s="2">
        <v>45014</v>
      </c>
      <c r="C595">
        <f t="shared" si="8"/>
        <v>2023</v>
      </c>
      <c r="E595" t="s">
        <v>10</v>
      </c>
      <c r="F595">
        <f>(FruitDMg!F595/FruitFW!F595)*100</f>
        <v>17.200000000000003</v>
      </c>
    </row>
    <row r="596" spans="1:6" x14ac:dyDescent="0.25">
      <c r="A596" t="s">
        <v>9</v>
      </c>
      <c r="B596" s="2">
        <v>45027</v>
      </c>
      <c r="C596">
        <f t="shared" si="8"/>
        <v>2023</v>
      </c>
      <c r="E596" t="s">
        <v>10</v>
      </c>
      <c r="F596">
        <f>(FruitDMg!F596/FruitFW!F596)*100</f>
        <v>18</v>
      </c>
    </row>
    <row r="597" spans="1:6" x14ac:dyDescent="0.25">
      <c r="A597" t="s">
        <v>9</v>
      </c>
      <c r="B597" s="2">
        <v>45040</v>
      </c>
      <c r="C597">
        <f t="shared" si="8"/>
        <v>2023</v>
      </c>
      <c r="E597" t="s">
        <v>10</v>
      </c>
      <c r="F597">
        <f>(FruitDMg!F597/FruitFW!F597)*100</f>
        <v>18.399999999999999</v>
      </c>
    </row>
    <row r="598" spans="1:6" x14ac:dyDescent="0.25">
      <c r="A598" t="s">
        <v>9</v>
      </c>
      <c r="B598" s="2">
        <v>45047</v>
      </c>
      <c r="C598">
        <f t="shared" si="8"/>
        <v>2023</v>
      </c>
      <c r="E598" t="s">
        <v>10</v>
      </c>
      <c r="F598">
        <f>(FruitDMg!F598/FruitFW!F598)*100</f>
        <v>18.500000000000004</v>
      </c>
    </row>
    <row r="599" spans="1:6" x14ac:dyDescent="0.25">
      <c r="A599" t="s">
        <v>9</v>
      </c>
      <c r="B599" s="2">
        <v>45062</v>
      </c>
      <c r="C599">
        <f t="shared" si="8"/>
        <v>2023</v>
      </c>
      <c r="E599" t="s">
        <v>10</v>
      </c>
      <c r="F599">
        <f>(FruitDMg!F599/FruitFW!F599)*100</f>
        <v>18.800000000000004</v>
      </c>
    </row>
    <row r="600" spans="1:6" x14ac:dyDescent="0.25">
      <c r="A600" t="s">
        <v>9</v>
      </c>
      <c r="B600" s="2">
        <v>45076</v>
      </c>
      <c r="C600">
        <f t="shared" si="8"/>
        <v>2023</v>
      </c>
      <c r="E600" t="s">
        <v>10</v>
      </c>
      <c r="F600">
        <f>(FruitDMg!F600/FruitFW!F600)*100</f>
        <v>19.300000000000004</v>
      </c>
    </row>
    <row r="601" spans="1:6" x14ac:dyDescent="0.25">
      <c r="A601" t="s">
        <v>9</v>
      </c>
      <c r="B601" s="2">
        <v>45083</v>
      </c>
      <c r="C601">
        <f t="shared" si="8"/>
        <v>2023</v>
      </c>
      <c r="E601" t="s">
        <v>10</v>
      </c>
      <c r="F601">
        <f>(FruitDMg!F601/FruitFW!F601)*100</f>
        <v>19.300000000000004</v>
      </c>
    </row>
    <row r="602" spans="1:6" x14ac:dyDescent="0.25">
      <c r="A602" t="s">
        <v>9</v>
      </c>
      <c r="B602" s="2">
        <v>45315</v>
      </c>
      <c r="C602">
        <f t="shared" si="8"/>
        <v>2024</v>
      </c>
      <c r="E602" t="s">
        <v>10</v>
      </c>
      <c r="F602">
        <f>(FruitDMg!F602/FruitFW!F602)*100</f>
        <v>9.9</v>
      </c>
    </row>
    <row r="603" spans="1:6" x14ac:dyDescent="0.25">
      <c r="A603" t="s">
        <v>9</v>
      </c>
      <c r="B603" s="2">
        <v>45335</v>
      </c>
      <c r="C603">
        <f t="shared" si="8"/>
        <v>2024</v>
      </c>
      <c r="E603" t="s">
        <v>10</v>
      </c>
      <c r="F603">
        <f>(FruitDMg!F603/FruitFW!F603)*100</f>
        <v>13.100000000000001</v>
      </c>
    </row>
    <row r="604" spans="1:6" x14ac:dyDescent="0.25">
      <c r="A604" t="s">
        <v>9</v>
      </c>
      <c r="B604" s="2">
        <v>45349</v>
      </c>
      <c r="C604">
        <f t="shared" si="8"/>
        <v>2024</v>
      </c>
      <c r="E604" t="s">
        <v>10</v>
      </c>
      <c r="F604">
        <f>(FruitDMg!F604/FruitFW!F604)*100</f>
        <v>14.900000000000002</v>
      </c>
    </row>
    <row r="605" spans="1:6" x14ac:dyDescent="0.25">
      <c r="A605" t="s">
        <v>9</v>
      </c>
      <c r="B605" s="2">
        <v>45363</v>
      </c>
      <c r="C605">
        <f t="shared" si="8"/>
        <v>2024</v>
      </c>
      <c r="E605" t="s">
        <v>10</v>
      </c>
      <c r="F605">
        <f>(FruitDMg!F605/FruitFW!F605)*100</f>
        <v>16</v>
      </c>
    </row>
    <row r="606" spans="1:6" x14ac:dyDescent="0.25">
      <c r="A606" t="s">
        <v>9</v>
      </c>
      <c r="B606" s="2">
        <v>45378</v>
      </c>
      <c r="C606">
        <f t="shared" si="8"/>
        <v>2024</v>
      </c>
      <c r="E606" t="s">
        <v>10</v>
      </c>
      <c r="F606">
        <f>(FruitDMg!F606/FruitFW!F606)*100</f>
        <v>16.7</v>
      </c>
    </row>
    <row r="607" spans="1:6" x14ac:dyDescent="0.25">
      <c r="A607" t="s">
        <v>9</v>
      </c>
      <c r="B607" s="2">
        <v>45390</v>
      </c>
      <c r="C607">
        <f t="shared" si="8"/>
        <v>2024</v>
      </c>
      <c r="E607" t="s">
        <v>10</v>
      </c>
      <c r="F607">
        <f>(FruitDMg!F607/FruitFW!F607)*100</f>
        <v>17</v>
      </c>
    </row>
    <row r="608" spans="1:6" x14ac:dyDescent="0.25">
      <c r="A608" t="s">
        <v>9</v>
      </c>
      <c r="B608" s="2">
        <v>45406</v>
      </c>
      <c r="C608">
        <f t="shared" si="8"/>
        <v>2024</v>
      </c>
      <c r="E608" t="s">
        <v>10</v>
      </c>
      <c r="F608">
        <f>(FruitDMg!F608/FruitFW!F608)*100</f>
        <v>17.3</v>
      </c>
    </row>
    <row r="609" spans="1:6" x14ac:dyDescent="0.25">
      <c r="A609" t="s">
        <v>9</v>
      </c>
      <c r="B609" s="2">
        <v>45412</v>
      </c>
      <c r="C609">
        <f t="shared" si="8"/>
        <v>2024</v>
      </c>
      <c r="E609" t="s">
        <v>10</v>
      </c>
      <c r="F609">
        <f>(FruitDMg!F609/FruitFW!F609)*100</f>
        <v>17.7</v>
      </c>
    </row>
    <row r="610" spans="1:6" x14ac:dyDescent="0.25">
      <c r="A610" t="s">
        <v>9</v>
      </c>
      <c r="B610" s="2">
        <v>45427</v>
      </c>
      <c r="C610">
        <f t="shared" si="8"/>
        <v>2024</v>
      </c>
      <c r="E610" t="s">
        <v>10</v>
      </c>
      <c r="F610">
        <f>(FruitDMg!F610/FruitFW!F610)*100</f>
        <v>17.899999999999995</v>
      </c>
    </row>
    <row r="611" spans="1:6" x14ac:dyDescent="0.25">
      <c r="A611" t="s">
        <v>9</v>
      </c>
      <c r="B611" s="2">
        <v>45441</v>
      </c>
      <c r="C611">
        <f t="shared" si="8"/>
        <v>2024</v>
      </c>
      <c r="E611" t="s">
        <v>10</v>
      </c>
      <c r="F611">
        <f>(FruitDMg!F611/FruitFW!F611)*100</f>
        <v>17.8</v>
      </c>
    </row>
    <row r="612" spans="1:6" x14ac:dyDescent="0.25">
      <c r="A612" t="s">
        <v>9</v>
      </c>
      <c r="B612" s="2">
        <v>45454</v>
      </c>
      <c r="C612">
        <f t="shared" si="8"/>
        <v>2024</v>
      </c>
      <c r="E612" t="s">
        <v>10</v>
      </c>
      <c r="F612">
        <f>(FruitDMg!F612/FruitFW!F612)*100</f>
        <v>17.899999999999999</v>
      </c>
    </row>
    <row r="614" spans="1:6" x14ac:dyDescent="0.25">
      <c r="A614" t="s">
        <v>13</v>
      </c>
      <c r="B614" s="2">
        <v>42387</v>
      </c>
      <c r="C614">
        <v>2016</v>
      </c>
      <c r="E614" t="s">
        <v>6</v>
      </c>
      <c r="F614">
        <f>(FruitDMg!F614/FruitFW!F614)*100</f>
        <v>7.3999999999999995</v>
      </c>
    </row>
    <row r="615" spans="1:6" x14ac:dyDescent="0.25">
      <c r="A615" t="s">
        <v>13</v>
      </c>
      <c r="B615" s="2">
        <v>42387</v>
      </c>
      <c r="C615">
        <v>2016</v>
      </c>
      <c r="E615" t="s">
        <v>6</v>
      </c>
      <c r="F615">
        <f>(FruitDMg!F615/FruitFW!F615)*100</f>
        <v>6.8999999999999995</v>
      </c>
    </row>
    <row r="616" spans="1:6" x14ac:dyDescent="0.25">
      <c r="A616" t="s">
        <v>13</v>
      </c>
      <c r="B616" s="2">
        <v>42423</v>
      </c>
      <c r="C616">
        <v>2016</v>
      </c>
      <c r="E616" t="s">
        <v>6</v>
      </c>
      <c r="F616">
        <f>(FruitDMg!F616/FruitFW!F616)*100</f>
        <v>11.8</v>
      </c>
    </row>
    <row r="617" spans="1:6" x14ac:dyDescent="0.25">
      <c r="A617" t="s">
        <v>13</v>
      </c>
      <c r="B617" s="2">
        <v>42423</v>
      </c>
      <c r="C617">
        <v>2016</v>
      </c>
      <c r="E617" t="s">
        <v>6</v>
      </c>
      <c r="F617">
        <f>(FruitDMg!F617/FruitFW!F617)*100</f>
        <v>11.899999999999999</v>
      </c>
    </row>
    <row r="618" spans="1:6" x14ac:dyDescent="0.25">
      <c r="A618" t="s">
        <v>13</v>
      </c>
      <c r="B618" s="2">
        <v>42437</v>
      </c>
      <c r="C618">
        <v>2016</v>
      </c>
      <c r="E618" t="s">
        <v>6</v>
      </c>
      <c r="F618">
        <f>(FruitDMg!F618/FruitFW!F618)*100</f>
        <v>13.399999999999999</v>
      </c>
    </row>
    <row r="619" spans="1:6" x14ac:dyDescent="0.25">
      <c r="A619" t="s">
        <v>13</v>
      </c>
      <c r="B619" s="2">
        <v>42437</v>
      </c>
      <c r="C619">
        <v>2016</v>
      </c>
      <c r="E619" t="s">
        <v>6</v>
      </c>
      <c r="F619">
        <f>(FruitDMg!F619/FruitFW!F619)*100</f>
        <v>13.600000000000001</v>
      </c>
    </row>
    <row r="620" spans="1:6" x14ac:dyDescent="0.25">
      <c r="A620" t="s">
        <v>13</v>
      </c>
      <c r="B620" s="2">
        <v>42451</v>
      </c>
      <c r="C620">
        <v>2016</v>
      </c>
      <c r="E620" t="s">
        <v>6</v>
      </c>
      <c r="F620">
        <f>(FruitDMg!F620/FruitFW!F620)*100</f>
        <v>14.299999999999999</v>
      </c>
    </row>
    <row r="621" spans="1:6" x14ac:dyDescent="0.25">
      <c r="A621" t="s">
        <v>13</v>
      </c>
      <c r="B621" s="2">
        <v>42451</v>
      </c>
      <c r="C621">
        <v>2016</v>
      </c>
      <c r="E621" t="s">
        <v>6</v>
      </c>
      <c r="F621">
        <f>(FruitDMg!F621/FruitFW!F621)*100</f>
        <v>14.899999999999999</v>
      </c>
    </row>
    <row r="622" spans="1:6" x14ac:dyDescent="0.25">
      <c r="A622" t="s">
        <v>13</v>
      </c>
      <c r="B622" s="2">
        <v>42466</v>
      </c>
      <c r="C622">
        <v>2016</v>
      </c>
      <c r="E622" t="s">
        <v>6</v>
      </c>
      <c r="F622">
        <f>(FruitDMg!F622/FruitFW!F622)*100</f>
        <v>14.500000000000002</v>
      </c>
    </row>
    <row r="623" spans="1:6" x14ac:dyDescent="0.25">
      <c r="A623" t="s">
        <v>13</v>
      </c>
      <c r="B623" s="2">
        <v>42467</v>
      </c>
      <c r="C623">
        <v>2016</v>
      </c>
      <c r="E623" t="s">
        <v>6</v>
      </c>
      <c r="F623">
        <f>(FruitDMg!F623/FruitFW!F623)*100</f>
        <v>15.299999999999999</v>
      </c>
    </row>
    <row r="624" spans="1:6" x14ac:dyDescent="0.25">
      <c r="A624" t="s">
        <v>13</v>
      </c>
      <c r="B624" s="2">
        <v>42474</v>
      </c>
      <c r="C624">
        <v>2016</v>
      </c>
      <c r="E624" t="s">
        <v>6</v>
      </c>
      <c r="F624">
        <f>(FruitDMg!F624/FruitFW!F624)*100</f>
        <v>15.300000000000002</v>
      </c>
    </row>
    <row r="625" spans="1:6" x14ac:dyDescent="0.25">
      <c r="A625" t="s">
        <v>13</v>
      </c>
      <c r="B625" s="2">
        <v>42475</v>
      </c>
      <c r="C625">
        <v>2016</v>
      </c>
      <c r="E625" t="s">
        <v>6</v>
      </c>
      <c r="F625">
        <f>(FruitDMg!F625/FruitFW!F625)*100</f>
        <v>15.2</v>
      </c>
    </row>
    <row r="626" spans="1:6" x14ac:dyDescent="0.25">
      <c r="A626" t="s">
        <v>13</v>
      </c>
      <c r="B626" s="2">
        <v>42482</v>
      </c>
      <c r="C626">
        <v>2016</v>
      </c>
      <c r="E626" t="s">
        <v>6</v>
      </c>
      <c r="F626">
        <f>(FruitDMg!F626/FruitFW!F626)*100</f>
        <v>15</v>
      </c>
    </row>
    <row r="627" spans="1:6" x14ac:dyDescent="0.25">
      <c r="A627" t="s">
        <v>13</v>
      </c>
      <c r="B627" s="2">
        <v>42482</v>
      </c>
      <c r="C627">
        <v>2016</v>
      </c>
      <c r="E627" t="s">
        <v>6</v>
      </c>
      <c r="F627">
        <f>(FruitDMg!F627/FruitFW!F627)*100</f>
        <v>15.599999999999998</v>
      </c>
    </row>
    <row r="628" spans="1:6" x14ac:dyDescent="0.25">
      <c r="A628" t="s">
        <v>13</v>
      </c>
      <c r="B628" s="2">
        <v>42486</v>
      </c>
      <c r="C628">
        <v>2016</v>
      </c>
      <c r="E628" t="s">
        <v>6</v>
      </c>
      <c r="F628">
        <f>(FruitDMg!F628/FruitFW!F628)*100</f>
        <v>15.5</v>
      </c>
    </row>
    <row r="629" spans="1:6" x14ac:dyDescent="0.25">
      <c r="A629" t="s">
        <v>13</v>
      </c>
      <c r="B629" s="2">
        <v>42486</v>
      </c>
      <c r="C629">
        <v>2016</v>
      </c>
      <c r="E629" t="s">
        <v>6</v>
      </c>
      <c r="F629">
        <f>(FruitDMg!F629/FruitFW!F629)*100</f>
        <v>15.6</v>
      </c>
    </row>
    <row r="630" spans="1:6" x14ac:dyDescent="0.25">
      <c r="A630" t="s">
        <v>13</v>
      </c>
      <c r="B630" s="2">
        <v>42493</v>
      </c>
      <c r="C630">
        <v>2016</v>
      </c>
      <c r="E630" t="s">
        <v>6</v>
      </c>
      <c r="F630">
        <f>(FruitDMg!F630/FruitFW!F630)*100</f>
        <v>15.7</v>
      </c>
    </row>
    <row r="631" spans="1:6" x14ac:dyDescent="0.25">
      <c r="A631" t="s">
        <v>13</v>
      </c>
      <c r="B631" s="2">
        <v>42493</v>
      </c>
      <c r="C631">
        <v>2016</v>
      </c>
      <c r="E631" t="s">
        <v>6</v>
      </c>
      <c r="F631">
        <f>(FruitDMg!F631/FruitFW!F631)*100</f>
        <v>16.5</v>
      </c>
    </row>
    <row r="632" spans="1:6" x14ac:dyDescent="0.25">
      <c r="A632" t="s">
        <v>13</v>
      </c>
      <c r="B632" s="2">
        <v>42510</v>
      </c>
      <c r="C632">
        <v>2016</v>
      </c>
      <c r="E632" t="s">
        <v>6</v>
      </c>
      <c r="F632">
        <f>(FruitDMg!F632/FruitFW!F632)*100</f>
        <v>15.800000000000002</v>
      </c>
    </row>
    <row r="633" spans="1:6" x14ac:dyDescent="0.25">
      <c r="A633" t="s">
        <v>13</v>
      </c>
      <c r="B633" s="2">
        <v>42510</v>
      </c>
      <c r="C633">
        <v>2016</v>
      </c>
      <c r="E633" t="s">
        <v>6</v>
      </c>
      <c r="F633">
        <f>(FruitDMg!F633/FruitFW!F633)*100</f>
        <v>16.600000000000001</v>
      </c>
    </row>
    <row r="634" spans="1:6" x14ac:dyDescent="0.25">
      <c r="A634" t="s">
        <v>13</v>
      </c>
      <c r="B634" s="2">
        <v>42521</v>
      </c>
      <c r="C634">
        <v>2016</v>
      </c>
      <c r="E634" t="s">
        <v>6</v>
      </c>
      <c r="F634">
        <f>(FruitDMg!F634/FruitFW!F634)*100</f>
        <v>15.900000000000002</v>
      </c>
    </row>
    <row r="635" spans="1:6" x14ac:dyDescent="0.25">
      <c r="A635" t="s">
        <v>13</v>
      </c>
      <c r="B635" s="2">
        <v>42521</v>
      </c>
      <c r="C635">
        <v>2016</v>
      </c>
      <c r="E635" t="s">
        <v>6</v>
      </c>
      <c r="F635">
        <f>(FruitDMg!F635/FruitFW!F635)*100</f>
        <v>16.600000000000001</v>
      </c>
    </row>
    <row r="636" spans="1:6" x14ac:dyDescent="0.25">
      <c r="A636" t="s">
        <v>13</v>
      </c>
      <c r="B636" s="2">
        <v>42535</v>
      </c>
      <c r="C636">
        <v>2016</v>
      </c>
      <c r="E636" t="s">
        <v>6</v>
      </c>
      <c r="F636">
        <f>(FruitDMg!F636/FruitFW!F636)*100</f>
        <v>16.899999999999999</v>
      </c>
    </row>
    <row r="637" spans="1:6" x14ac:dyDescent="0.25">
      <c r="A637" t="s">
        <v>13</v>
      </c>
      <c r="B637" s="2">
        <v>42535</v>
      </c>
      <c r="C637">
        <v>2016</v>
      </c>
      <c r="E637" t="s">
        <v>6</v>
      </c>
      <c r="F637">
        <f>(FruitDMg!F637/FruitFW!F637)*100</f>
        <v>17.100000000000005</v>
      </c>
    </row>
    <row r="638" spans="1:6" x14ac:dyDescent="0.25">
      <c r="A638" t="s">
        <v>13</v>
      </c>
      <c r="B638" s="2">
        <v>42386</v>
      </c>
      <c r="C638">
        <v>2016</v>
      </c>
      <c r="E638" t="s">
        <v>6</v>
      </c>
      <c r="F638">
        <f>(FruitDMg!F638/FruitFW!F638)*100</f>
        <v>7.2000000000000011</v>
      </c>
    </row>
    <row r="639" spans="1:6" x14ac:dyDescent="0.25">
      <c r="A639" t="s">
        <v>13</v>
      </c>
      <c r="B639" s="2">
        <v>42424</v>
      </c>
      <c r="C639">
        <v>2016</v>
      </c>
      <c r="E639" t="s">
        <v>6</v>
      </c>
      <c r="F639">
        <f>(FruitDMg!F639/FruitFW!F639)*100</f>
        <v>12.7</v>
      </c>
    </row>
    <row r="640" spans="1:6" x14ac:dyDescent="0.25">
      <c r="A640" t="s">
        <v>13</v>
      </c>
      <c r="B640" s="2">
        <v>42439</v>
      </c>
      <c r="C640">
        <v>2016</v>
      </c>
      <c r="E640" t="s">
        <v>6</v>
      </c>
      <c r="F640">
        <f>(FruitDMg!F640/FruitFW!F640)*100</f>
        <v>14.400000000000002</v>
      </c>
    </row>
    <row r="641" spans="1:6" x14ac:dyDescent="0.25">
      <c r="A641" t="s">
        <v>13</v>
      </c>
      <c r="B641" s="2">
        <v>42452</v>
      </c>
      <c r="C641">
        <v>2016</v>
      </c>
      <c r="E641" t="s">
        <v>6</v>
      </c>
      <c r="F641">
        <f>(FruitDMg!F641/FruitFW!F641)*100</f>
        <v>15.4</v>
      </c>
    </row>
    <row r="642" spans="1:6" x14ac:dyDescent="0.25">
      <c r="A642" t="s">
        <v>13</v>
      </c>
      <c r="B642" s="2">
        <v>42467</v>
      </c>
      <c r="C642">
        <v>2016</v>
      </c>
      <c r="E642" t="s">
        <v>6</v>
      </c>
      <c r="F642">
        <f>(FruitDMg!F642/FruitFW!F642)*100</f>
        <v>16</v>
      </c>
    </row>
    <row r="643" spans="1:6" x14ac:dyDescent="0.25">
      <c r="A643" t="s">
        <v>13</v>
      </c>
      <c r="B643" s="2">
        <v>42474</v>
      </c>
      <c r="C643">
        <v>2016</v>
      </c>
      <c r="E643" t="s">
        <v>6</v>
      </c>
      <c r="F643">
        <f>(FruitDMg!F643/FruitFW!F643)*100</f>
        <v>16</v>
      </c>
    </row>
    <row r="644" spans="1:6" x14ac:dyDescent="0.25">
      <c r="A644" t="s">
        <v>13</v>
      </c>
      <c r="B644" s="2">
        <v>42482</v>
      </c>
      <c r="C644">
        <v>2016</v>
      </c>
      <c r="E644" t="s">
        <v>6</v>
      </c>
      <c r="F644">
        <f>(FruitDMg!F644/FruitFW!F644)*100</f>
        <v>16.5</v>
      </c>
    </row>
    <row r="645" spans="1:6" x14ac:dyDescent="0.25">
      <c r="A645" t="s">
        <v>13</v>
      </c>
      <c r="B645" s="2">
        <v>42489</v>
      </c>
      <c r="C645">
        <v>2016</v>
      </c>
      <c r="E645" t="s">
        <v>6</v>
      </c>
      <c r="F645">
        <f>(FruitDMg!F645/FruitFW!F645)*100</f>
        <v>16.600000000000001</v>
      </c>
    </row>
    <row r="646" spans="1:6" x14ac:dyDescent="0.25">
      <c r="A646" t="s">
        <v>13</v>
      </c>
      <c r="B646" s="2">
        <v>42496</v>
      </c>
      <c r="C646">
        <v>2016</v>
      </c>
      <c r="E646" t="s">
        <v>6</v>
      </c>
      <c r="F646">
        <f>(FruitDMg!F646/FruitFW!F646)*100</f>
        <v>16.8</v>
      </c>
    </row>
    <row r="647" spans="1:6" x14ac:dyDescent="0.25">
      <c r="A647" t="s">
        <v>13</v>
      </c>
      <c r="B647" s="2">
        <v>42510</v>
      </c>
      <c r="C647">
        <v>2016</v>
      </c>
      <c r="E647" t="s">
        <v>6</v>
      </c>
      <c r="F647">
        <f>(FruitDMg!F647/FruitFW!F647)*100</f>
        <v>17.700000000000003</v>
      </c>
    </row>
    <row r="648" spans="1:6" x14ac:dyDescent="0.25">
      <c r="A648" t="s">
        <v>13</v>
      </c>
      <c r="B648" s="2">
        <v>42523</v>
      </c>
      <c r="C648">
        <v>2016</v>
      </c>
      <c r="E648" t="s">
        <v>6</v>
      </c>
      <c r="F648">
        <f>(FruitDMg!F648/FruitFW!F648)*100</f>
        <v>17.899999999999995</v>
      </c>
    </row>
    <row r="649" spans="1:6" x14ac:dyDescent="0.25">
      <c r="A649" t="s">
        <v>13</v>
      </c>
      <c r="B649" s="2">
        <v>42535</v>
      </c>
      <c r="C649">
        <v>2016</v>
      </c>
      <c r="E649" t="s">
        <v>6</v>
      </c>
      <c r="F649">
        <f>(FruitDMg!F649/FruitFW!F649)*100</f>
        <v>17.899999999999999</v>
      </c>
    </row>
    <row r="650" spans="1:6" x14ac:dyDescent="0.25">
      <c r="A650" t="s">
        <v>13</v>
      </c>
      <c r="B650" s="2">
        <v>42386</v>
      </c>
      <c r="C650">
        <v>2016</v>
      </c>
      <c r="E650" t="s">
        <v>6</v>
      </c>
      <c r="F650">
        <f>(FruitDMg!F650/FruitFW!F650)*100</f>
        <v>7.7</v>
      </c>
    </row>
    <row r="651" spans="1:6" x14ac:dyDescent="0.25">
      <c r="A651" t="s">
        <v>13</v>
      </c>
      <c r="B651" s="2">
        <v>42386</v>
      </c>
      <c r="C651">
        <v>2016</v>
      </c>
      <c r="E651" t="s">
        <v>6</v>
      </c>
      <c r="F651">
        <f>(FruitDMg!F651/FruitFW!F651)*100</f>
        <v>7.1999999999999993</v>
      </c>
    </row>
    <row r="652" spans="1:6" x14ac:dyDescent="0.25">
      <c r="A652" t="s">
        <v>13</v>
      </c>
      <c r="B652" s="2">
        <v>42386</v>
      </c>
      <c r="C652">
        <v>2016</v>
      </c>
      <c r="E652" t="s">
        <v>6</v>
      </c>
      <c r="F652">
        <f>(FruitDMg!F652/FruitFW!F652)*100</f>
        <v>7.3</v>
      </c>
    </row>
    <row r="653" spans="1:6" x14ac:dyDescent="0.25">
      <c r="A653" t="s">
        <v>13</v>
      </c>
      <c r="B653" s="2">
        <v>42389</v>
      </c>
      <c r="C653">
        <v>2016</v>
      </c>
      <c r="E653" t="s">
        <v>6</v>
      </c>
      <c r="F653">
        <f>(FruitDMg!F653/FruitFW!F653)*100</f>
        <v>7.8</v>
      </c>
    </row>
    <row r="654" spans="1:6" x14ac:dyDescent="0.25">
      <c r="A654" t="s">
        <v>13</v>
      </c>
      <c r="B654" s="2">
        <v>42424</v>
      </c>
      <c r="C654">
        <v>2016</v>
      </c>
      <c r="E654" t="s">
        <v>6</v>
      </c>
      <c r="F654">
        <f>(FruitDMg!F654/FruitFW!F654)*100</f>
        <v>13.3</v>
      </c>
    </row>
    <row r="655" spans="1:6" x14ac:dyDescent="0.25">
      <c r="A655" t="s">
        <v>13</v>
      </c>
      <c r="B655" s="2">
        <v>42424</v>
      </c>
      <c r="C655">
        <v>2016</v>
      </c>
      <c r="E655" t="s">
        <v>6</v>
      </c>
      <c r="F655">
        <f>(FruitDMg!F655/FruitFW!F655)*100</f>
        <v>12.7</v>
      </c>
    </row>
    <row r="656" spans="1:6" x14ac:dyDescent="0.25">
      <c r="A656" t="s">
        <v>13</v>
      </c>
      <c r="B656" s="2">
        <v>42424</v>
      </c>
      <c r="C656">
        <v>2016</v>
      </c>
      <c r="E656" t="s">
        <v>6</v>
      </c>
      <c r="F656">
        <f>(FruitDMg!F656/FruitFW!F656)*100</f>
        <v>11.600000000000001</v>
      </c>
    </row>
    <row r="657" spans="1:6" x14ac:dyDescent="0.25">
      <c r="A657" t="s">
        <v>13</v>
      </c>
      <c r="B657" s="2">
        <v>42424</v>
      </c>
      <c r="C657">
        <v>2016</v>
      </c>
      <c r="E657" t="s">
        <v>6</v>
      </c>
      <c r="F657">
        <f>(FruitDMg!F657/FruitFW!F657)*100</f>
        <v>11.800000000000002</v>
      </c>
    </row>
    <row r="658" spans="1:6" x14ac:dyDescent="0.25">
      <c r="A658" t="s">
        <v>13</v>
      </c>
      <c r="B658" s="2">
        <v>42438</v>
      </c>
      <c r="C658">
        <v>2016</v>
      </c>
      <c r="E658" t="s">
        <v>6</v>
      </c>
      <c r="F658">
        <f>(FruitDMg!F658/FruitFW!F658)*100</f>
        <v>13.600000000000001</v>
      </c>
    </row>
    <row r="659" spans="1:6" x14ac:dyDescent="0.25">
      <c r="A659" t="s">
        <v>13</v>
      </c>
      <c r="B659" s="2">
        <v>42439</v>
      </c>
      <c r="C659">
        <v>2016</v>
      </c>
      <c r="E659" t="s">
        <v>6</v>
      </c>
      <c r="F659">
        <f>(FruitDMg!F659/FruitFW!F659)*100</f>
        <v>15</v>
      </c>
    </row>
    <row r="660" spans="1:6" x14ac:dyDescent="0.25">
      <c r="A660" t="s">
        <v>13</v>
      </c>
      <c r="B660" s="2">
        <v>42439</v>
      </c>
      <c r="C660">
        <v>2016</v>
      </c>
      <c r="E660" t="s">
        <v>6</v>
      </c>
      <c r="F660">
        <f>(FruitDMg!F660/FruitFW!F660)*100</f>
        <v>14.2</v>
      </c>
    </row>
    <row r="661" spans="1:6" x14ac:dyDescent="0.25">
      <c r="A661" t="s">
        <v>13</v>
      </c>
      <c r="B661" s="2">
        <v>42439</v>
      </c>
      <c r="C661">
        <v>2016</v>
      </c>
      <c r="E661" t="s">
        <v>6</v>
      </c>
      <c r="F661">
        <f>(FruitDMg!F661/FruitFW!F661)*100</f>
        <v>13.100000000000001</v>
      </c>
    </row>
    <row r="662" spans="1:6" x14ac:dyDescent="0.25">
      <c r="A662" t="s">
        <v>13</v>
      </c>
      <c r="B662" s="2">
        <v>42452</v>
      </c>
      <c r="C662">
        <v>2016</v>
      </c>
      <c r="E662" t="s">
        <v>6</v>
      </c>
      <c r="F662">
        <f>(FruitDMg!F662/FruitFW!F662)*100</f>
        <v>15.800000000000002</v>
      </c>
    </row>
    <row r="663" spans="1:6" x14ac:dyDescent="0.25">
      <c r="A663" t="s">
        <v>13</v>
      </c>
      <c r="B663" s="2">
        <v>42452</v>
      </c>
      <c r="C663">
        <v>2016</v>
      </c>
      <c r="E663" t="s">
        <v>6</v>
      </c>
      <c r="F663">
        <f>(FruitDMg!F663/FruitFW!F663)*100</f>
        <v>15</v>
      </c>
    </row>
    <row r="664" spans="1:6" x14ac:dyDescent="0.25">
      <c r="A664" t="s">
        <v>13</v>
      </c>
      <c r="B664" s="2">
        <v>42452</v>
      </c>
      <c r="C664">
        <v>2016</v>
      </c>
      <c r="E664" t="s">
        <v>6</v>
      </c>
      <c r="F664">
        <f>(FruitDMg!F664/FruitFW!F664)*100</f>
        <v>14.099999999999998</v>
      </c>
    </row>
    <row r="665" spans="1:6" x14ac:dyDescent="0.25">
      <c r="A665" t="s">
        <v>13</v>
      </c>
      <c r="B665" s="2">
        <v>42452</v>
      </c>
      <c r="C665">
        <v>2016</v>
      </c>
      <c r="E665" t="s">
        <v>6</v>
      </c>
      <c r="F665">
        <f>(FruitDMg!F665/FruitFW!F665)*100</f>
        <v>14.499999999999998</v>
      </c>
    </row>
    <row r="666" spans="1:6" x14ac:dyDescent="0.25">
      <c r="A666" t="s">
        <v>13</v>
      </c>
      <c r="B666" s="2">
        <v>42467</v>
      </c>
      <c r="C666">
        <v>2016</v>
      </c>
      <c r="E666" t="s">
        <v>6</v>
      </c>
      <c r="F666">
        <f>(FruitDMg!F666/FruitFW!F666)*100</f>
        <v>16.7</v>
      </c>
    </row>
    <row r="667" spans="1:6" x14ac:dyDescent="0.25">
      <c r="A667" t="s">
        <v>13</v>
      </c>
      <c r="B667" s="2">
        <v>42467</v>
      </c>
      <c r="C667">
        <v>2016</v>
      </c>
      <c r="E667" t="s">
        <v>6</v>
      </c>
      <c r="F667">
        <f>(FruitDMg!F667/FruitFW!F667)*100</f>
        <v>15.400000000000002</v>
      </c>
    </row>
    <row r="668" spans="1:6" x14ac:dyDescent="0.25">
      <c r="A668" t="s">
        <v>13</v>
      </c>
      <c r="B668" s="2">
        <v>42467</v>
      </c>
      <c r="C668">
        <v>2016</v>
      </c>
      <c r="E668" t="s">
        <v>6</v>
      </c>
      <c r="F668">
        <f>(FruitDMg!F668/FruitFW!F668)*100</f>
        <v>15</v>
      </c>
    </row>
    <row r="669" spans="1:6" x14ac:dyDescent="0.25">
      <c r="A669" t="s">
        <v>13</v>
      </c>
      <c r="B669" s="2">
        <v>42467</v>
      </c>
      <c r="C669">
        <v>2016</v>
      </c>
      <c r="E669" t="s">
        <v>6</v>
      </c>
      <c r="F669">
        <f>(FruitDMg!F669/FruitFW!F669)*100</f>
        <v>15.2</v>
      </c>
    </row>
    <row r="670" spans="1:6" x14ac:dyDescent="0.25">
      <c r="A670" t="s">
        <v>13</v>
      </c>
      <c r="B670" s="2">
        <v>42474</v>
      </c>
      <c r="C670">
        <v>2016</v>
      </c>
      <c r="E670" t="s">
        <v>6</v>
      </c>
      <c r="F670">
        <f>(FruitDMg!F670/FruitFW!F670)*100</f>
        <v>15.400000000000002</v>
      </c>
    </row>
    <row r="671" spans="1:6" x14ac:dyDescent="0.25">
      <c r="A671" t="s">
        <v>13</v>
      </c>
      <c r="B671" s="2">
        <v>42475</v>
      </c>
      <c r="C671">
        <v>2016</v>
      </c>
      <c r="E671" t="s">
        <v>6</v>
      </c>
      <c r="F671">
        <f>(FruitDMg!F671/FruitFW!F671)*100</f>
        <v>16.5</v>
      </c>
    </row>
    <row r="672" spans="1:6" x14ac:dyDescent="0.25">
      <c r="A672" t="s">
        <v>13</v>
      </c>
      <c r="B672" s="2">
        <v>42475</v>
      </c>
      <c r="C672">
        <v>2016</v>
      </c>
      <c r="E672" t="s">
        <v>6</v>
      </c>
      <c r="F672">
        <f>(FruitDMg!F672/FruitFW!F672)*100</f>
        <v>15.7</v>
      </c>
    </row>
    <row r="673" spans="1:6" x14ac:dyDescent="0.25">
      <c r="A673" t="s">
        <v>13</v>
      </c>
      <c r="B673" s="2">
        <v>42475</v>
      </c>
      <c r="C673">
        <v>2016</v>
      </c>
      <c r="E673" t="s">
        <v>6</v>
      </c>
      <c r="F673">
        <f>(FruitDMg!F673/FruitFW!F673)*100</f>
        <v>15.2</v>
      </c>
    </row>
    <row r="674" spans="1:6" x14ac:dyDescent="0.25">
      <c r="A674" t="s">
        <v>13</v>
      </c>
      <c r="B674" s="2">
        <v>42482</v>
      </c>
      <c r="C674">
        <v>2016</v>
      </c>
      <c r="E674" t="s">
        <v>6</v>
      </c>
      <c r="F674">
        <f>(FruitDMg!F674/FruitFW!F674)*100</f>
        <v>16.900000000000002</v>
      </c>
    </row>
    <row r="675" spans="1:6" x14ac:dyDescent="0.25">
      <c r="A675" t="s">
        <v>13</v>
      </c>
      <c r="B675" s="2">
        <v>42482</v>
      </c>
      <c r="C675">
        <v>2016</v>
      </c>
      <c r="E675" t="s">
        <v>6</v>
      </c>
      <c r="F675">
        <f>(FruitDMg!F675/FruitFW!F675)*100</f>
        <v>15.7</v>
      </c>
    </row>
    <row r="676" spans="1:6" x14ac:dyDescent="0.25">
      <c r="A676" t="s">
        <v>13</v>
      </c>
      <c r="B676" s="2">
        <v>42482</v>
      </c>
      <c r="C676">
        <v>2016</v>
      </c>
      <c r="E676" t="s">
        <v>6</v>
      </c>
      <c r="F676">
        <f>(FruitDMg!F676/FruitFW!F676)*100</f>
        <v>15.5</v>
      </c>
    </row>
    <row r="677" spans="1:6" x14ac:dyDescent="0.25">
      <c r="A677" t="s">
        <v>13</v>
      </c>
      <c r="B677" s="2">
        <v>42482</v>
      </c>
      <c r="C677">
        <v>2016</v>
      </c>
      <c r="E677" t="s">
        <v>6</v>
      </c>
      <c r="F677">
        <f>(FruitDMg!F677/FruitFW!F677)*100</f>
        <v>15.1</v>
      </c>
    </row>
    <row r="678" spans="1:6" x14ac:dyDescent="0.25">
      <c r="A678" t="s">
        <v>13</v>
      </c>
      <c r="B678" s="2">
        <v>42489</v>
      </c>
      <c r="C678">
        <v>2016</v>
      </c>
      <c r="E678" t="s">
        <v>6</v>
      </c>
      <c r="F678">
        <f>(FruitDMg!F678/FruitFW!F678)*100</f>
        <v>17.399999999999999</v>
      </c>
    </row>
    <row r="679" spans="1:6" x14ac:dyDescent="0.25">
      <c r="A679" t="s">
        <v>13</v>
      </c>
      <c r="B679" s="2">
        <v>42489</v>
      </c>
      <c r="C679">
        <v>2016</v>
      </c>
      <c r="E679" t="s">
        <v>6</v>
      </c>
      <c r="F679">
        <f>(FruitDMg!F679/FruitFW!F679)*100</f>
        <v>16</v>
      </c>
    </row>
    <row r="680" spans="1:6" x14ac:dyDescent="0.25">
      <c r="A680" t="s">
        <v>13</v>
      </c>
      <c r="B680" s="2">
        <v>42489</v>
      </c>
      <c r="C680">
        <v>2016</v>
      </c>
      <c r="E680" t="s">
        <v>6</v>
      </c>
      <c r="F680">
        <f>(FruitDMg!F680/FruitFW!F680)*100</f>
        <v>15.7</v>
      </c>
    </row>
    <row r="681" spans="1:6" x14ac:dyDescent="0.25">
      <c r="A681" t="s">
        <v>13</v>
      </c>
      <c r="B681" s="2">
        <v>42489</v>
      </c>
      <c r="C681">
        <v>2016</v>
      </c>
      <c r="E681" t="s">
        <v>6</v>
      </c>
      <c r="F681">
        <f>(FruitDMg!F681/FruitFW!F681)*100</f>
        <v>15.699999999999998</v>
      </c>
    </row>
    <row r="682" spans="1:6" x14ac:dyDescent="0.25">
      <c r="A682" t="s">
        <v>13</v>
      </c>
      <c r="B682" s="2">
        <v>42494</v>
      </c>
      <c r="C682">
        <v>2016</v>
      </c>
      <c r="E682" t="s">
        <v>6</v>
      </c>
      <c r="F682">
        <f>(FruitDMg!F682/FruitFW!F682)*100</f>
        <v>16.100000000000001</v>
      </c>
    </row>
    <row r="683" spans="1:6" x14ac:dyDescent="0.25">
      <c r="A683" t="s">
        <v>13</v>
      </c>
      <c r="B683" s="2">
        <v>42496</v>
      </c>
      <c r="C683">
        <v>2016</v>
      </c>
      <c r="E683" t="s">
        <v>6</v>
      </c>
      <c r="F683">
        <f>(FruitDMg!F683/FruitFW!F683)*100</f>
        <v>17.200000000000003</v>
      </c>
    </row>
    <row r="684" spans="1:6" x14ac:dyDescent="0.25">
      <c r="A684" t="s">
        <v>13</v>
      </c>
      <c r="B684" s="2">
        <v>42496</v>
      </c>
      <c r="C684">
        <v>2016</v>
      </c>
      <c r="E684" t="s">
        <v>6</v>
      </c>
      <c r="F684">
        <f>(FruitDMg!F684/FruitFW!F684)*100</f>
        <v>16.100000000000001</v>
      </c>
    </row>
    <row r="685" spans="1:6" x14ac:dyDescent="0.25">
      <c r="A685" t="s">
        <v>13</v>
      </c>
      <c r="B685" s="2">
        <v>42496</v>
      </c>
      <c r="C685">
        <v>2016</v>
      </c>
      <c r="E685" t="s">
        <v>6</v>
      </c>
      <c r="F685">
        <f>(FruitDMg!F685/FruitFW!F685)*100</f>
        <v>16.2</v>
      </c>
    </row>
    <row r="686" spans="1:6" x14ac:dyDescent="0.25">
      <c r="A686" t="s">
        <v>13</v>
      </c>
      <c r="B686" s="2">
        <v>42509</v>
      </c>
      <c r="C686">
        <v>2016</v>
      </c>
      <c r="E686" t="s">
        <v>6</v>
      </c>
      <c r="F686">
        <f>(FruitDMg!F686/FruitFW!F686)*100</f>
        <v>17.5</v>
      </c>
    </row>
    <row r="687" spans="1:6" x14ac:dyDescent="0.25">
      <c r="A687" t="s">
        <v>13</v>
      </c>
      <c r="B687" s="2">
        <v>42509</v>
      </c>
      <c r="C687">
        <v>2016</v>
      </c>
      <c r="E687" t="s">
        <v>6</v>
      </c>
      <c r="F687">
        <f>(FruitDMg!F687/FruitFW!F687)*100</f>
        <v>17.100000000000001</v>
      </c>
    </row>
    <row r="688" spans="1:6" x14ac:dyDescent="0.25">
      <c r="A688" t="s">
        <v>13</v>
      </c>
      <c r="B688" s="2">
        <v>42509</v>
      </c>
      <c r="C688">
        <v>2016</v>
      </c>
      <c r="E688" t="s">
        <v>6</v>
      </c>
      <c r="F688">
        <f>(FruitDMg!F688/FruitFW!F688)*100</f>
        <v>16.399999999999999</v>
      </c>
    </row>
    <row r="689" spans="1:6" x14ac:dyDescent="0.25">
      <c r="A689" t="s">
        <v>13</v>
      </c>
      <c r="B689" s="2">
        <v>42510</v>
      </c>
      <c r="C689">
        <v>2016</v>
      </c>
      <c r="E689" t="s">
        <v>6</v>
      </c>
      <c r="F689">
        <f>(FruitDMg!F689/FruitFW!F689)*100</f>
        <v>16.8</v>
      </c>
    </row>
    <row r="690" spans="1:6" x14ac:dyDescent="0.25">
      <c r="A690" t="s">
        <v>13</v>
      </c>
      <c r="B690" s="2">
        <v>42522</v>
      </c>
      <c r="C690">
        <v>2016</v>
      </c>
      <c r="E690" t="s">
        <v>6</v>
      </c>
      <c r="F690">
        <f>(FruitDMg!F690/FruitFW!F690)*100</f>
        <v>17.099999999999998</v>
      </c>
    </row>
    <row r="691" spans="1:6" x14ac:dyDescent="0.25">
      <c r="A691" t="s">
        <v>13</v>
      </c>
      <c r="B691" s="2">
        <v>42523</v>
      </c>
      <c r="C691">
        <v>2016</v>
      </c>
      <c r="E691" t="s">
        <v>6</v>
      </c>
      <c r="F691">
        <f>(FruitDMg!F691/FruitFW!F691)*100</f>
        <v>18.000000000000004</v>
      </c>
    </row>
    <row r="692" spans="1:6" x14ac:dyDescent="0.25">
      <c r="A692" t="s">
        <v>13</v>
      </c>
      <c r="B692" s="2">
        <v>42523</v>
      </c>
      <c r="C692">
        <v>2016</v>
      </c>
      <c r="E692" t="s">
        <v>6</v>
      </c>
      <c r="F692">
        <f>(FruitDMg!F692/FruitFW!F692)*100</f>
        <v>17.099999999999998</v>
      </c>
    </row>
    <row r="693" spans="1:6" x14ac:dyDescent="0.25">
      <c r="A693" t="s">
        <v>13</v>
      </c>
      <c r="B693" s="2">
        <v>42523</v>
      </c>
      <c r="C693">
        <v>2016</v>
      </c>
      <c r="E693" t="s">
        <v>6</v>
      </c>
      <c r="F693">
        <f>(FruitDMg!F693/FruitFW!F693)*100</f>
        <v>16.8</v>
      </c>
    </row>
    <row r="694" spans="1:6" x14ac:dyDescent="0.25">
      <c r="A694" t="s">
        <v>13</v>
      </c>
      <c r="B694" s="2">
        <v>42531</v>
      </c>
      <c r="C694">
        <v>2016</v>
      </c>
      <c r="E694" t="s">
        <v>6</v>
      </c>
      <c r="F694">
        <f>(FruitDMg!F694/FruitFW!F694)*100</f>
        <v>16.800000000000004</v>
      </c>
    </row>
    <row r="695" spans="1:6" x14ac:dyDescent="0.25">
      <c r="A695" t="s">
        <v>13</v>
      </c>
      <c r="B695" s="2">
        <v>42535</v>
      </c>
      <c r="C695">
        <v>2016</v>
      </c>
      <c r="E695" t="s">
        <v>6</v>
      </c>
      <c r="F695">
        <f>(FruitDMg!F695/FruitFW!F695)*100</f>
        <v>18.000000000000004</v>
      </c>
    </row>
    <row r="696" spans="1:6" x14ac:dyDescent="0.25">
      <c r="A696" t="s">
        <v>13</v>
      </c>
      <c r="B696" s="2">
        <v>42535</v>
      </c>
      <c r="C696">
        <v>2016</v>
      </c>
      <c r="E696" t="s">
        <v>6</v>
      </c>
      <c r="F696">
        <f>(FruitDMg!F696/FruitFW!F696)*100</f>
        <v>17.3</v>
      </c>
    </row>
    <row r="697" spans="1:6" x14ac:dyDescent="0.25">
      <c r="A697" t="s">
        <v>14</v>
      </c>
      <c r="B697" s="2">
        <v>42752</v>
      </c>
      <c r="C697">
        <v>2017</v>
      </c>
      <c r="E697" t="s">
        <v>6</v>
      </c>
      <c r="F697">
        <f>(FruitDMg!F697/FruitFW!F697)*100</f>
        <v>8.6</v>
      </c>
    </row>
    <row r="698" spans="1:6" x14ac:dyDescent="0.25">
      <c r="A698" t="s">
        <v>14</v>
      </c>
      <c r="B698" s="2">
        <v>42752</v>
      </c>
      <c r="C698">
        <v>2017</v>
      </c>
      <c r="E698" t="s">
        <v>6</v>
      </c>
      <c r="F698">
        <f>(FruitDMg!F698/FruitFW!F698)*100</f>
        <v>7.1999999999999993</v>
      </c>
    </row>
    <row r="699" spans="1:6" x14ac:dyDescent="0.25">
      <c r="A699" t="s">
        <v>14</v>
      </c>
      <c r="B699" s="2">
        <v>42787</v>
      </c>
      <c r="C699">
        <v>2017</v>
      </c>
      <c r="E699" t="s">
        <v>6</v>
      </c>
      <c r="F699">
        <f>(FruitDMg!F699/FruitFW!F699)*100</f>
        <v>12.8</v>
      </c>
    </row>
    <row r="700" spans="1:6" x14ac:dyDescent="0.25">
      <c r="A700" t="s">
        <v>14</v>
      </c>
      <c r="B700" s="2">
        <v>42787</v>
      </c>
      <c r="C700">
        <v>2017</v>
      </c>
      <c r="E700" t="s">
        <v>6</v>
      </c>
      <c r="F700">
        <f>(FruitDMg!F700/FruitFW!F700)*100</f>
        <v>11.4</v>
      </c>
    </row>
    <row r="701" spans="1:6" x14ac:dyDescent="0.25">
      <c r="A701" t="s">
        <v>14</v>
      </c>
      <c r="B701" s="2">
        <v>42801</v>
      </c>
      <c r="C701">
        <v>2017</v>
      </c>
      <c r="E701" t="s">
        <v>6</v>
      </c>
      <c r="F701">
        <f>(FruitDMg!F701/FruitFW!F701)*100</f>
        <v>14.299999999999999</v>
      </c>
    </row>
    <row r="702" spans="1:6" x14ac:dyDescent="0.25">
      <c r="A702" t="s">
        <v>14</v>
      </c>
      <c r="B702" s="2">
        <v>42801</v>
      </c>
      <c r="C702">
        <v>2017</v>
      </c>
      <c r="E702" t="s">
        <v>6</v>
      </c>
      <c r="F702">
        <f>(FruitDMg!F702/FruitFW!F702)*100</f>
        <v>12.7</v>
      </c>
    </row>
    <row r="703" spans="1:6" x14ac:dyDescent="0.25">
      <c r="A703" t="s">
        <v>14</v>
      </c>
      <c r="B703" s="2">
        <v>42815</v>
      </c>
      <c r="C703">
        <v>2017</v>
      </c>
      <c r="E703" t="s">
        <v>6</v>
      </c>
      <c r="F703">
        <f>(FruitDMg!F703/FruitFW!F703)*100</f>
        <v>14.7</v>
      </c>
    </row>
    <row r="704" spans="1:6" x14ac:dyDescent="0.25">
      <c r="A704" t="s">
        <v>14</v>
      </c>
      <c r="B704" s="2">
        <v>42815</v>
      </c>
      <c r="C704">
        <v>2017</v>
      </c>
      <c r="E704" t="s">
        <v>6</v>
      </c>
      <c r="F704">
        <f>(FruitDMg!F704/FruitFW!F704)*100</f>
        <v>13.700000000000001</v>
      </c>
    </row>
    <row r="705" spans="1:6" x14ac:dyDescent="0.25">
      <c r="A705" t="s">
        <v>14</v>
      </c>
      <c r="B705" s="2">
        <v>42829</v>
      </c>
      <c r="C705">
        <v>2017</v>
      </c>
      <c r="E705" t="s">
        <v>6</v>
      </c>
      <c r="F705">
        <f>(FruitDMg!F705/FruitFW!F705)*100</f>
        <v>15.300000000000002</v>
      </c>
    </row>
    <row r="706" spans="1:6" x14ac:dyDescent="0.25">
      <c r="A706" t="s">
        <v>14</v>
      </c>
      <c r="B706" s="2">
        <v>42829</v>
      </c>
      <c r="C706">
        <v>2017</v>
      </c>
      <c r="E706" t="s">
        <v>6</v>
      </c>
      <c r="F706">
        <f>(FruitDMg!F706/FruitFW!F706)*100</f>
        <v>14.400000000000002</v>
      </c>
    </row>
    <row r="707" spans="1:6" x14ac:dyDescent="0.25">
      <c r="A707" t="s">
        <v>14</v>
      </c>
      <c r="B707" s="2">
        <v>42839</v>
      </c>
      <c r="C707">
        <v>2017</v>
      </c>
      <c r="E707" t="s">
        <v>6</v>
      </c>
      <c r="F707">
        <f>(FruitDMg!F707/FruitFW!F707)*100</f>
        <v>14.900000000000002</v>
      </c>
    </row>
    <row r="708" spans="1:6" x14ac:dyDescent="0.25">
      <c r="A708" t="s">
        <v>14</v>
      </c>
      <c r="B708" s="2">
        <v>42839</v>
      </c>
      <c r="C708">
        <v>2017</v>
      </c>
      <c r="E708" t="s">
        <v>6</v>
      </c>
      <c r="F708">
        <f>(FruitDMg!F708/FruitFW!F708)*100</f>
        <v>14.2</v>
      </c>
    </row>
    <row r="709" spans="1:6" x14ac:dyDescent="0.25">
      <c r="A709" t="s">
        <v>14</v>
      </c>
      <c r="B709" s="2">
        <v>42844</v>
      </c>
      <c r="C709">
        <v>2017</v>
      </c>
      <c r="E709" t="s">
        <v>6</v>
      </c>
      <c r="F709">
        <f>(FruitDMg!F709/FruitFW!F709)*100</f>
        <v>15.7</v>
      </c>
    </row>
    <row r="710" spans="1:6" x14ac:dyDescent="0.25">
      <c r="A710" t="s">
        <v>14</v>
      </c>
      <c r="B710" s="2">
        <v>42844</v>
      </c>
      <c r="C710">
        <v>2017</v>
      </c>
      <c r="E710" t="s">
        <v>6</v>
      </c>
      <c r="F710">
        <f>(FruitDMg!F710/FruitFW!F710)*100</f>
        <v>14.900000000000002</v>
      </c>
    </row>
    <row r="711" spans="1:6" x14ac:dyDescent="0.25">
      <c r="A711" t="s">
        <v>14</v>
      </c>
      <c r="B711" s="2">
        <v>42850</v>
      </c>
      <c r="C711">
        <v>2017</v>
      </c>
      <c r="E711" t="s">
        <v>6</v>
      </c>
      <c r="F711">
        <f>(FruitDMg!F711/FruitFW!F711)*100</f>
        <v>15.1</v>
      </c>
    </row>
    <row r="712" spans="1:6" x14ac:dyDescent="0.25">
      <c r="A712" t="s">
        <v>14</v>
      </c>
      <c r="B712" s="2">
        <v>42853</v>
      </c>
      <c r="C712">
        <v>2017</v>
      </c>
      <c r="E712" t="s">
        <v>6</v>
      </c>
      <c r="F712">
        <f>(FruitDMg!F712/FruitFW!F712)*100</f>
        <v>15.9</v>
      </c>
    </row>
    <row r="713" spans="1:6" x14ac:dyDescent="0.25">
      <c r="A713" t="s">
        <v>14</v>
      </c>
      <c r="B713" s="2">
        <v>42858</v>
      </c>
      <c r="C713">
        <v>2017</v>
      </c>
      <c r="E713" t="s">
        <v>6</v>
      </c>
      <c r="F713">
        <f>(FruitDMg!F713/FruitFW!F713)*100</f>
        <v>16.100000000000001</v>
      </c>
    </row>
    <row r="714" spans="1:6" x14ac:dyDescent="0.25">
      <c r="A714" t="s">
        <v>14</v>
      </c>
      <c r="B714" s="2">
        <v>42858</v>
      </c>
      <c r="C714">
        <v>2017</v>
      </c>
      <c r="E714" t="s">
        <v>6</v>
      </c>
      <c r="F714">
        <f>(FruitDMg!F714/FruitFW!F714)*100</f>
        <v>15</v>
      </c>
    </row>
    <row r="715" spans="1:6" x14ac:dyDescent="0.25">
      <c r="A715" t="s">
        <v>14</v>
      </c>
      <c r="B715" s="2">
        <v>42871</v>
      </c>
      <c r="C715">
        <v>2017</v>
      </c>
      <c r="E715" t="s">
        <v>6</v>
      </c>
      <c r="F715">
        <f>(FruitDMg!F715/FruitFW!F715)*100</f>
        <v>16.8</v>
      </c>
    </row>
    <row r="716" spans="1:6" x14ac:dyDescent="0.25">
      <c r="A716" t="s">
        <v>14</v>
      </c>
      <c r="B716" s="2">
        <v>42871</v>
      </c>
      <c r="C716">
        <v>2017</v>
      </c>
      <c r="E716" t="s">
        <v>6</v>
      </c>
      <c r="F716">
        <f>(FruitDMg!F716/FruitFW!F716)*100</f>
        <v>16.2</v>
      </c>
    </row>
    <row r="717" spans="1:6" x14ac:dyDescent="0.25">
      <c r="A717" t="s">
        <v>14</v>
      </c>
      <c r="B717" s="2">
        <v>42885</v>
      </c>
      <c r="C717">
        <v>2017</v>
      </c>
      <c r="E717" t="s">
        <v>6</v>
      </c>
      <c r="F717">
        <f>(FruitDMg!F717/FruitFW!F717)*100</f>
        <v>16.900000000000002</v>
      </c>
    </row>
    <row r="718" spans="1:6" x14ac:dyDescent="0.25">
      <c r="A718" t="s">
        <v>14</v>
      </c>
      <c r="B718" s="2">
        <v>42885</v>
      </c>
      <c r="C718">
        <v>2017</v>
      </c>
      <c r="E718" t="s">
        <v>6</v>
      </c>
      <c r="F718">
        <f>(FruitDMg!F718/FruitFW!F718)*100</f>
        <v>16.3</v>
      </c>
    </row>
    <row r="719" spans="1:6" x14ac:dyDescent="0.25">
      <c r="A719" t="s">
        <v>14</v>
      </c>
      <c r="B719" s="2">
        <v>42893</v>
      </c>
      <c r="C719">
        <v>2017</v>
      </c>
      <c r="E719" t="s">
        <v>6</v>
      </c>
      <c r="F719">
        <f>(FruitDMg!F719/FruitFW!F719)*100</f>
        <v>17.100000000000005</v>
      </c>
    </row>
    <row r="720" spans="1:6" x14ac:dyDescent="0.25">
      <c r="A720" t="s">
        <v>14</v>
      </c>
      <c r="B720" s="2">
        <v>42893</v>
      </c>
      <c r="C720">
        <v>2017</v>
      </c>
      <c r="E720" t="s">
        <v>6</v>
      </c>
      <c r="F720">
        <f>(FruitDMg!F720/FruitFW!F720)*100</f>
        <v>16.5</v>
      </c>
    </row>
    <row r="721" spans="1:6" x14ac:dyDescent="0.25">
      <c r="A721" t="s">
        <v>14</v>
      </c>
      <c r="B721" s="2">
        <v>42907</v>
      </c>
      <c r="C721">
        <v>2017</v>
      </c>
      <c r="E721" t="s">
        <v>6</v>
      </c>
      <c r="F721">
        <f>(FruitDMg!F721/FruitFW!F721)*100</f>
        <v>17.3</v>
      </c>
    </row>
    <row r="722" spans="1:6" x14ac:dyDescent="0.25">
      <c r="A722" t="s">
        <v>14</v>
      </c>
      <c r="B722" s="2">
        <v>42907</v>
      </c>
      <c r="C722">
        <v>2017</v>
      </c>
      <c r="E722" t="s">
        <v>6</v>
      </c>
      <c r="F722">
        <f>(FruitDMg!F722/FruitFW!F722)*100</f>
        <v>16.400000000000002</v>
      </c>
    </row>
    <row r="723" spans="1:6" x14ac:dyDescent="0.25">
      <c r="A723" t="s">
        <v>14</v>
      </c>
      <c r="B723" s="2">
        <v>42753</v>
      </c>
      <c r="C723">
        <v>2017</v>
      </c>
      <c r="E723" t="s">
        <v>6</v>
      </c>
      <c r="F723">
        <f>(FruitDMg!F723/FruitFW!F723)*100</f>
        <v>8</v>
      </c>
    </row>
    <row r="724" spans="1:6" x14ac:dyDescent="0.25">
      <c r="A724" t="s">
        <v>14</v>
      </c>
      <c r="B724" s="2">
        <v>42789</v>
      </c>
      <c r="C724">
        <v>2017</v>
      </c>
      <c r="E724" t="s">
        <v>6</v>
      </c>
      <c r="F724">
        <f>(FruitDMg!F724/FruitFW!F724)*100</f>
        <v>12.4</v>
      </c>
    </row>
    <row r="725" spans="1:6" x14ac:dyDescent="0.25">
      <c r="A725" t="s">
        <v>14</v>
      </c>
      <c r="B725" s="2">
        <v>42804</v>
      </c>
      <c r="C725">
        <v>2017</v>
      </c>
      <c r="E725" t="s">
        <v>6</v>
      </c>
      <c r="F725">
        <f>(FruitDMg!F725/FruitFW!F725)*100</f>
        <v>14.6</v>
      </c>
    </row>
    <row r="726" spans="1:6" x14ac:dyDescent="0.25">
      <c r="A726" t="s">
        <v>14</v>
      </c>
      <c r="B726" s="2">
        <v>42817</v>
      </c>
      <c r="C726">
        <v>2017</v>
      </c>
      <c r="E726" t="s">
        <v>6</v>
      </c>
      <c r="F726">
        <f>(FruitDMg!F726/FruitFW!F726)*100</f>
        <v>15.5</v>
      </c>
    </row>
    <row r="727" spans="1:6" x14ac:dyDescent="0.25">
      <c r="A727" t="s">
        <v>14</v>
      </c>
      <c r="B727" s="2">
        <v>42832</v>
      </c>
      <c r="C727">
        <v>2017</v>
      </c>
      <c r="E727" t="s">
        <v>6</v>
      </c>
      <c r="F727">
        <f>(FruitDMg!F727/FruitFW!F727)*100</f>
        <v>15.9</v>
      </c>
    </row>
    <row r="728" spans="1:6" x14ac:dyDescent="0.25">
      <c r="A728" t="s">
        <v>14</v>
      </c>
      <c r="B728" s="2">
        <v>42838</v>
      </c>
      <c r="C728">
        <v>2017</v>
      </c>
      <c r="E728" t="s">
        <v>6</v>
      </c>
      <c r="F728">
        <f>(FruitDMg!F728/FruitFW!F728)*100</f>
        <v>16</v>
      </c>
    </row>
    <row r="729" spans="1:6" x14ac:dyDescent="0.25">
      <c r="A729" t="s">
        <v>14</v>
      </c>
      <c r="B729" s="2">
        <v>42845</v>
      </c>
      <c r="C729">
        <v>2017</v>
      </c>
      <c r="E729" t="s">
        <v>6</v>
      </c>
      <c r="F729">
        <f>(FruitDMg!F729/FruitFW!F729)*100</f>
        <v>16.7</v>
      </c>
    </row>
    <row r="730" spans="1:6" x14ac:dyDescent="0.25">
      <c r="A730" t="s">
        <v>14</v>
      </c>
      <c r="B730" s="2">
        <v>42853</v>
      </c>
      <c r="C730">
        <v>2017</v>
      </c>
      <c r="E730" t="s">
        <v>6</v>
      </c>
      <c r="F730">
        <f>(FruitDMg!F730/FruitFW!F730)*100</f>
        <v>16.900000000000002</v>
      </c>
    </row>
    <row r="731" spans="1:6" x14ac:dyDescent="0.25">
      <c r="A731" t="s">
        <v>14</v>
      </c>
      <c r="B731" s="2">
        <v>42859</v>
      </c>
      <c r="C731">
        <v>2017</v>
      </c>
      <c r="E731" t="s">
        <v>6</v>
      </c>
      <c r="F731">
        <f>(FruitDMg!F731/FruitFW!F731)*100</f>
        <v>17</v>
      </c>
    </row>
    <row r="732" spans="1:6" x14ac:dyDescent="0.25">
      <c r="A732" t="s">
        <v>14</v>
      </c>
      <c r="B732" s="2">
        <v>42873</v>
      </c>
      <c r="C732">
        <v>2017</v>
      </c>
      <c r="E732" t="s">
        <v>6</v>
      </c>
      <c r="F732">
        <f>(FruitDMg!F732/FruitFW!F732)*100</f>
        <v>17.7</v>
      </c>
    </row>
    <row r="733" spans="1:6" x14ac:dyDescent="0.25">
      <c r="A733" t="s">
        <v>14</v>
      </c>
      <c r="B733" s="2">
        <v>42887</v>
      </c>
      <c r="C733">
        <v>2017</v>
      </c>
      <c r="E733" t="s">
        <v>6</v>
      </c>
      <c r="F733">
        <f>(FruitDMg!F733/FruitFW!F733)*100</f>
        <v>17.7</v>
      </c>
    </row>
    <row r="734" spans="1:6" x14ac:dyDescent="0.25">
      <c r="A734" t="s">
        <v>14</v>
      </c>
      <c r="B734" s="2">
        <v>42894</v>
      </c>
      <c r="C734">
        <v>2017</v>
      </c>
      <c r="E734" t="s">
        <v>6</v>
      </c>
      <c r="F734">
        <f>(FruitDMg!F734/FruitFW!F734)*100</f>
        <v>18.100000000000001</v>
      </c>
    </row>
    <row r="735" spans="1:6" x14ac:dyDescent="0.25">
      <c r="A735" t="s">
        <v>14</v>
      </c>
      <c r="B735" s="2">
        <v>42908</v>
      </c>
      <c r="C735">
        <v>2017</v>
      </c>
      <c r="E735" t="s">
        <v>6</v>
      </c>
      <c r="F735">
        <f>(FruitDMg!F735/FruitFW!F735)*100</f>
        <v>17.899999999999999</v>
      </c>
    </row>
    <row r="736" spans="1:6" x14ac:dyDescent="0.25">
      <c r="A736" t="s">
        <v>14</v>
      </c>
      <c r="B736" s="2">
        <v>42753</v>
      </c>
      <c r="C736">
        <v>2017</v>
      </c>
      <c r="E736" t="s">
        <v>6</v>
      </c>
      <c r="F736">
        <f>(FruitDMg!F736/FruitFW!F736)*100</f>
        <v>8</v>
      </c>
    </row>
    <row r="737" spans="1:6" x14ac:dyDescent="0.25">
      <c r="A737" t="s">
        <v>14</v>
      </c>
      <c r="B737" s="2">
        <v>42753</v>
      </c>
      <c r="C737">
        <v>2017</v>
      </c>
      <c r="E737" t="s">
        <v>6</v>
      </c>
      <c r="F737">
        <f>(FruitDMg!F737/FruitFW!F737)*100</f>
        <v>7.8</v>
      </c>
    </row>
    <row r="738" spans="1:6" x14ac:dyDescent="0.25">
      <c r="A738" t="s">
        <v>14</v>
      </c>
      <c r="B738" s="2">
        <v>42753</v>
      </c>
      <c r="C738">
        <v>2017</v>
      </c>
      <c r="E738" t="s">
        <v>6</v>
      </c>
      <c r="F738">
        <f>(FruitDMg!F738/FruitFW!F738)*100</f>
        <v>8.1</v>
      </c>
    </row>
    <row r="739" spans="1:6" x14ac:dyDescent="0.25">
      <c r="A739" t="s">
        <v>14</v>
      </c>
      <c r="B739" s="2">
        <v>42753</v>
      </c>
      <c r="C739">
        <v>2017</v>
      </c>
      <c r="E739" t="s">
        <v>6</v>
      </c>
      <c r="F739">
        <f>(FruitDMg!F739/FruitFW!F739)*100</f>
        <v>8.5</v>
      </c>
    </row>
    <row r="740" spans="1:6" x14ac:dyDescent="0.25">
      <c r="A740" t="s">
        <v>14</v>
      </c>
      <c r="B740" s="2">
        <v>42788</v>
      </c>
      <c r="C740">
        <v>2017</v>
      </c>
      <c r="E740" t="s">
        <v>6</v>
      </c>
      <c r="F740">
        <f>(FruitDMg!F740/FruitFW!F740)*100</f>
        <v>13.100000000000001</v>
      </c>
    </row>
    <row r="741" spans="1:6" x14ac:dyDescent="0.25">
      <c r="A741" t="s">
        <v>14</v>
      </c>
      <c r="B741" s="2">
        <v>42789</v>
      </c>
      <c r="C741">
        <v>2017</v>
      </c>
      <c r="E741" t="s">
        <v>6</v>
      </c>
      <c r="F741">
        <f>(FruitDMg!F741/FruitFW!F741)*100</f>
        <v>13</v>
      </c>
    </row>
    <row r="742" spans="1:6" x14ac:dyDescent="0.25">
      <c r="A742" t="s">
        <v>14</v>
      </c>
      <c r="B742" s="2">
        <v>42789</v>
      </c>
      <c r="C742">
        <v>2017</v>
      </c>
      <c r="E742" t="s">
        <v>6</v>
      </c>
      <c r="F742">
        <f>(FruitDMg!F742/FruitFW!F742)*100</f>
        <v>12.400000000000002</v>
      </c>
    </row>
    <row r="743" spans="1:6" x14ac:dyDescent="0.25">
      <c r="A743" t="s">
        <v>14</v>
      </c>
      <c r="B743" s="2">
        <v>42789</v>
      </c>
      <c r="C743">
        <v>2017</v>
      </c>
      <c r="E743" t="s">
        <v>6</v>
      </c>
      <c r="F743">
        <f>(FruitDMg!F743/FruitFW!F743)*100</f>
        <v>12.999999999999998</v>
      </c>
    </row>
    <row r="744" spans="1:6" x14ac:dyDescent="0.25">
      <c r="A744" t="s">
        <v>14</v>
      </c>
      <c r="B744" s="2">
        <v>42803</v>
      </c>
      <c r="C744">
        <v>2017</v>
      </c>
      <c r="E744" t="s">
        <v>6</v>
      </c>
      <c r="F744">
        <f>(FruitDMg!F744/FruitFW!F744)*100</f>
        <v>14.400000000000002</v>
      </c>
    </row>
    <row r="745" spans="1:6" x14ac:dyDescent="0.25">
      <c r="A745" t="s">
        <v>14</v>
      </c>
      <c r="B745" s="2">
        <v>42803</v>
      </c>
      <c r="C745">
        <v>2017</v>
      </c>
      <c r="E745" t="s">
        <v>6</v>
      </c>
      <c r="F745">
        <f>(FruitDMg!F745/FruitFW!F745)*100</f>
        <v>14.899999999999999</v>
      </c>
    </row>
    <row r="746" spans="1:6" x14ac:dyDescent="0.25">
      <c r="A746" t="s">
        <v>14</v>
      </c>
      <c r="B746" s="2">
        <v>42804</v>
      </c>
      <c r="C746">
        <v>2017</v>
      </c>
      <c r="E746" t="s">
        <v>6</v>
      </c>
      <c r="F746">
        <f>(FruitDMg!F746/FruitFW!F746)*100</f>
        <v>15.1</v>
      </c>
    </row>
    <row r="747" spans="1:6" x14ac:dyDescent="0.25">
      <c r="A747" t="s">
        <v>14</v>
      </c>
      <c r="B747" s="2">
        <v>42804</v>
      </c>
      <c r="C747">
        <v>2017</v>
      </c>
      <c r="E747" t="s">
        <v>6</v>
      </c>
      <c r="F747">
        <f>(FruitDMg!F747/FruitFW!F747)*100</f>
        <v>14.7</v>
      </c>
    </row>
    <row r="748" spans="1:6" x14ac:dyDescent="0.25">
      <c r="A748" t="s">
        <v>14</v>
      </c>
      <c r="B748" s="2">
        <v>42816</v>
      </c>
      <c r="C748">
        <v>2017</v>
      </c>
      <c r="E748" t="s">
        <v>6</v>
      </c>
      <c r="F748">
        <f>(FruitDMg!F748/FruitFW!F748)*100</f>
        <v>15.6</v>
      </c>
    </row>
    <row r="749" spans="1:6" x14ac:dyDescent="0.25">
      <c r="A749" t="s">
        <v>14</v>
      </c>
      <c r="B749" s="2">
        <v>42817</v>
      </c>
      <c r="C749">
        <v>2017</v>
      </c>
      <c r="E749" t="s">
        <v>6</v>
      </c>
      <c r="F749">
        <f>(FruitDMg!F749/FruitFW!F749)*100</f>
        <v>15.599999999999998</v>
      </c>
    </row>
    <row r="750" spans="1:6" x14ac:dyDescent="0.25">
      <c r="A750" t="s">
        <v>14</v>
      </c>
      <c r="B750" s="2">
        <v>42817</v>
      </c>
      <c r="C750">
        <v>2017</v>
      </c>
      <c r="E750" t="s">
        <v>6</v>
      </c>
      <c r="F750">
        <f>(FruitDMg!F750/FruitFW!F750)*100</f>
        <v>14.899999999999999</v>
      </c>
    </row>
    <row r="751" spans="1:6" x14ac:dyDescent="0.25">
      <c r="A751" t="s">
        <v>14</v>
      </c>
      <c r="B751" s="2">
        <v>42817</v>
      </c>
      <c r="C751">
        <v>2017</v>
      </c>
      <c r="E751" t="s">
        <v>6</v>
      </c>
      <c r="F751">
        <f>(FruitDMg!F751/FruitFW!F751)*100</f>
        <v>15.699999999999998</v>
      </c>
    </row>
    <row r="752" spans="1:6" x14ac:dyDescent="0.25">
      <c r="A752" t="s">
        <v>14</v>
      </c>
      <c r="B752" s="2">
        <v>42831</v>
      </c>
      <c r="C752">
        <v>2017</v>
      </c>
      <c r="E752" t="s">
        <v>6</v>
      </c>
      <c r="F752">
        <f>(FruitDMg!F752/FruitFW!F752)*100</f>
        <v>16.100000000000001</v>
      </c>
    </row>
    <row r="753" spans="1:6" x14ac:dyDescent="0.25">
      <c r="A753" t="s">
        <v>14</v>
      </c>
      <c r="B753" s="2">
        <v>42832</v>
      </c>
      <c r="C753">
        <v>2017</v>
      </c>
      <c r="E753" t="s">
        <v>6</v>
      </c>
      <c r="F753">
        <f>(FruitDMg!F753/FruitFW!F753)*100</f>
        <v>16</v>
      </c>
    </row>
    <row r="754" spans="1:6" x14ac:dyDescent="0.25">
      <c r="A754" t="s">
        <v>14</v>
      </c>
      <c r="B754" s="2">
        <v>42832</v>
      </c>
      <c r="C754">
        <v>2017</v>
      </c>
      <c r="E754" t="s">
        <v>6</v>
      </c>
      <c r="F754">
        <f>(FruitDMg!F754/FruitFW!F754)*100</f>
        <v>15.400000000000002</v>
      </c>
    </row>
    <row r="755" spans="1:6" x14ac:dyDescent="0.25">
      <c r="A755" t="s">
        <v>14</v>
      </c>
      <c r="B755" s="2">
        <v>42832</v>
      </c>
      <c r="C755">
        <v>2017</v>
      </c>
      <c r="E755" t="s">
        <v>6</v>
      </c>
      <c r="F755">
        <f>(FruitDMg!F755/FruitFW!F755)*100</f>
        <v>16.2</v>
      </c>
    </row>
    <row r="756" spans="1:6" x14ac:dyDescent="0.25">
      <c r="A756" t="s">
        <v>14</v>
      </c>
      <c r="B756" s="2">
        <v>42837</v>
      </c>
      <c r="C756">
        <v>2017</v>
      </c>
      <c r="E756" t="s">
        <v>6</v>
      </c>
      <c r="F756">
        <f>(FruitDMg!F756/FruitFW!F756)*100</f>
        <v>16.100000000000001</v>
      </c>
    </row>
    <row r="757" spans="1:6" x14ac:dyDescent="0.25">
      <c r="A757" t="s">
        <v>14</v>
      </c>
      <c r="B757" s="2">
        <v>42838</v>
      </c>
      <c r="C757">
        <v>2017</v>
      </c>
      <c r="E757" t="s">
        <v>6</v>
      </c>
      <c r="F757">
        <f>(FruitDMg!F757/FruitFW!F757)*100</f>
        <v>16.100000000000001</v>
      </c>
    </row>
    <row r="758" spans="1:6" x14ac:dyDescent="0.25">
      <c r="A758" t="s">
        <v>14</v>
      </c>
      <c r="B758" s="2">
        <v>42838</v>
      </c>
      <c r="C758">
        <v>2017</v>
      </c>
      <c r="E758" t="s">
        <v>6</v>
      </c>
      <c r="F758">
        <f>(FruitDMg!F758/FruitFW!F758)*100</f>
        <v>15.400000000000002</v>
      </c>
    </row>
    <row r="759" spans="1:6" x14ac:dyDescent="0.25">
      <c r="A759" t="s">
        <v>14</v>
      </c>
      <c r="B759" s="2">
        <v>42838</v>
      </c>
      <c r="C759">
        <v>2017</v>
      </c>
      <c r="E759" t="s">
        <v>6</v>
      </c>
      <c r="F759">
        <f>(FruitDMg!F759/FruitFW!F759)*100</f>
        <v>16.100000000000001</v>
      </c>
    </row>
    <row r="760" spans="1:6" x14ac:dyDescent="0.25">
      <c r="A760" t="s">
        <v>14</v>
      </c>
      <c r="B760" s="2">
        <v>42844</v>
      </c>
      <c r="C760">
        <v>2017</v>
      </c>
      <c r="E760" t="s">
        <v>6</v>
      </c>
      <c r="F760">
        <f>(FruitDMg!F760/FruitFW!F760)*100</f>
        <v>16.100000000000001</v>
      </c>
    </row>
    <row r="761" spans="1:6" x14ac:dyDescent="0.25">
      <c r="A761" t="s">
        <v>14</v>
      </c>
      <c r="B761" s="2">
        <v>42845</v>
      </c>
      <c r="C761">
        <v>2017</v>
      </c>
      <c r="E761" t="s">
        <v>6</v>
      </c>
      <c r="F761">
        <f>(FruitDMg!F761/FruitFW!F761)*100</f>
        <v>16.3</v>
      </c>
    </row>
    <row r="762" spans="1:6" x14ac:dyDescent="0.25">
      <c r="A762" t="s">
        <v>14</v>
      </c>
      <c r="B762" s="2">
        <v>42845</v>
      </c>
      <c r="C762">
        <v>2017</v>
      </c>
      <c r="E762" t="s">
        <v>6</v>
      </c>
      <c r="F762">
        <f>(FruitDMg!F762/FruitFW!F762)*100</f>
        <v>15.5</v>
      </c>
    </row>
    <row r="763" spans="1:6" x14ac:dyDescent="0.25">
      <c r="A763" t="s">
        <v>14</v>
      </c>
      <c r="B763" s="2">
        <v>42845</v>
      </c>
      <c r="C763">
        <v>2017</v>
      </c>
      <c r="E763" t="s">
        <v>6</v>
      </c>
      <c r="F763">
        <f>(FruitDMg!F763/FruitFW!F763)*100</f>
        <v>16.799999999999997</v>
      </c>
    </row>
    <row r="764" spans="1:6" x14ac:dyDescent="0.25">
      <c r="A764" t="s">
        <v>14</v>
      </c>
      <c r="B764" s="2">
        <v>42853</v>
      </c>
      <c r="C764">
        <v>2017</v>
      </c>
      <c r="E764" t="s">
        <v>6</v>
      </c>
      <c r="F764">
        <f>(FruitDMg!F764/FruitFW!F764)*100</f>
        <v>16.7</v>
      </c>
    </row>
    <row r="765" spans="1:6" x14ac:dyDescent="0.25">
      <c r="A765" t="s">
        <v>14</v>
      </c>
      <c r="B765" s="2">
        <v>42853</v>
      </c>
      <c r="C765">
        <v>2017</v>
      </c>
      <c r="E765" t="s">
        <v>6</v>
      </c>
      <c r="F765">
        <f>(FruitDMg!F765/FruitFW!F765)*100</f>
        <v>16.2</v>
      </c>
    </row>
    <row r="766" spans="1:6" x14ac:dyDescent="0.25">
      <c r="A766" t="s">
        <v>14</v>
      </c>
      <c r="B766" s="2">
        <v>42853</v>
      </c>
      <c r="C766">
        <v>2017</v>
      </c>
      <c r="E766" t="s">
        <v>6</v>
      </c>
      <c r="F766">
        <f>(FruitDMg!F766/FruitFW!F766)*100</f>
        <v>17</v>
      </c>
    </row>
    <row r="767" spans="1:6" x14ac:dyDescent="0.25">
      <c r="A767" t="s">
        <v>14</v>
      </c>
      <c r="B767" s="2">
        <v>42853</v>
      </c>
      <c r="C767">
        <v>2017</v>
      </c>
      <c r="E767" t="s">
        <v>6</v>
      </c>
      <c r="F767">
        <f>(FruitDMg!F767/FruitFW!F767)*100</f>
        <v>17</v>
      </c>
    </row>
    <row r="768" spans="1:6" x14ac:dyDescent="0.25">
      <c r="A768" t="s">
        <v>14</v>
      </c>
      <c r="B768" s="2">
        <v>42858</v>
      </c>
      <c r="C768">
        <v>2017</v>
      </c>
      <c r="E768" t="s">
        <v>6</v>
      </c>
      <c r="F768">
        <f>(FruitDMg!F768/FruitFW!F768)*100</f>
        <v>17.2</v>
      </c>
    </row>
    <row r="769" spans="1:6" x14ac:dyDescent="0.25">
      <c r="A769" t="s">
        <v>14</v>
      </c>
      <c r="B769" s="2">
        <v>42859</v>
      </c>
      <c r="C769">
        <v>2017</v>
      </c>
      <c r="E769" t="s">
        <v>6</v>
      </c>
      <c r="F769">
        <f>(FruitDMg!F769/FruitFW!F769)*100</f>
        <v>16.399999999999999</v>
      </c>
    </row>
    <row r="770" spans="1:6" x14ac:dyDescent="0.25">
      <c r="A770" t="s">
        <v>14</v>
      </c>
      <c r="B770" s="2">
        <v>42860</v>
      </c>
      <c r="C770">
        <v>2017</v>
      </c>
      <c r="E770" t="s">
        <v>6</v>
      </c>
      <c r="F770">
        <f>(FruitDMg!F770/FruitFW!F770)*100</f>
        <v>16.800000000000004</v>
      </c>
    </row>
    <row r="771" spans="1:6" x14ac:dyDescent="0.25">
      <c r="A771" t="s">
        <v>14</v>
      </c>
      <c r="B771" s="2">
        <v>42860</v>
      </c>
      <c r="C771">
        <v>2017</v>
      </c>
      <c r="E771" t="s">
        <v>6</v>
      </c>
      <c r="F771">
        <f>(FruitDMg!F771/FruitFW!F771)*100</f>
        <v>17.199999999999996</v>
      </c>
    </row>
    <row r="772" spans="1:6" x14ac:dyDescent="0.25">
      <c r="A772" t="s">
        <v>14</v>
      </c>
      <c r="B772" s="2">
        <v>42872</v>
      </c>
      <c r="C772">
        <v>2017</v>
      </c>
      <c r="E772" t="s">
        <v>6</v>
      </c>
      <c r="F772">
        <f>(FruitDMg!F772/FruitFW!F772)*100</f>
        <v>17.699999999999996</v>
      </c>
    </row>
    <row r="773" spans="1:6" x14ac:dyDescent="0.25">
      <c r="A773" t="s">
        <v>14</v>
      </c>
      <c r="B773" s="2">
        <v>42873</v>
      </c>
      <c r="C773">
        <v>2017</v>
      </c>
      <c r="E773" t="s">
        <v>6</v>
      </c>
      <c r="F773">
        <f>(FruitDMg!F773/FruitFW!F773)*100</f>
        <v>17.2</v>
      </c>
    </row>
    <row r="774" spans="1:6" x14ac:dyDescent="0.25">
      <c r="A774" t="s">
        <v>14</v>
      </c>
      <c r="B774" s="2">
        <v>42873</v>
      </c>
      <c r="C774">
        <v>2017</v>
      </c>
      <c r="E774" t="s">
        <v>6</v>
      </c>
      <c r="F774">
        <f>(FruitDMg!F774/FruitFW!F774)*100</f>
        <v>16.7</v>
      </c>
    </row>
    <row r="775" spans="1:6" x14ac:dyDescent="0.25">
      <c r="A775" t="s">
        <v>14</v>
      </c>
      <c r="B775" s="2">
        <v>42873</v>
      </c>
      <c r="C775">
        <v>2017</v>
      </c>
      <c r="E775" t="s">
        <v>6</v>
      </c>
      <c r="F775">
        <f>(FruitDMg!F775/FruitFW!F775)*100</f>
        <v>17.600000000000001</v>
      </c>
    </row>
    <row r="776" spans="1:6" x14ac:dyDescent="0.25">
      <c r="A776" t="s">
        <v>14</v>
      </c>
      <c r="B776" s="2">
        <v>42886</v>
      </c>
      <c r="C776">
        <v>2017</v>
      </c>
      <c r="E776" t="s">
        <v>6</v>
      </c>
      <c r="F776">
        <f>(FruitDMg!F776/FruitFW!F776)*100</f>
        <v>18</v>
      </c>
    </row>
    <row r="777" spans="1:6" x14ac:dyDescent="0.25">
      <c r="A777" t="s">
        <v>14</v>
      </c>
      <c r="B777" s="2">
        <v>42887</v>
      </c>
      <c r="C777">
        <v>2017</v>
      </c>
      <c r="E777" t="s">
        <v>6</v>
      </c>
      <c r="F777">
        <f>(FruitDMg!F777/FruitFW!F777)*100</f>
        <v>17.399999999999999</v>
      </c>
    </row>
    <row r="778" spans="1:6" x14ac:dyDescent="0.25">
      <c r="A778" t="s">
        <v>14</v>
      </c>
      <c r="B778" s="2">
        <v>42887</v>
      </c>
      <c r="C778">
        <v>2017</v>
      </c>
      <c r="E778" t="s">
        <v>6</v>
      </c>
      <c r="F778">
        <f>(FruitDMg!F778/FruitFW!F778)*100</f>
        <v>16.899999999999999</v>
      </c>
    </row>
    <row r="779" spans="1:6" x14ac:dyDescent="0.25">
      <c r="A779" t="s">
        <v>14</v>
      </c>
      <c r="B779" s="2">
        <v>42887</v>
      </c>
      <c r="C779">
        <v>2017</v>
      </c>
      <c r="E779" t="s">
        <v>6</v>
      </c>
      <c r="F779">
        <f>(FruitDMg!F779/FruitFW!F779)*100</f>
        <v>18</v>
      </c>
    </row>
    <row r="780" spans="1:6" x14ac:dyDescent="0.25">
      <c r="A780" t="s">
        <v>14</v>
      </c>
      <c r="B780" s="2">
        <v>42893</v>
      </c>
      <c r="C780">
        <v>2017</v>
      </c>
      <c r="E780" t="s">
        <v>6</v>
      </c>
      <c r="F780">
        <f>(FruitDMg!F780/FruitFW!F780)*100</f>
        <v>17.899999999999999</v>
      </c>
    </row>
    <row r="781" spans="1:6" x14ac:dyDescent="0.25">
      <c r="A781" t="s">
        <v>14</v>
      </c>
      <c r="B781" s="2">
        <v>42893</v>
      </c>
      <c r="C781">
        <v>2017</v>
      </c>
      <c r="E781" t="s">
        <v>6</v>
      </c>
      <c r="F781">
        <f>(FruitDMg!F781/FruitFW!F781)*100</f>
        <v>17.8</v>
      </c>
    </row>
    <row r="782" spans="1:6" x14ac:dyDescent="0.25">
      <c r="A782" t="s">
        <v>14</v>
      </c>
      <c r="B782" s="2">
        <v>42894</v>
      </c>
      <c r="C782">
        <v>2017</v>
      </c>
      <c r="E782" t="s">
        <v>6</v>
      </c>
      <c r="F782">
        <f>(FruitDMg!F782/FruitFW!F782)*100</f>
        <v>17.7</v>
      </c>
    </row>
    <row r="783" spans="1:6" x14ac:dyDescent="0.25">
      <c r="A783" t="s">
        <v>14</v>
      </c>
      <c r="B783" s="2">
        <v>42907</v>
      </c>
      <c r="C783">
        <v>2017</v>
      </c>
      <c r="E783" t="s">
        <v>6</v>
      </c>
      <c r="F783">
        <f>(FruitDMg!F783/FruitFW!F783)*100</f>
        <v>17.5</v>
      </c>
    </row>
    <row r="784" spans="1:6" x14ac:dyDescent="0.25">
      <c r="A784" t="s">
        <v>14</v>
      </c>
      <c r="B784" s="2">
        <v>42907</v>
      </c>
      <c r="C784">
        <v>2017</v>
      </c>
      <c r="E784" t="s">
        <v>6</v>
      </c>
      <c r="F784">
        <f>(FruitDMg!F784/FruitFW!F784)*100</f>
        <v>18</v>
      </c>
    </row>
    <row r="785" spans="1:6" x14ac:dyDescent="0.25">
      <c r="A785" t="s">
        <v>14</v>
      </c>
      <c r="B785" s="2">
        <v>42908</v>
      </c>
      <c r="C785">
        <v>2017</v>
      </c>
      <c r="E785" t="s">
        <v>6</v>
      </c>
      <c r="F785">
        <f>(FruitDMg!F785/FruitFW!F785)*100</f>
        <v>17.8</v>
      </c>
    </row>
    <row r="786" spans="1:6" x14ac:dyDescent="0.25">
      <c r="A786" t="s">
        <v>15</v>
      </c>
      <c r="B786" s="2">
        <v>43116</v>
      </c>
      <c r="C786">
        <v>2018</v>
      </c>
      <c r="E786" t="s">
        <v>6</v>
      </c>
      <c r="F786">
        <f>(FruitDMg!F786/FruitFW!F786)*100</f>
        <v>7.7</v>
      </c>
    </row>
    <row r="787" spans="1:6" x14ac:dyDescent="0.25">
      <c r="A787" t="s">
        <v>15</v>
      </c>
      <c r="B787" s="2">
        <v>43116</v>
      </c>
      <c r="C787">
        <v>2018</v>
      </c>
      <c r="E787" t="s">
        <v>6</v>
      </c>
      <c r="F787">
        <f>(FruitDMg!F787/FruitFW!F787)*100</f>
        <v>6.7999999999999989</v>
      </c>
    </row>
    <row r="788" spans="1:6" x14ac:dyDescent="0.25">
      <c r="A788" t="s">
        <v>15</v>
      </c>
      <c r="B788" s="2">
        <v>43151</v>
      </c>
      <c r="C788">
        <v>2018</v>
      </c>
      <c r="E788" t="s">
        <v>6</v>
      </c>
      <c r="F788">
        <f>(FruitDMg!F788/FruitFW!F788)*100</f>
        <v>12.599999999999998</v>
      </c>
    </row>
    <row r="789" spans="1:6" x14ac:dyDescent="0.25">
      <c r="A789" t="s">
        <v>15</v>
      </c>
      <c r="B789" s="2">
        <v>43151</v>
      </c>
      <c r="C789">
        <v>2018</v>
      </c>
      <c r="E789" t="s">
        <v>6</v>
      </c>
      <c r="F789">
        <f>(FruitDMg!F789/FruitFW!F789)*100</f>
        <v>11.4</v>
      </c>
    </row>
    <row r="790" spans="1:6" x14ac:dyDescent="0.25">
      <c r="A790" t="s">
        <v>15</v>
      </c>
      <c r="B790" s="2">
        <v>43165</v>
      </c>
      <c r="C790">
        <v>2018</v>
      </c>
      <c r="E790" t="s">
        <v>6</v>
      </c>
      <c r="F790">
        <f>(FruitDMg!F790/FruitFW!F790)*100</f>
        <v>14.3</v>
      </c>
    </row>
    <row r="791" spans="1:6" x14ac:dyDescent="0.25">
      <c r="A791" t="s">
        <v>15</v>
      </c>
      <c r="B791" s="2">
        <v>43165</v>
      </c>
      <c r="C791">
        <v>2018</v>
      </c>
      <c r="E791" t="s">
        <v>6</v>
      </c>
      <c r="F791">
        <f>(FruitDMg!F791/FruitFW!F791)*100</f>
        <v>13.299999999999997</v>
      </c>
    </row>
    <row r="792" spans="1:6" x14ac:dyDescent="0.25">
      <c r="A792" t="s">
        <v>15</v>
      </c>
      <c r="B792" s="2">
        <v>43179</v>
      </c>
      <c r="C792">
        <v>2018</v>
      </c>
      <c r="E792" t="s">
        <v>6</v>
      </c>
      <c r="F792">
        <f>(FruitDMg!F792/FruitFW!F792)*100</f>
        <v>15.7</v>
      </c>
    </row>
    <row r="793" spans="1:6" x14ac:dyDescent="0.25">
      <c r="A793" t="s">
        <v>15</v>
      </c>
      <c r="B793" s="2">
        <v>43179</v>
      </c>
      <c r="C793">
        <v>2018</v>
      </c>
      <c r="E793" t="s">
        <v>6</v>
      </c>
      <c r="F793">
        <f>(FruitDMg!F793/FruitFW!F793)*100</f>
        <v>14.7</v>
      </c>
    </row>
    <row r="794" spans="1:6" x14ac:dyDescent="0.25">
      <c r="A794" t="s">
        <v>15</v>
      </c>
      <c r="B794" s="2">
        <v>43195</v>
      </c>
      <c r="C794">
        <v>2018</v>
      </c>
      <c r="E794" t="s">
        <v>6</v>
      </c>
      <c r="F794">
        <f>(FruitDMg!F794/FruitFW!F794)*100</f>
        <v>16.399999999999999</v>
      </c>
    </row>
    <row r="795" spans="1:6" x14ac:dyDescent="0.25">
      <c r="A795" t="s">
        <v>15</v>
      </c>
      <c r="B795" s="2">
        <v>43195</v>
      </c>
      <c r="C795">
        <v>2018</v>
      </c>
      <c r="E795" t="s">
        <v>6</v>
      </c>
      <c r="F795">
        <f>(FruitDMg!F795/FruitFW!F795)*100</f>
        <v>15.4</v>
      </c>
    </row>
    <row r="796" spans="1:6" x14ac:dyDescent="0.25">
      <c r="A796" t="s">
        <v>15</v>
      </c>
      <c r="B796" s="2">
        <v>43201</v>
      </c>
      <c r="C796">
        <v>2018</v>
      </c>
      <c r="E796" t="s">
        <v>6</v>
      </c>
      <c r="F796">
        <f>(FruitDMg!F796/FruitFW!F796)*100</f>
        <v>16.600000000000001</v>
      </c>
    </row>
    <row r="797" spans="1:6" x14ac:dyDescent="0.25">
      <c r="A797" t="s">
        <v>15</v>
      </c>
      <c r="B797" s="2">
        <v>43201</v>
      </c>
      <c r="C797">
        <v>2018</v>
      </c>
      <c r="E797" t="s">
        <v>6</v>
      </c>
      <c r="F797">
        <f>(FruitDMg!F797/FruitFW!F797)*100</f>
        <v>15.8</v>
      </c>
    </row>
    <row r="798" spans="1:6" x14ac:dyDescent="0.25">
      <c r="A798" t="s">
        <v>15</v>
      </c>
      <c r="B798" s="2">
        <v>43209</v>
      </c>
      <c r="C798">
        <v>2018</v>
      </c>
      <c r="E798" t="s">
        <v>6</v>
      </c>
      <c r="F798">
        <f>(FruitDMg!F798/FruitFW!F798)*100</f>
        <v>17.200000000000003</v>
      </c>
    </row>
    <row r="799" spans="1:6" x14ac:dyDescent="0.25">
      <c r="A799" t="s">
        <v>15</v>
      </c>
      <c r="B799" s="2">
        <v>43209</v>
      </c>
      <c r="C799">
        <v>2018</v>
      </c>
      <c r="E799" t="s">
        <v>6</v>
      </c>
      <c r="F799">
        <f>(FruitDMg!F799/FruitFW!F799)*100</f>
        <v>16</v>
      </c>
    </row>
    <row r="800" spans="1:6" x14ac:dyDescent="0.25">
      <c r="A800" t="s">
        <v>15</v>
      </c>
      <c r="B800" s="2">
        <v>43215</v>
      </c>
      <c r="C800">
        <v>2018</v>
      </c>
      <c r="E800" t="s">
        <v>6</v>
      </c>
      <c r="F800">
        <f>(FruitDMg!F800/FruitFW!F800)*100</f>
        <v>17.100000000000001</v>
      </c>
    </row>
    <row r="801" spans="1:6" x14ac:dyDescent="0.25">
      <c r="A801" t="s">
        <v>15</v>
      </c>
      <c r="B801" s="2">
        <v>43215</v>
      </c>
      <c r="C801">
        <v>2018</v>
      </c>
      <c r="E801" t="s">
        <v>6</v>
      </c>
      <c r="F801">
        <f>(FruitDMg!F801/FruitFW!F801)*100</f>
        <v>16</v>
      </c>
    </row>
    <row r="802" spans="1:6" x14ac:dyDescent="0.25">
      <c r="A802" t="s">
        <v>15</v>
      </c>
      <c r="B802" s="2">
        <v>43221</v>
      </c>
      <c r="C802">
        <v>2018</v>
      </c>
      <c r="E802" t="s">
        <v>6</v>
      </c>
      <c r="F802">
        <f>(FruitDMg!F802/FruitFW!F802)*100</f>
        <v>17.399999999999999</v>
      </c>
    </row>
    <row r="803" spans="1:6" x14ac:dyDescent="0.25">
      <c r="A803" t="s">
        <v>15</v>
      </c>
      <c r="B803" s="2">
        <v>43221</v>
      </c>
      <c r="C803">
        <v>2018</v>
      </c>
      <c r="E803" t="s">
        <v>6</v>
      </c>
      <c r="F803">
        <f>(FruitDMg!F803/FruitFW!F803)*100</f>
        <v>16.600000000000001</v>
      </c>
    </row>
    <row r="804" spans="1:6" x14ac:dyDescent="0.25">
      <c r="A804" t="s">
        <v>15</v>
      </c>
      <c r="B804" s="2">
        <v>43235</v>
      </c>
      <c r="C804">
        <v>2018</v>
      </c>
      <c r="E804" t="s">
        <v>6</v>
      </c>
      <c r="F804">
        <f>(FruitDMg!F804/FruitFW!F804)*100</f>
        <v>18.099999999999998</v>
      </c>
    </row>
    <row r="805" spans="1:6" x14ac:dyDescent="0.25">
      <c r="A805" t="s">
        <v>15</v>
      </c>
      <c r="B805" s="2">
        <v>43235</v>
      </c>
      <c r="C805">
        <v>2018</v>
      </c>
      <c r="E805" t="s">
        <v>6</v>
      </c>
      <c r="F805">
        <f>(FruitDMg!F805/FruitFW!F805)*100</f>
        <v>16.600000000000005</v>
      </c>
    </row>
    <row r="806" spans="1:6" x14ac:dyDescent="0.25">
      <c r="A806" t="s">
        <v>15</v>
      </c>
      <c r="B806" s="2">
        <v>43249</v>
      </c>
      <c r="C806">
        <v>2018</v>
      </c>
      <c r="E806" t="s">
        <v>6</v>
      </c>
      <c r="F806">
        <f>(FruitDMg!F806/FruitFW!F806)*100</f>
        <v>18.299999999999997</v>
      </c>
    </row>
    <row r="807" spans="1:6" x14ac:dyDescent="0.25">
      <c r="A807" t="s">
        <v>15</v>
      </c>
      <c r="B807" s="2">
        <v>43249</v>
      </c>
      <c r="C807">
        <v>2018</v>
      </c>
      <c r="E807" t="s">
        <v>6</v>
      </c>
      <c r="F807">
        <f>(FruitDMg!F807/FruitFW!F807)*100</f>
        <v>17.299999999999997</v>
      </c>
    </row>
    <row r="808" spans="1:6" x14ac:dyDescent="0.25">
      <c r="A808" t="s">
        <v>15</v>
      </c>
      <c r="B808" s="2">
        <v>43116</v>
      </c>
      <c r="C808">
        <v>2018</v>
      </c>
      <c r="E808" t="s">
        <v>6</v>
      </c>
      <c r="F808">
        <f>(FruitDMg!F808/FruitFW!F808)*100</f>
        <v>7.1</v>
      </c>
    </row>
    <row r="809" spans="1:6" x14ac:dyDescent="0.25">
      <c r="A809" t="s">
        <v>15</v>
      </c>
      <c r="B809" s="2">
        <v>43151</v>
      </c>
      <c r="C809">
        <v>2018</v>
      </c>
      <c r="E809" t="s">
        <v>6</v>
      </c>
      <c r="F809">
        <f>(FruitDMg!F809/FruitFW!F809)*100</f>
        <v>11.300000000000002</v>
      </c>
    </row>
    <row r="810" spans="1:6" x14ac:dyDescent="0.25">
      <c r="A810" t="s">
        <v>15</v>
      </c>
      <c r="B810" s="2">
        <v>43165</v>
      </c>
      <c r="C810">
        <v>2018</v>
      </c>
      <c r="E810" t="s">
        <v>6</v>
      </c>
      <c r="F810">
        <f>(FruitDMg!F810/FruitFW!F810)*100</f>
        <v>13.699999999999998</v>
      </c>
    </row>
    <row r="811" spans="1:6" x14ac:dyDescent="0.25">
      <c r="A811" t="s">
        <v>15</v>
      </c>
      <c r="B811" s="2">
        <v>43179</v>
      </c>
      <c r="C811">
        <v>2018</v>
      </c>
      <c r="E811" t="s">
        <v>6</v>
      </c>
      <c r="F811">
        <f>(FruitDMg!F811/FruitFW!F811)*100</f>
        <v>15.300000000000002</v>
      </c>
    </row>
    <row r="812" spans="1:6" x14ac:dyDescent="0.25">
      <c r="A812" t="s">
        <v>15</v>
      </c>
      <c r="B812" s="2">
        <v>43194</v>
      </c>
      <c r="C812">
        <v>2018</v>
      </c>
      <c r="E812" t="s">
        <v>6</v>
      </c>
      <c r="F812">
        <f>(FruitDMg!F812/FruitFW!F812)*100</f>
        <v>15.9</v>
      </c>
    </row>
    <row r="813" spans="1:6" x14ac:dyDescent="0.25">
      <c r="A813" t="s">
        <v>15</v>
      </c>
      <c r="B813" s="2">
        <v>43201</v>
      </c>
      <c r="C813">
        <v>2018</v>
      </c>
      <c r="E813" t="s">
        <v>6</v>
      </c>
      <c r="F813">
        <f>(FruitDMg!F813/FruitFW!F813)*100</f>
        <v>16.2</v>
      </c>
    </row>
    <row r="814" spans="1:6" x14ac:dyDescent="0.25">
      <c r="A814" t="s">
        <v>15</v>
      </c>
      <c r="B814" s="2">
        <v>43209</v>
      </c>
      <c r="C814">
        <v>2018</v>
      </c>
      <c r="E814" t="s">
        <v>6</v>
      </c>
      <c r="F814">
        <f>(FruitDMg!F814/FruitFW!F814)*100</f>
        <v>16.3</v>
      </c>
    </row>
    <row r="815" spans="1:6" x14ac:dyDescent="0.25">
      <c r="A815" t="s">
        <v>15</v>
      </c>
      <c r="B815" s="2">
        <v>43215</v>
      </c>
      <c r="C815">
        <v>2018</v>
      </c>
      <c r="E815" t="s">
        <v>6</v>
      </c>
      <c r="F815">
        <f>(FruitDMg!F815/FruitFW!F815)*100</f>
        <v>16.800000000000004</v>
      </c>
    </row>
    <row r="816" spans="1:6" x14ac:dyDescent="0.25">
      <c r="A816" t="s">
        <v>15</v>
      </c>
      <c r="B816" s="2">
        <v>43221</v>
      </c>
      <c r="C816">
        <v>2018</v>
      </c>
      <c r="E816" t="s">
        <v>6</v>
      </c>
      <c r="F816">
        <f>(FruitDMg!F816/FruitFW!F816)*100</f>
        <v>17</v>
      </c>
    </row>
    <row r="817" spans="1:6" x14ac:dyDescent="0.25">
      <c r="A817" t="s">
        <v>15</v>
      </c>
      <c r="B817" s="2">
        <v>43235</v>
      </c>
      <c r="C817">
        <v>2018</v>
      </c>
      <c r="E817" t="s">
        <v>6</v>
      </c>
      <c r="F817">
        <f>(FruitDMg!F817/FruitFW!F817)*100</f>
        <v>17.3</v>
      </c>
    </row>
    <row r="818" spans="1:6" x14ac:dyDescent="0.25">
      <c r="A818" t="s">
        <v>15</v>
      </c>
      <c r="B818" s="2">
        <v>43249</v>
      </c>
      <c r="C818">
        <v>2018</v>
      </c>
      <c r="E818" t="s">
        <v>6</v>
      </c>
      <c r="F818">
        <f>(FruitDMg!F818/FruitFW!F818)*100</f>
        <v>17.599999999999998</v>
      </c>
    </row>
    <row r="819" spans="1:6" x14ac:dyDescent="0.25">
      <c r="A819" t="s">
        <v>15</v>
      </c>
      <c r="B819" s="2">
        <v>43115</v>
      </c>
      <c r="C819">
        <v>2018</v>
      </c>
      <c r="E819" t="s">
        <v>6</v>
      </c>
      <c r="F819">
        <f>(FruitDMg!F819/FruitFW!F819)*100</f>
        <v>7.1999999999999993</v>
      </c>
    </row>
    <row r="820" spans="1:6" x14ac:dyDescent="0.25">
      <c r="A820" t="s">
        <v>15</v>
      </c>
      <c r="B820" s="2">
        <v>43115</v>
      </c>
      <c r="C820">
        <v>2018</v>
      </c>
      <c r="E820" t="s">
        <v>6</v>
      </c>
      <c r="F820">
        <f>(FruitDMg!F820/FruitFW!F820)*100</f>
        <v>7.8</v>
      </c>
    </row>
    <row r="821" spans="1:6" x14ac:dyDescent="0.25">
      <c r="A821" t="s">
        <v>15</v>
      </c>
      <c r="B821" s="2">
        <v>43116</v>
      </c>
      <c r="C821">
        <v>2018</v>
      </c>
      <c r="E821" t="s">
        <v>6</v>
      </c>
      <c r="F821">
        <f>(FruitDMg!F821/FruitFW!F821)*100</f>
        <v>7.4000000000000012</v>
      </c>
    </row>
    <row r="822" spans="1:6" x14ac:dyDescent="0.25">
      <c r="A822" t="s">
        <v>15</v>
      </c>
      <c r="B822" s="2">
        <v>43116</v>
      </c>
      <c r="C822">
        <v>2018</v>
      </c>
      <c r="E822" t="s">
        <v>6</v>
      </c>
      <c r="F822">
        <f>(FruitDMg!F822/FruitFW!F822)*100</f>
        <v>7.4000000000000012</v>
      </c>
    </row>
    <row r="823" spans="1:6" x14ac:dyDescent="0.25">
      <c r="A823" t="s">
        <v>15</v>
      </c>
      <c r="B823" s="2">
        <v>43150</v>
      </c>
      <c r="C823">
        <v>2018</v>
      </c>
      <c r="E823" t="s">
        <v>6</v>
      </c>
      <c r="F823">
        <f>(FruitDMg!F823/FruitFW!F823)*100</f>
        <v>12.2</v>
      </c>
    </row>
    <row r="824" spans="1:6" x14ac:dyDescent="0.25">
      <c r="A824" t="s">
        <v>15</v>
      </c>
      <c r="B824" s="2">
        <v>43150</v>
      </c>
      <c r="C824">
        <v>2018</v>
      </c>
      <c r="E824" t="s">
        <v>6</v>
      </c>
      <c r="F824">
        <f>(FruitDMg!F824/FruitFW!F824)*100</f>
        <v>11.8</v>
      </c>
    </row>
    <row r="825" spans="1:6" x14ac:dyDescent="0.25">
      <c r="A825" t="s">
        <v>15</v>
      </c>
      <c r="B825" s="2">
        <v>43151</v>
      </c>
      <c r="C825">
        <v>2018</v>
      </c>
      <c r="E825" t="s">
        <v>6</v>
      </c>
      <c r="F825">
        <f>(FruitDMg!F825/FruitFW!F825)*100</f>
        <v>11.6</v>
      </c>
    </row>
    <row r="826" spans="1:6" x14ac:dyDescent="0.25">
      <c r="A826" t="s">
        <v>15</v>
      </c>
      <c r="B826" s="2">
        <v>43151</v>
      </c>
      <c r="C826">
        <v>2018</v>
      </c>
      <c r="E826" t="s">
        <v>6</v>
      </c>
      <c r="F826">
        <f>(FruitDMg!F826/FruitFW!F826)*100</f>
        <v>12.000000000000002</v>
      </c>
    </row>
    <row r="827" spans="1:6" x14ac:dyDescent="0.25">
      <c r="A827" t="s">
        <v>15</v>
      </c>
      <c r="B827" s="2">
        <v>43164</v>
      </c>
      <c r="C827">
        <v>2018</v>
      </c>
      <c r="E827" t="s">
        <v>6</v>
      </c>
      <c r="F827">
        <f>(FruitDMg!F827/FruitFW!F827)*100</f>
        <v>14.200000000000001</v>
      </c>
    </row>
    <row r="828" spans="1:6" x14ac:dyDescent="0.25">
      <c r="A828" t="s">
        <v>15</v>
      </c>
      <c r="B828" s="2">
        <v>43164</v>
      </c>
      <c r="C828">
        <v>2018</v>
      </c>
      <c r="E828" t="s">
        <v>6</v>
      </c>
      <c r="F828">
        <f>(FruitDMg!F828/FruitFW!F828)*100</f>
        <v>14.200000000000001</v>
      </c>
    </row>
    <row r="829" spans="1:6" x14ac:dyDescent="0.25">
      <c r="A829" t="s">
        <v>15</v>
      </c>
      <c r="B829" s="2">
        <v>43165</v>
      </c>
      <c r="C829">
        <v>2018</v>
      </c>
      <c r="E829" t="s">
        <v>6</v>
      </c>
      <c r="F829">
        <f>(FruitDMg!F829/FruitFW!F829)*100</f>
        <v>12.800000000000002</v>
      </c>
    </row>
    <row r="830" spans="1:6" x14ac:dyDescent="0.25">
      <c r="A830" t="s">
        <v>15</v>
      </c>
      <c r="B830" s="2">
        <v>43165</v>
      </c>
      <c r="C830">
        <v>2018</v>
      </c>
      <c r="E830" t="s">
        <v>6</v>
      </c>
      <c r="F830">
        <f>(FruitDMg!F830/FruitFW!F830)*100</f>
        <v>14.100000000000001</v>
      </c>
    </row>
    <row r="831" spans="1:6" x14ac:dyDescent="0.25">
      <c r="A831" t="s">
        <v>15</v>
      </c>
      <c r="B831" s="2">
        <v>43178</v>
      </c>
      <c r="C831">
        <v>2018</v>
      </c>
      <c r="E831" t="s">
        <v>6</v>
      </c>
      <c r="F831">
        <f>(FruitDMg!F831/FruitFW!F831)*100</f>
        <v>15.1</v>
      </c>
    </row>
    <row r="832" spans="1:6" x14ac:dyDescent="0.25">
      <c r="A832" t="s">
        <v>15</v>
      </c>
      <c r="B832" s="2">
        <v>43178</v>
      </c>
      <c r="C832">
        <v>2018</v>
      </c>
      <c r="E832" t="s">
        <v>6</v>
      </c>
      <c r="F832">
        <f>(FruitDMg!F832/FruitFW!F832)*100</f>
        <v>15.7</v>
      </c>
    </row>
    <row r="833" spans="1:6" x14ac:dyDescent="0.25">
      <c r="A833" t="s">
        <v>15</v>
      </c>
      <c r="B833" s="2">
        <v>43179</v>
      </c>
      <c r="C833">
        <v>2018</v>
      </c>
      <c r="E833" t="s">
        <v>6</v>
      </c>
      <c r="F833">
        <f>(FruitDMg!F833/FruitFW!F833)*100</f>
        <v>14.099999999999998</v>
      </c>
    </row>
    <row r="834" spans="1:6" x14ac:dyDescent="0.25">
      <c r="A834" t="s">
        <v>15</v>
      </c>
      <c r="B834" s="2">
        <v>43179</v>
      </c>
      <c r="C834">
        <v>2018</v>
      </c>
      <c r="E834" t="s">
        <v>6</v>
      </c>
      <c r="F834">
        <f>(FruitDMg!F834/FruitFW!F834)*100</f>
        <v>15.299999999999999</v>
      </c>
    </row>
    <row r="835" spans="1:6" x14ac:dyDescent="0.25">
      <c r="A835" t="s">
        <v>15</v>
      </c>
      <c r="B835" s="2">
        <v>43194</v>
      </c>
      <c r="C835">
        <v>2018</v>
      </c>
      <c r="E835" t="s">
        <v>6</v>
      </c>
      <c r="F835">
        <f>(FruitDMg!F835/FruitFW!F835)*100</f>
        <v>15.600000000000003</v>
      </c>
    </row>
    <row r="836" spans="1:6" x14ac:dyDescent="0.25">
      <c r="A836" t="s">
        <v>15</v>
      </c>
      <c r="B836" s="2">
        <v>43194</v>
      </c>
      <c r="C836">
        <v>2018</v>
      </c>
      <c r="E836" t="s">
        <v>6</v>
      </c>
      <c r="F836">
        <f>(FruitDMg!F836/FruitFW!F836)*100</f>
        <v>16.600000000000005</v>
      </c>
    </row>
    <row r="837" spans="1:6" x14ac:dyDescent="0.25">
      <c r="A837" t="s">
        <v>15</v>
      </c>
      <c r="B837" s="2">
        <v>43195</v>
      </c>
      <c r="C837">
        <v>2018</v>
      </c>
      <c r="E837" t="s">
        <v>6</v>
      </c>
      <c r="F837">
        <f>(FruitDMg!F837/FruitFW!F837)*100</f>
        <v>14.6</v>
      </c>
    </row>
    <row r="838" spans="1:6" x14ac:dyDescent="0.25">
      <c r="A838" t="s">
        <v>15</v>
      </c>
      <c r="B838" s="2">
        <v>43195</v>
      </c>
      <c r="C838">
        <v>2018</v>
      </c>
      <c r="E838" t="s">
        <v>6</v>
      </c>
      <c r="F838">
        <f>(FruitDMg!F838/FruitFW!F838)*100</f>
        <v>15.8</v>
      </c>
    </row>
    <row r="839" spans="1:6" x14ac:dyDescent="0.25">
      <c r="A839" t="s">
        <v>15</v>
      </c>
      <c r="B839" s="2">
        <v>43200</v>
      </c>
      <c r="C839">
        <v>2018</v>
      </c>
      <c r="E839" t="s">
        <v>6</v>
      </c>
      <c r="F839">
        <f>(FruitDMg!F839/FruitFW!F839)*100</f>
        <v>16.100000000000001</v>
      </c>
    </row>
    <row r="840" spans="1:6" x14ac:dyDescent="0.25">
      <c r="A840" t="s">
        <v>15</v>
      </c>
      <c r="B840" s="2">
        <v>43200</v>
      </c>
      <c r="C840">
        <v>2018</v>
      </c>
      <c r="E840" t="s">
        <v>6</v>
      </c>
      <c r="F840">
        <f>(FruitDMg!F840/FruitFW!F840)*100</f>
        <v>16.399999999999999</v>
      </c>
    </row>
    <row r="841" spans="1:6" x14ac:dyDescent="0.25">
      <c r="A841" t="s">
        <v>15</v>
      </c>
      <c r="B841" s="2">
        <v>43201</v>
      </c>
      <c r="C841">
        <v>2018</v>
      </c>
      <c r="E841" t="s">
        <v>6</v>
      </c>
      <c r="F841">
        <f>(FruitDMg!F841/FruitFW!F841)*100</f>
        <v>14.6</v>
      </c>
    </row>
    <row r="842" spans="1:6" x14ac:dyDescent="0.25">
      <c r="A842" t="s">
        <v>15</v>
      </c>
      <c r="B842" s="2">
        <v>43201</v>
      </c>
      <c r="C842">
        <v>2018</v>
      </c>
      <c r="E842" t="s">
        <v>6</v>
      </c>
      <c r="F842">
        <f>(FruitDMg!F842/FruitFW!F842)*100</f>
        <v>16.300000000000004</v>
      </c>
    </row>
    <row r="843" spans="1:6" x14ac:dyDescent="0.25">
      <c r="A843" t="s">
        <v>15</v>
      </c>
      <c r="B843" s="2">
        <v>43206</v>
      </c>
      <c r="C843">
        <v>2018</v>
      </c>
      <c r="E843" t="s">
        <v>6</v>
      </c>
      <c r="F843">
        <f>(FruitDMg!F843/FruitFW!F843)*100</f>
        <v>16</v>
      </c>
    </row>
    <row r="844" spans="1:6" x14ac:dyDescent="0.25">
      <c r="A844" t="s">
        <v>15</v>
      </c>
      <c r="B844" s="2">
        <v>43206</v>
      </c>
      <c r="C844">
        <v>2018</v>
      </c>
      <c r="E844" t="s">
        <v>6</v>
      </c>
      <c r="F844">
        <f>(FruitDMg!F844/FruitFW!F844)*100</f>
        <v>17</v>
      </c>
    </row>
    <row r="845" spans="1:6" x14ac:dyDescent="0.25">
      <c r="A845" t="s">
        <v>15</v>
      </c>
      <c r="B845" s="2">
        <v>43209</v>
      </c>
      <c r="C845">
        <v>2018</v>
      </c>
      <c r="E845" t="s">
        <v>6</v>
      </c>
      <c r="F845">
        <f>(FruitDMg!F845/FruitFW!F845)*100</f>
        <v>15.299999999999999</v>
      </c>
    </row>
    <row r="846" spans="1:6" x14ac:dyDescent="0.25">
      <c r="A846" t="s">
        <v>15</v>
      </c>
      <c r="B846" s="2">
        <v>43209</v>
      </c>
      <c r="C846">
        <v>2018</v>
      </c>
      <c r="E846" t="s">
        <v>6</v>
      </c>
      <c r="F846">
        <f>(FruitDMg!F846/FruitFW!F846)*100</f>
        <v>16.600000000000001</v>
      </c>
    </row>
    <row r="847" spans="1:6" x14ac:dyDescent="0.25">
      <c r="A847" t="s">
        <v>15</v>
      </c>
      <c r="B847" s="2">
        <v>43215</v>
      </c>
      <c r="C847">
        <v>2018</v>
      </c>
      <c r="E847" t="s">
        <v>6</v>
      </c>
      <c r="F847">
        <f>(FruitDMg!F847/FruitFW!F847)*100</f>
        <v>15.6</v>
      </c>
    </row>
    <row r="848" spans="1:6" x14ac:dyDescent="0.25">
      <c r="A848" t="s">
        <v>15</v>
      </c>
      <c r="B848" s="2">
        <v>43215</v>
      </c>
      <c r="C848">
        <v>2018</v>
      </c>
      <c r="E848" t="s">
        <v>6</v>
      </c>
      <c r="F848">
        <f>(FruitDMg!F848/FruitFW!F848)*100</f>
        <v>16.600000000000005</v>
      </c>
    </row>
    <row r="849" spans="1:6" x14ac:dyDescent="0.25">
      <c r="A849" t="s">
        <v>15</v>
      </c>
      <c r="B849" s="2">
        <v>43215</v>
      </c>
      <c r="C849">
        <v>2018</v>
      </c>
      <c r="E849" t="s">
        <v>6</v>
      </c>
      <c r="F849">
        <f>(FruitDMg!F849/FruitFW!F849)*100</f>
        <v>17.100000000000001</v>
      </c>
    </row>
    <row r="850" spans="1:6" x14ac:dyDescent="0.25">
      <c r="A850" t="s">
        <v>15</v>
      </c>
      <c r="B850" s="2">
        <v>43215</v>
      </c>
      <c r="C850">
        <v>2018</v>
      </c>
      <c r="E850" t="s">
        <v>6</v>
      </c>
      <c r="F850">
        <f>(FruitDMg!F850/FruitFW!F850)*100</f>
        <v>17.100000000000005</v>
      </c>
    </row>
    <row r="851" spans="1:6" x14ac:dyDescent="0.25">
      <c r="A851" t="s">
        <v>15</v>
      </c>
      <c r="B851" s="2">
        <v>43221</v>
      </c>
      <c r="C851">
        <v>2018</v>
      </c>
      <c r="E851" t="s">
        <v>6</v>
      </c>
      <c r="F851">
        <f>(FruitDMg!F851/FruitFW!F851)*100</f>
        <v>15.7</v>
      </c>
    </row>
    <row r="852" spans="1:6" x14ac:dyDescent="0.25">
      <c r="A852" t="s">
        <v>15</v>
      </c>
      <c r="B852" s="2">
        <v>43221</v>
      </c>
      <c r="C852">
        <v>2018</v>
      </c>
      <c r="E852" t="s">
        <v>6</v>
      </c>
      <c r="F852">
        <f>(FruitDMg!F852/FruitFW!F852)*100</f>
        <v>16.600000000000001</v>
      </c>
    </row>
    <row r="853" spans="1:6" x14ac:dyDescent="0.25">
      <c r="A853" t="s">
        <v>15</v>
      </c>
      <c r="B853" s="2">
        <v>43221</v>
      </c>
      <c r="C853">
        <v>2018</v>
      </c>
      <c r="E853" t="s">
        <v>6</v>
      </c>
      <c r="F853">
        <f>(FruitDMg!F853/FruitFW!F853)*100</f>
        <v>17</v>
      </c>
    </row>
    <row r="854" spans="1:6" x14ac:dyDescent="0.25">
      <c r="A854" t="s">
        <v>15</v>
      </c>
      <c r="B854" s="2">
        <v>43221</v>
      </c>
      <c r="C854">
        <v>2018</v>
      </c>
      <c r="E854" t="s">
        <v>6</v>
      </c>
      <c r="F854">
        <f>(FruitDMg!F854/FruitFW!F854)*100</f>
        <v>17.2</v>
      </c>
    </row>
    <row r="855" spans="1:6" x14ac:dyDescent="0.25">
      <c r="A855" t="s">
        <v>15</v>
      </c>
      <c r="B855" s="2">
        <v>43234</v>
      </c>
      <c r="C855">
        <v>2018</v>
      </c>
      <c r="E855" t="s">
        <v>6</v>
      </c>
      <c r="F855">
        <f>(FruitDMg!F855/FruitFW!F855)*100</f>
        <v>16.600000000000001</v>
      </c>
    </row>
    <row r="856" spans="1:6" x14ac:dyDescent="0.25">
      <c r="A856" t="s">
        <v>15</v>
      </c>
      <c r="B856" s="2">
        <v>43234</v>
      </c>
      <c r="C856">
        <v>2018</v>
      </c>
      <c r="E856" t="s">
        <v>6</v>
      </c>
      <c r="F856">
        <f>(FruitDMg!F856/FruitFW!F856)*100</f>
        <v>17.899999999999999</v>
      </c>
    </row>
    <row r="857" spans="1:6" x14ac:dyDescent="0.25">
      <c r="A857" t="s">
        <v>15</v>
      </c>
      <c r="B857" s="2">
        <v>43235</v>
      </c>
      <c r="C857">
        <v>2018</v>
      </c>
      <c r="E857" t="s">
        <v>6</v>
      </c>
      <c r="F857">
        <f>(FruitDMg!F857/FruitFW!F857)*100</f>
        <v>16</v>
      </c>
    </row>
    <row r="858" spans="1:6" x14ac:dyDescent="0.25">
      <c r="A858" t="s">
        <v>15</v>
      </c>
      <c r="B858" s="2">
        <v>43235</v>
      </c>
      <c r="C858">
        <v>2018</v>
      </c>
      <c r="E858" t="s">
        <v>6</v>
      </c>
      <c r="F858">
        <f>(FruitDMg!F858/FruitFW!F858)*100</f>
        <v>17.7</v>
      </c>
    </row>
    <row r="859" spans="1:6" x14ac:dyDescent="0.25">
      <c r="A859" t="s">
        <v>15</v>
      </c>
      <c r="B859" s="2">
        <v>43248</v>
      </c>
      <c r="C859">
        <v>2018</v>
      </c>
      <c r="E859" t="s">
        <v>6</v>
      </c>
      <c r="F859">
        <f>(FruitDMg!F859/FruitFW!F859)*100</f>
        <v>17.2</v>
      </c>
    </row>
    <row r="860" spans="1:6" x14ac:dyDescent="0.25">
      <c r="A860" t="s">
        <v>15</v>
      </c>
      <c r="B860" s="2">
        <v>43248</v>
      </c>
      <c r="C860">
        <v>2018</v>
      </c>
      <c r="E860" t="s">
        <v>6</v>
      </c>
      <c r="F860">
        <f>(FruitDMg!F860/FruitFW!F860)*100</f>
        <v>18.399999999999999</v>
      </c>
    </row>
    <row r="861" spans="1:6" x14ac:dyDescent="0.25">
      <c r="A861" t="s">
        <v>15</v>
      </c>
      <c r="B861" s="2">
        <v>43249</v>
      </c>
      <c r="C861">
        <v>2018</v>
      </c>
      <c r="E861" t="s">
        <v>6</v>
      </c>
      <c r="F861">
        <f>(FruitDMg!F861/FruitFW!F861)*100</f>
        <v>16.600000000000001</v>
      </c>
    </row>
    <row r="862" spans="1:6" x14ac:dyDescent="0.25">
      <c r="A862" t="s">
        <v>15</v>
      </c>
      <c r="B862" s="2">
        <v>43249</v>
      </c>
      <c r="C862">
        <v>2018</v>
      </c>
      <c r="E862" t="s">
        <v>6</v>
      </c>
      <c r="F862">
        <f>(FruitDMg!F862/FruitFW!F862)*100</f>
        <v>17.8</v>
      </c>
    </row>
    <row r="863" spans="1:6" x14ac:dyDescent="0.25">
      <c r="A863" t="s">
        <v>16</v>
      </c>
      <c r="B863" s="2">
        <v>43479</v>
      </c>
      <c r="C863">
        <v>2019</v>
      </c>
      <c r="E863" t="s">
        <v>6</v>
      </c>
      <c r="F863">
        <f>(FruitDMg!F863/FruitFW!F863)*100</f>
        <v>7.1</v>
      </c>
    </row>
    <row r="864" spans="1:6" x14ac:dyDescent="0.25">
      <c r="A864" t="s">
        <v>16</v>
      </c>
      <c r="B864" s="2">
        <v>43515</v>
      </c>
      <c r="C864">
        <v>2019</v>
      </c>
      <c r="E864" t="s">
        <v>6</v>
      </c>
      <c r="F864">
        <f>(FruitDMg!F864/FruitFW!F864)*100</f>
        <v>12.6</v>
      </c>
    </row>
    <row r="865" spans="1:6" x14ac:dyDescent="0.25">
      <c r="A865" t="s">
        <v>16</v>
      </c>
      <c r="B865" s="2">
        <v>43529</v>
      </c>
      <c r="C865">
        <v>2019</v>
      </c>
      <c r="E865" t="s">
        <v>6</v>
      </c>
      <c r="F865">
        <f>(FruitDMg!F865/FruitFW!F865)*100</f>
        <v>14.3</v>
      </c>
    </row>
    <row r="866" spans="1:6" x14ac:dyDescent="0.25">
      <c r="A866" t="s">
        <v>16</v>
      </c>
      <c r="B866" s="2">
        <v>43543</v>
      </c>
      <c r="C866">
        <v>2019</v>
      </c>
      <c r="E866" t="s">
        <v>6</v>
      </c>
      <c r="F866">
        <f>(FruitDMg!F866/FruitFW!F866)*100</f>
        <v>15.6</v>
      </c>
    </row>
    <row r="867" spans="1:6" x14ac:dyDescent="0.25">
      <c r="A867" t="s">
        <v>16</v>
      </c>
      <c r="B867" s="2">
        <v>43557</v>
      </c>
      <c r="C867">
        <v>2019</v>
      </c>
      <c r="E867" t="s">
        <v>6</v>
      </c>
      <c r="F867">
        <f>(FruitDMg!F867/FruitFW!F867)*100</f>
        <v>16</v>
      </c>
    </row>
    <row r="868" spans="1:6" x14ac:dyDescent="0.25">
      <c r="A868" t="s">
        <v>16</v>
      </c>
      <c r="B868" s="2">
        <v>43564</v>
      </c>
      <c r="C868">
        <v>2019</v>
      </c>
      <c r="E868" t="s">
        <v>6</v>
      </c>
      <c r="F868">
        <f>(FruitDMg!F868/FruitFW!F868)*100</f>
        <v>16.5</v>
      </c>
    </row>
    <row r="869" spans="1:6" x14ac:dyDescent="0.25">
      <c r="A869" t="s">
        <v>16</v>
      </c>
      <c r="B869" s="2">
        <v>43570</v>
      </c>
      <c r="C869">
        <v>2019</v>
      </c>
      <c r="E869" t="s">
        <v>6</v>
      </c>
      <c r="F869">
        <f>(FruitDMg!F869/FruitFW!F869)*100</f>
        <v>16.600000000000005</v>
      </c>
    </row>
    <row r="870" spans="1:6" x14ac:dyDescent="0.25">
      <c r="A870" t="s">
        <v>16</v>
      </c>
      <c r="B870" s="2">
        <v>43577</v>
      </c>
      <c r="C870">
        <v>2019</v>
      </c>
      <c r="E870" t="s">
        <v>6</v>
      </c>
      <c r="F870">
        <f>(FruitDMg!F870/FruitFW!F870)*100</f>
        <v>16.7</v>
      </c>
    </row>
    <row r="871" spans="1:6" x14ac:dyDescent="0.25">
      <c r="A871" t="s">
        <v>16</v>
      </c>
      <c r="B871" s="2">
        <v>43584</v>
      </c>
      <c r="C871">
        <v>2019</v>
      </c>
      <c r="E871" t="s">
        <v>6</v>
      </c>
      <c r="F871">
        <f>(FruitDMg!F871/FruitFW!F871)*100</f>
        <v>17.100000000000001</v>
      </c>
    </row>
    <row r="872" spans="1:6" x14ac:dyDescent="0.25">
      <c r="A872" t="s">
        <v>16</v>
      </c>
      <c r="B872" s="2">
        <v>43613</v>
      </c>
      <c r="C872">
        <v>2019</v>
      </c>
      <c r="E872" t="s">
        <v>6</v>
      </c>
      <c r="F872">
        <f>(FruitDMg!F872/FruitFW!F872)*100</f>
        <v>17.899999999999999</v>
      </c>
    </row>
    <row r="873" spans="1:6" x14ac:dyDescent="0.25">
      <c r="A873" t="s">
        <v>16</v>
      </c>
      <c r="B873" s="2">
        <v>43479</v>
      </c>
      <c r="C873">
        <v>2019</v>
      </c>
      <c r="E873" t="s">
        <v>6</v>
      </c>
      <c r="F873">
        <f>(FruitDMg!F873/FruitFW!F873)*100</f>
        <v>7.3</v>
      </c>
    </row>
    <row r="874" spans="1:6" x14ac:dyDescent="0.25">
      <c r="A874" t="s">
        <v>16</v>
      </c>
      <c r="B874" s="2">
        <v>43515</v>
      </c>
      <c r="C874">
        <v>2019</v>
      </c>
      <c r="E874" t="s">
        <v>6</v>
      </c>
      <c r="F874">
        <f>(FruitDMg!F874/FruitFW!F874)*100</f>
        <v>12.9</v>
      </c>
    </row>
    <row r="875" spans="1:6" x14ac:dyDescent="0.25">
      <c r="A875" t="s">
        <v>16</v>
      </c>
      <c r="B875" s="2">
        <v>43529</v>
      </c>
      <c r="C875">
        <v>2019</v>
      </c>
      <c r="E875" t="s">
        <v>6</v>
      </c>
      <c r="F875">
        <f>(FruitDMg!F875/FruitFW!F875)*100</f>
        <v>14.6</v>
      </c>
    </row>
    <row r="876" spans="1:6" x14ac:dyDescent="0.25">
      <c r="A876" t="s">
        <v>16</v>
      </c>
      <c r="B876" s="2">
        <v>43543</v>
      </c>
      <c r="C876">
        <v>2019</v>
      </c>
      <c r="E876" t="s">
        <v>6</v>
      </c>
      <c r="F876">
        <f>(FruitDMg!F876/FruitFW!F876)*100</f>
        <v>16.100000000000001</v>
      </c>
    </row>
    <row r="877" spans="1:6" x14ac:dyDescent="0.25">
      <c r="A877" t="s">
        <v>16</v>
      </c>
      <c r="B877" s="2">
        <v>43557</v>
      </c>
      <c r="C877">
        <v>2019</v>
      </c>
      <c r="E877" t="s">
        <v>6</v>
      </c>
      <c r="F877">
        <f>(FruitDMg!F877/FruitFW!F877)*100</f>
        <v>16.5</v>
      </c>
    </row>
    <row r="878" spans="1:6" x14ac:dyDescent="0.25">
      <c r="A878" t="s">
        <v>16</v>
      </c>
      <c r="B878" s="2">
        <v>43564</v>
      </c>
      <c r="C878">
        <v>2019</v>
      </c>
      <c r="E878" t="s">
        <v>6</v>
      </c>
      <c r="F878">
        <f>(FruitDMg!F878/FruitFW!F878)*100</f>
        <v>16.899999999999999</v>
      </c>
    </row>
    <row r="879" spans="1:6" x14ac:dyDescent="0.25">
      <c r="A879" t="s">
        <v>16</v>
      </c>
      <c r="B879" s="2">
        <v>43570</v>
      </c>
      <c r="C879">
        <v>2019</v>
      </c>
      <c r="E879" t="s">
        <v>6</v>
      </c>
      <c r="F879">
        <f>(FruitDMg!F879/FruitFW!F879)*100</f>
        <v>17</v>
      </c>
    </row>
    <row r="880" spans="1:6" x14ac:dyDescent="0.25">
      <c r="A880" t="s">
        <v>16</v>
      </c>
      <c r="B880" s="2">
        <v>43577</v>
      </c>
      <c r="C880">
        <v>2019</v>
      </c>
      <c r="E880" t="s">
        <v>6</v>
      </c>
      <c r="F880">
        <f>(FruitDMg!F880/FruitFW!F880)*100</f>
        <v>17.299999999999997</v>
      </c>
    </row>
    <row r="881" spans="1:6" x14ac:dyDescent="0.25">
      <c r="A881" t="s">
        <v>16</v>
      </c>
      <c r="B881" s="2">
        <v>43584</v>
      </c>
      <c r="C881">
        <v>2019</v>
      </c>
      <c r="E881" t="s">
        <v>6</v>
      </c>
      <c r="F881">
        <f>(FruitDMg!F881/FruitFW!F881)*100</f>
        <v>17.5</v>
      </c>
    </row>
    <row r="882" spans="1:6" x14ac:dyDescent="0.25">
      <c r="A882" t="s">
        <v>16</v>
      </c>
      <c r="B882" s="2">
        <v>43613</v>
      </c>
      <c r="C882">
        <v>2019</v>
      </c>
      <c r="E882" t="s">
        <v>6</v>
      </c>
      <c r="F882">
        <f>(FruitDMg!F882/FruitFW!F882)*100</f>
        <v>18.3</v>
      </c>
    </row>
    <row r="883" spans="1:6" x14ac:dyDescent="0.25">
      <c r="A883" t="s">
        <v>16</v>
      </c>
      <c r="B883" s="2">
        <v>43479</v>
      </c>
      <c r="C883">
        <v>2019</v>
      </c>
      <c r="E883" t="s">
        <v>6</v>
      </c>
      <c r="F883">
        <f>(FruitDMg!F883/FruitFW!F883)*100</f>
        <v>8</v>
      </c>
    </row>
    <row r="884" spans="1:6" x14ac:dyDescent="0.25">
      <c r="A884" t="s">
        <v>16</v>
      </c>
      <c r="B884" s="2">
        <v>43479</v>
      </c>
      <c r="C884">
        <v>2019</v>
      </c>
      <c r="E884" t="s">
        <v>6</v>
      </c>
      <c r="F884">
        <f>(FruitDMg!F884/FruitFW!F884)*100</f>
        <v>7.4000000000000012</v>
      </c>
    </row>
    <row r="885" spans="1:6" x14ac:dyDescent="0.25">
      <c r="A885" t="s">
        <v>16</v>
      </c>
      <c r="B885" s="2">
        <v>43479</v>
      </c>
      <c r="C885">
        <v>2019</v>
      </c>
      <c r="E885" t="s">
        <v>6</v>
      </c>
      <c r="F885">
        <f>(FruitDMg!F885/FruitFW!F885)*100</f>
        <v>7.6</v>
      </c>
    </row>
    <row r="886" spans="1:6" x14ac:dyDescent="0.25">
      <c r="A886" t="s">
        <v>16</v>
      </c>
      <c r="B886" s="2">
        <v>43479</v>
      </c>
      <c r="C886">
        <v>2019</v>
      </c>
      <c r="E886" t="s">
        <v>6</v>
      </c>
      <c r="F886">
        <f>(FruitDMg!F886/FruitFW!F886)*100</f>
        <v>7.7999999999999989</v>
      </c>
    </row>
    <row r="887" spans="1:6" x14ac:dyDescent="0.25">
      <c r="A887" t="s">
        <v>16</v>
      </c>
      <c r="B887" s="2">
        <v>43514</v>
      </c>
      <c r="C887">
        <v>2019</v>
      </c>
      <c r="E887" t="s">
        <v>6</v>
      </c>
      <c r="F887">
        <f>(FruitDMg!F887/FruitFW!F887)*100</f>
        <v>13.3</v>
      </c>
    </row>
    <row r="888" spans="1:6" x14ac:dyDescent="0.25">
      <c r="A888" t="s">
        <v>16</v>
      </c>
      <c r="B888" s="2">
        <v>43514</v>
      </c>
      <c r="C888">
        <v>2019</v>
      </c>
      <c r="E888" t="s">
        <v>6</v>
      </c>
      <c r="F888">
        <f>(FruitDMg!F888/FruitFW!F888)*100</f>
        <v>12.800000000000002</v>
      </c>
    </row>
    <row r="889" spans="1:6" x14ac:dyDescent="0.25">
      <c r="A889" t="s">
        <v>16</v>
      </c>
      <c r="B889" s="2">
        <v>43514</v>
      </c>
      <c r="C889">
        <v>2019</v>
      </c>
      <c r="E889" t="s">
        <v>6</v>
      </c>
      <c r="F889">
        <f>(FruitDMg!F889/FruitFW!F889)*100</f>
        <v>12.899999999999997</v>
      </c>
    </row>
    <row r="890" spans="1:6" x14ac:dyDescent="0.25">
      <c r="A890" t="s">
        <v>16</v>
      </c>
      <c r="B890" s="2">
        <v>43514</v>
      </c>
      <c r="C890">
        <v>2019</v>
      </c>
      <c r="E890" t="s">
        <v>6</v>
      </c>
      <c r="F890">
        <f>(FruitDMg!F890/FruitFW!F890)*100</f>
        <v>13.4</v>
      </c>
    </row>
    <row r="891" spans="1:6" x14ac:dyDescent="0.25">
      <c r="A891" t="s">
        <v>16</v>
      </c>
      <c r="B891" s="2">
        <v>43528</v>
      </c>
      <c r="C891">
        <v>2019</v>
      </c>
      <c r="E891" t="s">
        <v>6</v>
      </c>
      <c r="F891">
        <f>(FruitDMg!F891/FruitFW!F891)*100</f>
        <v>14.499999999999998</v>
      </c>
    </row>
    <row r="892" spans="1:6" x14ac:dyDescent="0.25">
      <c r="A892" t="s">
        <v>16</v>
      </c>
      <c r="B892" s="2">
        <v>43528</v>
      </c>
      <c r="C892">
        <v>2019</v>
      </c>
      <c r="E892" t="s">
        <v>6</v>
      </c>
      <c r="F892">
        <f>(FruitDMg!F892/FruitFW!F892)*100</f>
        <v>14.700000000000003</v>
      </c>
    </row>
    <row r="893" spans="1:6" x14ac:dyDescent="0.25">
      <c r="A893" t="s">
        <v>16</v>
      </c>
      <c r="B893" s="2">
        <v>43529</v>
      </c>
      <c r="C893">
        <v>2019</v>
      </c>
      <c r="E893" t="s">
        <v>6</v>
      </c>
      <c r="F893">
        <f>(FruitDMg!F893/FruitFW!F893)*100</f>
        <v>15.200000000000003</v>
      </c>
    </row>
    <row r="894" spans="1:6" x14ac:dyDescent="0.25">
      <c r="A894" t="s">
        <v>16</v>
      </c>
      <c r="B894" s="2">
        <v>43542</v>
      </c>
      <c r="C894">
        <v>2019</v>
      </c>
      <c r="E894" t="s">
        <v>6</v>
      </c>
      <c r="F894">
        <f>(FruitDMg!F894/FruitFW!F894)*100</f>
        <v>15.8</v>
      </c>
    </row>
    <row r="895" spans="1:6" x14ac:dyDescent="0.25">
      <c r="A895" t="s">
        <v>16</v>
      </c>
      <c r="B895" s="2">
        <v>43542</v>
      </c>
      <c r="C895">
        <v>2019</v>
      </c>
      <c r="E895" t="s">
        <v>6</v>
      </c>
      <c r="F895">
        <f>(FruitDMg!F895/FruitFW!F895)*100</f>
        <v>15.4</v>
      </c>
    </row>
    <row r="896" spans="1:6" x14ac:dyDescent="0.25">
      <c r="A896" t="s">
        <v>16</v>
      </c>
      <c r="B896" s="2">
        <v>43543</v>
      </c>
      <c r="C896">
        <v>2019</v>
      </c>
      <c r="E896" t="s">
        <v>6</v>
      </c>
      <c r="F896">
        <f>(FruitDMg!F896/FruitFW!F896)*100</f>
        <v>16</v>
      </c>
    </row>
    <row r="897" spans="1:6" x14ac:dyDescent="0.25">
      <c r="A897" t="s">
        <v>16</v>
      </c>
      <c r="B897" s="2">
        <v>43557</v>
      </c>
      <c r="C897">
        <v>2019</v>
      </c>
      <c r="E897" t="s">
        <v>6</v>
      </c>
      <c r="F897">
        <f>(FruitDMg!F897/FruitFW!F897)*100</f>
        <v>16.100000000000001</v>
      </c>
    </row>
    <row r="898" spans="1:6" x14ac:dyDescent="0.25">
      <c r="A898" t="s">
        <v>16</v>
      </c>
      <c r="B898" s="2">
        <v>43557</v>
      </c>
      <c r="C898">
        <v>2019</v>
      </c>
      <c r="E898" t="s">
        <v>6</v>
      </c>
      <c r="F898">
        <f>(FruitDMg!F898/FruitFW!F898)*100</f>
        <v>16.400000000000002</v>
      </c>
    </row>
    <row r="899" spans="1:6" x14ac:dyDescent="0.25">
      <c r="A899" t="s">
        <v>16</v>
      </c>
      <c r="B899" s="2">
        <v>43557</v>
      </c>
      <c r="C899">
        <v>2019</v>
      </c>
      <c r="E899" t="s">
        <v>6</v>
      </c>
      <c r="F899">
        <f>(FruitDMg!F899/FruitFW!F899)*100</f>
        <v>16.600000000000001</v>
      </c>
    </row>
    <row r="900" spans="1:6" x14ac:dyDescent="0.25">
      <c r="A900" t="s">
        <v>16</v>
      </c>
      <c r="B900" s="2">
        <v>43557</v>
      </c>
      <c r="C900">
        <v>2019</v>
      </c>
      <c r="E900" t="s">
        <v>6</v>
      </c>
      <c r="F900">
        <f>(FruitDMg!F900/FruitFW!F900)*100</f>
        <v>15.7</v>
      </c>
    </row>
    <row r="901" spans="1:6" x14ac:dyDescent="0.25">
      <c r="A901" t="s">
        <v>16</v>
      </c>
      <c r="B901" s="2">
        <v>43564</v>
      </c>
      <c r="C901">
        <v>2019</v>
      </c>
      <c r="E901" t="s">
        <v>6</v>
      </c>
      <c r="F901">
        <f>(FruitDMg!F901/FruitFW!F901)*100</f>
        <v>16.5</v>
      </c>
    </row>
    <row r="902" spans="1:6" x14ac:dyDescent="0.25">
      <c r="A902" t="s">
        <v>16</v>
      </c>
      <c r="B902" s="2">
        <v>43564</v>
      </c>
      <c r="C902">
        <v>2019</v>
      </c>
      <c r="E902" t="s">
        <v>6</v>
      </c>
      <c r="F902">
        <f>(FruitDMg!F902/FruitFW!F902)*100</f>
        <v>16.3</v>
      </c>
    </row>
    <row r="903" spans="1:6" x14ac:dyDescent="0.25">
      <c r="A903" t="s">
        <v>16</v>
      </c>
      <c r="B903" s="2">
        <v>43564</v>
      </c>
      <c r="C903">
        <v>2019</v>
      </c>
      <c r="E903" t="s">
        <v>6</v>
      </c>
      <c r="F903">
        <f>(FruitDMg!F903/FruitFW!F903)*100</f>
        <v>16.899999999999999</v>
      </c>
    </row>
    <row r="904" spans="1:6" x14ac:dyDescent="0.25">
      <c r="A904" t="s">
        <v>16</v>
      </c>
      <c r="B904" s="2">
        <v>43564</v>
      </c>
      <c r="C904">
        <v>2019</v>
      </c>
      <c r="E904" t="s">
        <v>6</v>
      </c>
      <c r="F904">
        <f>(FruitDMg!F904/FruitFW!F904)*100</f>
        <v>16.3</v>
      </c>
    </row>
    <row r="905" spans="1:6" x14ac:dyDescent="0.25">
      <c r="A905" t="s">
        <v>16</v>
      </c>
      <c r="B905" s="2">
        <v>43570</v>
      </c>
      <c r="C905">
        <v>2019</v>
      </c>
      <c r="E905" t="s">
        <v>6</v>
      </c>
      <c r="F905">
        <f>(FruitDMg!F905/FruitFW!F905)*100</f>
        <v>16.600000000000001</v>
      </c>
    </row>
    <row r="906" spans="1:6" x14ac:dyDescent="0.25">
      <c r="A906" t="s">
        <v>16</v>
      </c>
      <c r="B906" s="2">
        <v>43570</v>
      </c>
      <c r="C906">
        <v>2019</v>
      </c>
      <c r="E906" t="s">
        <v>6</v>
      </c>
      <c r="F906">
        <f>(FruitDMg!F906/FruitFW!F906)*100</f>
        <v>16.7</v>
      </c>
    </row>
    <row r="907" spans="1:6" x14ac:dyDescent="0.25">
      <c r="A907" t="s">
        <v>16</v>
      </c>
      <c r="B907" s="2">
        <v>43570</v>
      </c>
      <c r="C907">
        <v>2019</v>
      </c>
      <c r="E907" t="s">
        <v>6</v>
      </c>
      <c r="F907">
        <f>(FruitDMg!F907/FruitFW!F907)*100</f>
        <v>17.299999999999997</v>
      </c>
    </row>
    <row r="908" spans="1:6" x14ac:dyDescent="0.25">
      <c r="A908" t="s">
        <v>16</v>
      </c>
      <c r="B908" s="2">
        <v>43570</v>
      </c>
      <c r="C908">
        <v>2019</v>
      </c>
      <c r="E908" t="s">
        <v>6</v>
      </c>
      <c r="F908">
        <f>(FruitDMg!F908/FruitFW!F908)*100</f>
        <v>16.399999999999999</v>
      </c>
    </row>
    <row r="909" spans="1:6" x14ac:dyDescent="0.25">
      <c r="A909" t="s">
        <v>16</v>
      </c>
      <c r="B909" s="2">
        <v>43577</v>
      </c>
      <c r="C909">
        <v>2019</v>
      </c>
      <c r="E909" t="s">
        <v>6</v>
      </c>
      <c r="F909">
        <f>(FruitDMg!F909/FruitFW!F909)*100</f>
        <v>16.400000000000002</v>
      </c>
    </row>
    <row r="910" spans="1:6" x14ac:dyDescent="0.25">
      <c r="A910" t="s">
        <v>16</v>
      </c>
      <c r="B910" s="2">
        <v>43577</v>
      </c>
      <c r="C910">
        <v>2019</v>
      </c>
      <c r="E910" t="s">
        <v>6</v>
      </c>
      <c r="F910">
        <f>(FruitDMg!F910/FruitFW!F910)*100</f>
        <v>16.8</v>
      </c>
    </row>
    <row r="911" spans="1:6" x14ac:dyDescent="0.25">
      <c r="A911" t="s">
        <v>16</v>
      </c>
      <c r="B911" s="2">
        <v>43577</v>
      </c>
      <c r="C911">
        <v>2019</v>
      </c>
      <c r="E911" t="s">
        <v>6</v>
      </c>
      <c r="F911">
        <f>(FruitDMg!F911/FruitFW!F911)*100</f>
        <v>17.399999999999999</v>
      </c>
    </row>
    <row r="912" spans="1:6" x14ac:dyDescent="0.25">
      <c r="A912" t="s">
        <v>16</v>
      </c>
      <c r="B912" s="2">
        <v>43577</v>
      </c>
      <c r="C912">
        <v>2019</v>
      </c>
      <c r="E912" t="s">
        <v>6</v>
      </c>
      <c r="F912">
        <f>(FruitDMg!F912/FruitFW!F912)*100</f>
        <v>16.3</v>
      </c>
    </row>
    <row r="913" spans="1:6" x14ac:dyDescent="0.25">
      <c r="A913" t="s">
        <v>16</v>
      </c>
      <c r="B913" s="2">
        <v>43584</v>
      </c>
      <c r="C913">
        <v>2019</v>
      </c>
      <c r="E913" t="s">
        <v>6</v>
      </c>
      <c r="F913">
        <f>(FruitDMg!F913/FruitFW!F913)*100</f>
        <v>16.7</v>
      </c>
    </row>
    <row r="914" spans="1:6" x14ac:dyDescent="0.25">
      <c r="A914" t="s">
        <v>16</v>
      </c>
      <c r="B914" s="2">
        <v>43584</v>
      </c>
      <c r="C914">
        <v>2019</v>
      </c>
      <c r="E914" t="s">
        <v>6</v>
      </c>
      <c r="F914">
        <f>(FruitDMg!F914/FruitFW!F914)*100</f>
        <v>16.899999999999999</v>
      </c>
    </row>
    <row r="915" spans="1:6" x14ac:dyDescent="0.25">
      <c r="A915" t="s">
        <v>16</v>
      </c>
      <c r="B915" s="2">
        <v>43584</v>
      </c>
      <c r="C915">
        <v>2019</v>
      </c>
      <c r="E915" t="s">
        <v>6</v>
      </c>
      <c r="F915">
        <f>(FruitDMg!F915/FruitFW!F915)*100</f>
        <v>17.599999999999998</v>
      </c>
    </row>
    <row r="916" spans="1:6" x14ac:dyDescent="0.25">
      <c r="A916" t="s">
        <v>16</v>
      </c>
      <c r="B916" s="2">
        <v>43584</v>
      </c>
      <c r="C916">
        <v>2019</v>
      </c>
      <c r="E916" t="s">
        <v>6</v>
      </c>
      <c r="F916">
        <f>(FruitDMg!F916/FruitFW!F916)*100</f>
        <v>16.600000000000001</v>
      </c>
    </row>
    <row r="917" spans="1:6" x14ac:dyDescent="0.25">
      <c r="A917" t="s">
        <v>16</v>
      </c>
      <c r="B917" s="2">
        <v>43612</v>
      </c>
      <c r="C917">
        <v>2019</v>
      </c>
      <c r="E917" t="s">
        <v>6</v>
      </c>
      <c r="F917">
        <f>(FruitDMg!F917/FruitFW!F917)*100</f>
        <v>18.3</v>
      </c>
    </row>
    <row r="918" spans="1:6" x14ac:dyDescent="0.25">
      <c r="A918" t="s">
        <v>16</v>
      </c>
      <c r="B918" s="2">
        <v>43612</v>
      </c>
      <c r="C918">
        <v>2019</v>
      </c>
      <c r="E918" t="s">
        <v>6</v>
      </c>
      <c r="F918">
        <f>(FruitDMg!F918/FruitFW!F918)*100</f>
        <v>17.5</v>
      </c>
    </row>
    <row r="919" spans="1:6" x14ac:dyDescent="0.25">
      <c r="A919" t="s">
        <v>16</v>
      </c>
      <c r="B919" s="2">
        <v>43613</v>
      </c>
      <c r="C919">
        <v>2019</v>
      </c>
      <c r="E919" t="s">
        <v>6</v>
      </c>
      <c r="F919">
        <f>(FruitDMg!F919/FruitFW!F919)*100</f>
        <v>17.599999999999998</v>
      </c>
    </row>
    <row r="920" spans="1:6" x14ac:dyDescent="0.25">
      <c r="A920" t="s">
        <v>16</v>
      </c>
      <c r="B920" s="2">
        <v>43613</v>
      </c>
      <c r="C920">
        <v>2019</v>
      </c>
      <c r="E920" t="s">
        <v>6</v>
      </c>
      <c r="F920">
        <f>(FruitDMg!F920/FruitFW!F920)*100</f>
        <v>17.700000000000003</v>
      </c>
    </row>
    <row r="921" spans="1:6" x14ac:dyDescent="0.25">
      <c r="A921" t="s">
        <v>17</v>
      </c>
      <c r="B921" s="2">
        <v>43850</v>
      </c>
      <c r="C921">
        <v>2020</v>
      </c>
      <c r="E921" t="s">
        <v>6</v>
      </c>
      <c r="F921">
        <f>(FruitDMg!F921/FruitFW!F921)*100</f>
        <v>8.1</v>
      </c>
    </row>
    <row r="922" spans="1:6" x14ac:dyDescent="0.25">
      <c r="A922" t="s">
        <v>17</v>
      </c>
      <c r="B922" s="2">
        <v>43880</v>
      </c>
      <c r="C922">
        <v>2020</v>
      </c>
      <c r="E922" t="s">
        <v>6</v>
      </c>
      <c r="F922">
        <f>(FruitDMg!F922/FruitFW!F922)*100</f>
        <v>12.400000000000002</v>
      </c>
    </row>
    <row r="923" spans="1:6" x14ac:dyDescent="0.25">
      <c r="A923" t="s">
        <v>17</v>
      </c>
      <c r="B923" s="2">
        <v>43892</v>
      </c>
      <c r="C923">
        <v>2020</v>
      </c>
      <c r="E923" t="s">
        <v>6</v>
      </c>
      <c r="F923">
        <f>(FruitDMg!F923/FruitFW!F923)*100</f>
        <v>13.999999999999998</v>
      </c>
    </row>
    <row r="924" spans="1:6" x14ac:dyDescent="0.25">
      <c r="A924" t="s">
        <v>17</v>
      </c>
      <c r="B924" s="2">
        <v>43906</v>
      </c>
      <c r="C924">
        <v>2020</v>
      </c>
      <c r="E924" t="s">
        <v>6</v>
      </c>
      <c r="F924">
        <f>(FruitDMg!F924/FruitFW!F924)*100</f>
        <v>15.5</v>
      </c>
    </row>
    <row r="925" spans="1:6" x14ac:dyDescent="0.25">
      <c r="A925" t="s">
        <v>17</v>
      </c>
      <c r="B925" s="2">
        <v>43950</v>
      </c>
      <c r="C925">
        <v>2020</v>
      </c>
      <c r="E925" t="s">
        <v>6</v>
      </c>
      <c r="F925">
        <f>(FruitDMg!F925/FruitFW!F925)*100</f>
        <v>17.5</v>
      </c>
    </row>
    <row r="926" spans="1:6" x14ac:dyDescent="0.25">
      <c r="A926" t="s">
        <v>17</v>
      </c>
      <c r="B926" s="2">
        <v>43963</v>
      </c>
      <c r="C926">
        <v>2020</v>
      </c>
      <c r="E926" t="s">
        <v>6</v>
      </c>
      <c r="F926">
        <f>(FruitDMg!F926/FruitFW!F926)*100</f>
        <v>17.699999999999996</v>
      </c>
    </row>
    <row r="927" spans="1:6" x14ac:dyDescent="0.25">
      <c r="A927" t="s">
        <v>17</v>
      </c>
      <c r="B927" s="2">
        <v>43977</v>
      </c>
      <c r="C927">
        <v>2020</v>
      </c>
      <c r="E927" t="s">
        <v>6</v>
      </c>
      <c r="F927">
        <f>(FruitDMg!F927/FruitFW!F927)*100</f>
        <v>17.700000000000003</v>
      </c>
    </row>
    <row r="928" spans="1:6" x14ac:dyDescent="0.25">
      <c r="A928" t="s">
        <v>17</v>
      </c>
      <c r="B928" s="2">
        <v>43851</v>
      </c>
      <c r="C928">
        <v>2020</v>
      </c>
      <c r="E928" t="s">
        <v>6</v>
      </c>
      <c r="F928">
        <f>(FruitDMg!F928/FruitFW!F928)*100</f>
        <v>8.6999999999999993</v>
      </c>
    </row>
    <row r="929" spans="1:6" x14ac:dyDescent="0.25">
      <c r="A929" t="s">
        <v>17</v>
      </c>
      <c r="B929" s="2">
        <v>43880</v>
      </c>
      <c r="C929">
        <v>2020</v>
      </c>
      <c r="E929" t="s">
        <v>6</v>
      </c>
      <c r="F929">
        <f>(FruitDMg!F929/FruitFW!F929)*100</f>
        <v>13.4</v>
      </c>
    </row>
    <row r="930" spans="1:6" x14ac:dyDescent="0.25">
      <c r="A930" t="s">
        <v>17</v>
      </c>
      <c r="B930" s="2">
        <v>43894</v>
      </c>
      <c r="C930">
        <v>2020</v>
      </c>
      <c r="E930" t="s">
        <v>6</v>
      </c>
      <c r="F930">
        <f>(FruitDMg!F930/FruitFW!F930)*100</f>
        <v>14.899999999999999</v>
      </c>
    </row>
    <row r="931" spans="1:6" x14ac:dyDescent="0.25">
      <c r="A931" t="s">
        <v>17</v>
      </c>
      <c r="B931" s="2">
        <v>43907</v>
      </c>
      <c r="C931">
        <v>2020</v>
      </c>
      <c r="E931" t="s">
        <v>6</v>
      </c>
      <c r="F931">
        <f>(FruitDMg!F931/FruitFW!F931)*100</f>
        <v>16.5</v>
      </c>
    </row>
    <row r="932" spans="1:6" x14ac:dyDescent="0.25">
      <c r="A932" t="s">
        <v>17</v>
      </c>
      <c r="B932" s="2">
        <v>43951</v>
      </c>
      <c r="C932">
        <v>2020</v>
      </c>
      <c r="E932" t="s">
        <v>6</v>
      </c>
      <c r="F932">
        <f>(FruitDMg!F932/FruitFW!F932)*100</f>
        <v>18.800000000000004</v>
      </c>
    </row>
    <row r="933" spans="1:6" x14ac:dyDescent="0.25">
      <c r="A933" t="s">
        <v>17</v>
      </c>
      <c r="B933" s="2">
        <v>43963</v>
      </c>
      <c r="C933">
        <v>2020</v>
      </c>
      <c r="E933" t="s">
        <v>6</v>
      </c>
      <c r="F933">
        <f>(FruitDMg!F933/FruitFW!F933)*100</f>
        <v>18.899999999999999</v>
      </c>
    </row>
    <row r="934" spans="1:6" x14ac:dyDescent="0.25">
      <c r="A934" t="s">
        <v>17</v>
      </c>
      <c r="B934" s="2">
        <v>43979</v>
      </c>
      <c r="C934">
        <v>2020</v>
      </c>
      <c r="E934" t="s">
        <v>6</v>
      </c>
      <c r="F934">
        <f>(FruitDMg!F934/FruitFW!F934)*100</f>
        <v>19.5</v>
      </c>
    </row>
    <row r="935" spans="1:6" x14ac:dyDescent="0.25">
      <c r="A935" t="s">
        <v>17</v>
      </c>
      <c r="B935" s="2">
        <v>43850</v>
      </c>
      <c r="C935">
        <v>2020</v>
      </c>
      <c r="E935" t="s">
        <v>6</v>
      </c>
      <c r="F935">
        <f>(FruitDMg!F935/FruitFW!F935)*100</f>
        <v>8.6</v>
      </c>
    </row>
    <row r="936" spans="1:6" x14ac:dyDescent="0.25">
      <c r="A936" t="s">
        <v>17</v>
      </c>
      <c r="B936" s="2">
        <v>43850</v>
      </c>
      <c r="C936">
        <v>2020</v>
      </c>
      <c r="E936" t="s">
        <v>6</v>
      </c>
      <c r="F936">
        <f>(FruitDMg!F936/FruitFW!F936)*100</f>
        <v>8.6000000000000014</v>
      </c>
    </row>
    <row r="937" spans="1:6" x14ac:dyDescent="0.25">
      <c r="A937" t="s">
        <v>17</v>
      </c>
      <c r="B937" s="2">
        <v>43851</v>
      </c>
      <c r="C937">
        <v>2020</v>
      </c>
      <c r="E937" t="s">
        <v>6</v>
      </c>
      <c r="F937">
        <f>(FruitDMg!F937/FruitFW!F937)*100</f>
        <v>8.9</v>
      </c>
    </row>
    <row r="938" spans="1:6" x14ac:dyDescent="0.25">
      <c r="A938" t="s">
        <v>17</v>
      </c>
      <c r="B938" s="2">
        <v>43878</v>
      </c>
      <c r="C938">
        <v>2020</v>
      </c>
      <c r="E938" t="s">
        <v>6</v>
      </c>
      <c r="F938">
        <f>(FruitDMg!F938/FruitFW!F938)*100</f>
        <v>13.3</v>
      </c>
    </row>
    <row r="939" spans="1:6" x14ac:dyDescent="0.25">
      <c r="A939" t="s">
        <v>17</v>
      </c>
      <c r="B939" s="2">
        <v>43878</v>
      </c>
      <c r="C939">
        <v>2020</v>
      </c>
      <c r="E939" t="s">
        <v>6</v>
      </c>
      <c r="F939">
        <f>(FruitDMg!F939/FruitFW!F939)*100</f>
        <v>12.799999999999997</v>
      </c>
    </row>
    <row r="940" spans="1:6" x14ac:dyDescent="0.25">
      <c r="A940" t="s">
        <v>17</v>
      </c>
      <c r="B940" s="2">
        <v>43880</v>
      </c>
      <c r="C940">
        <v>2020</v>
      </c>
      <c r="E940" t="s">
        <v>6</v>
      </c>
      <c r="F940">
        <f>(FruitDMg!F940/FruitFW!F940)*100</f>
        <v>13.5</v>
      </c>
    </row>
    <row r="941" spans="1:6" x14ac:dyDescent="0.25">
      <c r="A941" t="s">
        <v>17</v>
      </c>
      <c r="B941" s="2">
        <v>43892</v>
      </c>
      <c r="C941">
        <v>2020</v>
      </c>
      <c r="E941" t="s">
        <v>6</v>
      </c>
      <c r="F941">
        <f>(FruitDMg!F941/FruitFW!F941)*100</f>
        <v>14.900000000000002</v>
      </c>
    </row>
    <row r="942" spans="1:6" x14ac:dyDescent="0.25">
      <c r="A942" t="s">
        <v>17</v>
      </c>
      <c r="B942" s="2">
        <v>43892</v>
      </c>
      <c r="C942">
        <v>2020</v>
      </c>
      <c r="E942" t="s">
        <v>6</v>
      </c>
      <c r="F942">
        <f>(FruitDMg!F942/FruitFW!F942)*100</f>
        <v>14.900000000000002</v>
      </c>
    </row>
    <row r="943" spans="1:6" x14ac:dyDescent="0.25">
      <c r="A943" t="s">
        <v>17</v>
      </c>
      <c r="B943" s="2">
        <v>43894</v>
      </c>
      <c r="C943">
        <v>2020</v>
      </c>
      <c r="E943" t="s">
        <v>6</v>
      </c>
      <c r="F943">
        <f>(FruitDMg!F943/FruitFW!F943)*100</f>
        <v>14.400000000000002</v>
      </c>
    </row>
    <row r="944" spans="1:6" x14ac:dyDescent="0.25">
      <c r="A944" t="s">
        <v>17</v>
      </c>
      <c r="B944" s="2">
        <v>43906</v>
      </c>
      <c r="C944">
        <v>2020</v>
      </c>
      <c r="E944" t="s">
        <v>6</v>
      </c>
      <c r="F944">
        <f>(FruitDMg!F944/FruitFW!F944)*100</f>
        <v>16</v>
      </c>
    </row>
    <row r="945" spans="1:6" x14ac:dyDescent="0.25">
      <c r="A945" t="s">
        <v>17</v>
      </c>
      <c r="B945" s="2">
        <v>43906</v>
      </c>
      <c r="C945">
        <v>2020</v>
      </c>
      <c r="E945" t="s">
        <v>6</v>
      </c>
      <c r="F945">
        <f>(FruitDMg!F945/FruitFW!F945)*100</f>
        <v>16</v>
      </c>
    </row>
    <row r="946" spans="1:6" x14ac:dyDescent="0.25">
      <c r="A946" t="s">
        <v>17</v>
      </c>
      <c r="B946" s="2">
        <v>43907</v>
      </c>
      <c r="C946">
        <v>2020</v>
      </c>
      <c r="E946" t="s">
        <v>6</v>
      </c>
      <c r="F946">
        <f>(FruitDMg!F946/FruitFW!F946)*100</f>
        <v>15.4</v>
      </c>
    </row>
    <row r="947" spans="1:6" x14ac:dyDescent="0.25">
      <c r="A947" t="s">
        <v>17</v>
      </c>
      <c r="B947" s="2">
        <v>43950</v>
      </c>
      <c r="C947">
        <v>2020</v>
      </c>
      <c r="E947" t="s">
        <v>6</v>
      </c>
      <c r="F947">
        <f>(FruitDMg!F947/FruitFW!F947)*100</f>
        <v>18.5</v>
      </c>
    </row>
    <row r="948" spans="1:6" x14ac:dyDescent="0.25">
      <c r="A948" t="s">
        <v>17</v>
      </c>
      <c r="B948" s="2">
        <v>43950</v>
      </c>
      <c r="C948">
        <v>2020</v>
      </c>
      <c r="E948" t="s">
        <v>6</v>
      </c>
      <c r="F948">
        <f>(FruitDMg!F948/FruitFW!F948)*100</f>
        <v>18.5</v>
      </c>
    </row>
    <row r="949" spans="1:6" x14ac:dyDescent="0.25">
      <c r="A949" t="s">
        <v>17</v>
      </c>
      <c r="B949" s="2">
        <v>43950</v>
      </c>
      <c r="C949">
        <v>2020</v>
      </c>
      <c r="E949" t="s">
        <v>6</v>
      </c>
      <c r="F949">
        <f>(FruitDMg!F949/FruitFW!F949)*100</f>
        <v>17.299999999999997</v>
      </c>
    </row>
    <row r="950" spans="1:6" x14ac:dyDescent="0.25">
      <c r="A950" t="s">
        <v>17</v>
      </c>
      <c r="B950" s="2">
        <v>43963</v>
      </c>
      <c r="C950">
        <v>2020</v>
      </c>
      <c r="E950" t="s">
        <v>6</v>
      </c>
      <c r="F950">
        <f>(FruitDMg!F950/FruitFW!F950)*100</f>
        <v>18.899999999999999</v>
      </c>
    </row>
    <row r="951" spans="1:6" x14ac:dyDescent="0.25">
      <c r="A951" t="s">
        <v>17</v>
      </c>
      <c r="B951" s="2">
        <v>43964</v>
      </c>
      <c r="C951">
        <v>2020</v>
      </c>
      <c r="E951" t="s">
        <v>6</v>
      </c>
      <c r="F951">
        <f>(FruitDMg!F951/FruitFW!F951)*100</f>
        <v>18.8</v>
      </c>
    </row>
    <row r="952" spans="1:6" x14ac:dyDescent="0.25">
      <c r="A952" t="s">
        <v>17</v>
      </c>
      <c r="B952" s="2">
        <v>43964</v>
      </c>
      <c r="C952">
        <v>2020</v>
      </c>
      <c r="E952" t="s">
        <v>6</v>
      </c>
      <c r="F952">
        <f>(FruitDMg!F952/FruitFW!F952)*100</f>
        <v>17.5</v>
      </c>
    </row>
    <row r="953" spans="1:6" x14ac:dyDescent="0.25">
      <c r="A953" t="s">
        <v>17</v>
      </c>
      <c r="B953" s="2">
        <v>43978</v>
      </c>
      <c r="C953">
        <v>2020</v>
      </c>
      <c r="E953" t="s">
        <v>6</v>
      </c>
      <c r="F953">
        <f>(FruitDMg!F953/FruitFW!F953)*100</f>
        <v>18.999999999999996</v>
      </c>
    </row>
    <row r="954" spans="1:6" x14ac:dyDescent="0.25">
      <c r="A954" t="s">
        <v>17</v>
      </c>
      <c r="B954" s="2">
        <v>43978</v>
      </c>
      <c r="C954">
        <v>2020</v>
      </c>
      <c r="E954" t="s">
        <v>6</v>
      </c>
      <c r="F954">
        <f>(FruitDMg!F954/FruitFW!F954)*100</f>
        <v>18.199999999999996</v>
      </c>
    </row>
    <row r="955" spans="1:6" x14ac:dyDescent="0.25">
      <c r="A955" t="s">
        <v>22</v>
      </c>
      <c r="B955" s="2">
        <v>43850</v>
      </c>
      <c r="C955">
        <v>2020</v>
      </c>
      <c r="E955" t="s">
        <v>10</v>
      </c>
      <c r="F955">
        <f>(FruitDMg!F955/FruitFW!F955)*100</f>
        <v>10.1</v>
      </c>
    </row>
    <row r="956" spans="1:6" x14ac:dyDescent="0.25">
      <c r="A956" t="s">
        <v>22</v>
      </c>
      <c r="B956" s="2">
        <v>43880</v>
      </c>
      <c r="C956">
        <v>2020</v>
      </c>
      <c r="E956" t="s">
        <v>10</v>
      </c>
      <c r="F956">
        <f>(FruitDMg!F956/FruitFW!F956)*100</f>
        <v>15.300000000000002</v>
      </c>
    </row>
    <row r="957" spans="1:6" x14ac:dyDescent="0.25">
      <c r="A957" t="s">
        <v>22</v>
      </c>
      <c r="B957" s="2">
        <v>43892</v>
      </c>
      <c r="C957">
        <v>2020</v>
      </c>
      <c r="E957" t="s">
        <v>10</v>
      </c>
      <c r="F957">
        <f>(FruitDMg!F957/FruitFW!F957)*100</f>
        <v>16.5</v>
      </c>
    </row>
    <row r="958" spans="1:6" x14ac:dyDescent="0.25">
      <c r="A958" t="s">
        <v>22</v>
      </c>
      <c r="B958" s="2">
        <v>43906</v>
      </c>
      <c r="C958">
        <v>2020</v>
      </c>
      <c r="E958" t="s">
        <v>10</v>
      </c>
      <c r="F958">
        <f>(FruitDMg!F958/FruitFW!F958)*100</f>
        <v>16.100000000000001</v>
      </c>
    </row>
    <row r="959" spans="1:6" x14ac:dyDescent="0.25">
      <c r="A959" t="s">
        <v>22</v>
      </c>
      <c r="B959" s="2">
        <v>43949</v>
      </c>
      <c r="C959">
        <v>2020</v>
      </c>
      <c r="E959" t="s">
        <v>10</v>
      </c>
      <c r="F959">
        <f>(FruitDMg!F959/FruitFW!F959)*100</f>
        <v>16.600000000000005</v>
      </c>
    </row>
    <row r="960" spans="1:6" x14ac:dyDescent="0.25">
      <c r="A960" t="s">
        <v>22</v>
      </c>
      <c r="B960" s="2">
        <v>43963</v>
      </c>
      <c r="C960">
        <v>2020</v>
      </c>
      <c r="E960" t="s">
        <v>10</v>
      </c>
      <c r="F960">
        <f>(FruitDMg!F960/FruitFW!F960)*100</f>
        <v>17</v>
      </c>
    </row>
    <row r="961" spans="1:6" x14ac:dyDescent="0.25">
      <c r="A961" t="s">
        <v>22</v>
      </c>
      <c r="B961" s="2">
        <v>43976</v>
      </c>
      <c r="C961">
        <v>2020</v>
      </c>
      <c r="E961" t="s">
        <v>10</v>
      </c>
      <c r="F961">
        <f>(FruitDMg!F961/FruitFW!F961)*100</f>
        <v>17.3</v>
      </c>
    </row>
    <row r="962" spans="1:6" x14ac:dyDescent="0.25">
      <c r="A962" t="s">
        <v>18</v>
      </c>
      <c r="B962" s="2">
        <v>44223</v>
      </c>
      <c r="C962">
        <v>2021</v>
      </c>
      <c r="E962" t="s">
        <v>6</v>
      </c>
      <c r="F962">
        <f>(FruitDMg!F962/FruitFW!F962)*100</f>
        <v>8.8219087849999998</v>
      </c>
    </row>
    <row r="963" spans="1:6" x14ac:dyDescent="0.25">
      <c r="A963" t="s">
        <v>18</v>
      </c>
      <c r="B963" s="2">
        <v>44244</v>
      </c>
      <c r="C963">
        <v>2021</v>
      </c>
      <c r="E963" t="s">
        <v>6</v>
      </c>
      <c r="F963">
        <f>(FruitDMg!F963/FruitFW!F963)*100</f>
        <v>11.326228609999999</v>
      </c>
    </row>
    <row r="964" spans="1:6" x14ac:dyDescent="0.25">
      <c r="A964" t="s">
        <v>18</v>
      </c>
      <c r="B964" s="2">
        <v>44258</v>
      </c>
      <c r="C964">
        <v>2021</v>
      </c>
      <c r="E964" t="s">
        <v>6</v>
      </c>
      <c r="F964">
        <f>(FruitDMg!F964/FruitFW!F964)*100</f>
        <v>13.338020979999998</v>
      </c>
    </row>
    <row r="965" spans="1:6" x14ac:dyDescent="0.25">
      <c r="A965" t="s">
        <v>18</v>
      </c>
      <c r="B965" s="2">
        <v>44272</v>
      </c>
      <c r="C965">
        <v>2021</v>
      </c>
      <c r="E965" t="s">
        <v>6</v>
      </c>
      <c r="F965">
        <f>(FruitDMg!F965/FruitFW!F965)*100</f>
        <v>14.397584729999998</v>
      </c>
    </row>
    <row r="966" spans="1:6" x14ac:dyDescent="0.25">
      <c r="A966" t="s">
        <v>18</v>
      </c>
      <c r="B966" s="2">
        <v>44286</v>
      </c>
      <c r="C966">
        <v>2021</v>
      </c>
      <c r="E966" t="s">
        <v>6</v>
      </c>
      <c r="F966">
        <f>(FruitDMg!F966/FruitFW!F966)*100</f>
        <v>15.18128198</v>
      </c>
    </row>
    <row r="967" spans="1:6" x14ac:dyDescent="0.25">
      <c r="A967" t="s">
        <v>18</v>
      </c>
      <c r="B967" s="2">
        <v>44300</v>
      </c>
      <c r="C967">
        <v>2021</v>
      </c>
      <c r="E967" t="s">
        <v>6</v>
      </c>
      <c r="F967">
        <f>(FruitDMg!F967/FruitFW!F967)*100</f>
        <v>15.203008900000004</v>
      </c>
    </row>
    <row r="968" spans="1:6" x14ac:dyDescent="0.25">
      <c r="A968" t="s">
        <v>18</v>
      </c>
      <c r="B968" s="2">
        <v>44307</v>
      </c>
      <c r="C968">
        <v>2021</v>
      </c>
      <c r="E968" t="s">
        <v>6</v>
      </c>
      <c r="F968">
        <f>(FruitDMg!F968/FruitFW!F968)*100</f>
        <v>15.654528790000002</v>
      </c>
    </row>
    <row r="969" spans="1:6" x14ac:dyDescent="0.25">
      <c r="A969" t="s">
        <v>18</v>
      </c>
      <c r="B969" s="2">
        <v>44315</v>
      </c>
      <c r="C969">
        <v>2021</v>
      </c>
      <c r="E969" t="s">
        <v>6</v>
      </c>
      <c r="F969">
        <f>(FruitDMg!F969/FruitFW!F969)*100</f>
        <v>15.291157419999998</v>
      </c>
    </row>
    <row r="970" spans="1:6" x14ac:dyDescent="0.25">
      <c r="A970" t="s">
        <v>18</v>
      </c>
      <c r="B970" s="2">
        <v>44321</v>
      </c>
      <c r="C970">
        <v>2021</v>
      </c>
      <c r="E970" t="s">
        <v>6</v>
      </c>
      <c r="F970">
        <f>(FruitDMg!F970/FruitFW!F970)*100</f>
        <v>16.521215380000001</v>
      </c>
    </row>
    <row r="971" spans="1:6" x14ac:dyDescent="0.25">
      <c r="A971" t="s">
        <v>18</v>
      </c>
      <c r="B971" s="2">
        <v>44335</v>
      </c>
      <c r="C971">
        <v>2021</v>
      </c>
      <c r="E971" t="s">
        <v>6</v>
      </c>
      <c r="F971">
        <f>(FruitDMg!F971/FruitFW!F971)*100</f>
        <v>16.493120660000002</v>
      </c>
    </row>
    <row r="972" spans="1:6" x14ac:dyDescent="0.25">
      <c r="A972" t="s">
        <v>18</v>
      </c>
      <c r="B972" s="2">
        <v>44348</v>
      </c>
      <c r="C972">
        <v>2021</v>
      </c>
      <c r="E972" t="s">
        <v>6</v>
      </c>
      <c r="F972">
        <f>(FruitDMg!F972/FruitFW!F972)*100</f>
        <v>17.19554462</v>
      </c>
    </row>
    <row r="973" spans="1:6" x14ac:dyDescent="0.25">
      <c r="A973" t="s">
        <v>18</v>
      </c>
      <c r="B973" s="2">
        <v>44223</v>
      </c>
      <c r="C973">
        <v>2021</v>
      </c>
      <c r="E973" t="s">
        <v>6</v>
      </c>
      <c r="F973">
        <f>(FruitDMg!F973/FruitFW!F973)*100</f>
        <v>10.179676189999999</v>
      </c>
    </row>
    <row r="974" spans="1:6" x14ac:dyDescent="0.25">
      <c r="A974" t="s">
        <v>18</v>
      </c>
      <c r="B974" s="2">
        <v>44258</v>
      </c>
      <c r="C974">
        <v>2021</v>
      </c>
      <c r="E974" t="s">
        <v>6</v>
      </c>
      <c r="F974">
        <f>(FruitDMg!F974/FruitFW!F974)*100</f>
        <v>15.628000080000001</v>
      </c>
    </row>
    <row r="975" spans="1:6" x14ac:dyDescent="0.25">
      <c r="A975" t="s">
        <v>18</v>
      </c>
      <c r="B975" s="2">
        <v>44272</v>
      </c>
      <c r="C975">
        <v>2021</v>
      </c>
      <c r="E975" t="s">
        <v>6</v>
      </c>
      <c r="F975">
        <f>(FruitDMg!F975/FruitFW!F975)*100</f>
        <v>16.63794643</v>
      </c>
    </row>
    <row r="976" spans="1:6" x14ac:dyDescent="0.25">
      <c r="A976" t="s">
        <v>18</v>
      </c>
      <c r="B976" s="2">
        <v>44286</v>
      </c>
      <c r="C976">
        <v>2021</v>
      </c>
      <c r="E976" t="s">
        <v>6</v>
      </c>
      <c r="F976">
        <f>(FruitDMg!F976/FruitFW!F976)*100</f>
        <v>17.359527880000002</v>
      </c>
    </row>
    <row r="977" spans="1:6" x14ac:dyDescent="0.25">
      <c r="A977" t="s">
        <v>18</v>
      </c>
      <c r="B977" s="2">
        <v>44300</v>
      </c>
      <c r="C977">
        <v>2021</v>
      </c>
      <c r="E977" t="s">
        <v>6</v>
      </c>
      <c r="F977">
        <f>(FruitDMg!F977/FruitFW!F977)*100</f>
        <v>17.60640596</v>
      </c>
    </row>
    <row r="978" spans="1:6" x14ac:dyDescent="0.25">
      <c r="A978" t="s">
        <v>18</v>
      </c>
      <c r="B978" s="2">
        <v>44307</v>
      </c>
      <c r="C978">
        <v>2021</v>
      </c>
      <c r="E978" t="s">
        <v>6</v>
      </c>
      <c r="F978">
        <f>(FruitDMg!F978/FruitFW!F978)*100</f>
        <v>17.904109959999996</v>
      </c>
    </row>
    <row r="979" spans="1:6" x14ac:dyDescent="0.25">
      <c r="A979" t="s">
        <v>18</v>
      </c>
      <c r="B979" s="2">
        <v>44315</v>
      </c>
      <c r="C979">
        <v>2021</v>
      </c>
      <c r="E979" t="s">
        <v>6</v>
      </c>
      <c r="F979">
        <f>(FruitDMg!F979/FruitFW!F979)*100</f>
        <v>18.175619019999996</v>
      </c>
    </row>
    <row r="980" spans="1:6" x14ac:dyDescent="0.25">
      <c r="A980" t="s">
        <v>18</v>
      </c>
      <c r="B980" s="2">
        <v>44321</v>
      </c>
      <c r="C980">
        <v>2021</v>
      </c>
      <c r="E980" t="s">
        <v>6</v>
      </c>
      <c r="F980">
        <f>(FruitDMg!F980/FruitFW!F980)*100</f>
        <v>18.282530170000001</v>
      </c>
    </row>
    <row r="981" spans="1:6" x14ac:dyDescent="0.25">
      <c r="A981" t="s">
        <v>18</v>
      </c>
      <c r="B981" s="2">
        <v>44335</v>
      </c>
      <c r="C981">
        <v>2021</v>
      </c>
      <c r="E981" t="s">
        <v>6</v>
      </c>
      <c r="F981">
        <f>(FruitDMg!F981/FruitFW!F981)*100</f>
        <v>18.609304609999999</v>
      </c>
    </row>
    <row r="982" spans="1:6" x14ac:dyDescent="0.25">
      <c r="A982" t="s">
        <v>18</v>
      </c>
      <c r="B982" s="2">
        <v>44348</v>
      </c>
      <c r="C982">
        <v>2021</v>
      </c>
      <c r="E982" t="s">
        <v>6</v>
      </c>
      <c r="F982">
        <f>(FruitDMg!F982/FruitFW!F982)*100</f>
        <v>18.614446149999999</v>
      </c>
    </row>
    <row r="983" spans="1:6" x14ac:dyDescent="0.25">
      <c r="A983" t="s">
        <v>18</v>
      </c>
      <c r="B983" s="2">
        <v>44223</v>
      </c>
      <c r="C983">
        <v>2021</v>
      </c>
      <c r="E983" t="s">
        <v>6</v>
      </c>
      <c r="F983">
        <f>(FruitDMg!F983/FruitFW!F983)*100</f>
        <v>10.13879683</v>
      </c>
    </row>
    <row r="984" spans="1:6" x14ac:dyDescent="0.25">
      <c r="A984" t="s">
        <v>18</v>
      </c>
      <c r="B984" s="2">
        <v>44223</v>
      </c>
      <c r="C984">
        <v>2021</v>
      </c>
      <c r="E984" t="s">
        <v>6</v>
      </c>
      <c r="F984">
        <f>(FruitDMg!F984/FruitFW!F984)*100</f>
        <v>8.9871780220000002</v>
      </c>
    </row>
    <row r="985" spans="1:6" x14ac:dyDescent="0.25">
      <c r="A985" t="s">
        <v>18</v>
      </c>
      <c r="B985" s="2">
        <v>44224</v>
      </c>
      <c r="C985">
        <v>2021</v>
      </c>
      <c r="E985" t="s">
        <v>6</v>
      </c>
      <c r="F985">
        <f>(FruitDMg!F985/FruitFW!F985)*100</f>
        <v>9.5918194680000006</v>
      </c>
    </row>
    <row r="986" spans="1:6" x14ac:dyDescent="0.25">
      <c r="A986" t="s">
        <v>18</v>
      </c>
      <c r="B986" s="2">
        <v>44244</v>
      </c>
      <c r="C986">
        <v>2021</v>
      </c>
      <c r="E986" t="s">
        <v>6</v>
      </c>
      <c r="F986">
        <f>(FruitDMg!F986/FruitFW!F986)*100</f>
        <v>12.588401129999999</v>
      </c>
    </row>
    <row r="987" spans="1:6" x14ac:dyDescent="0.25">
      <c r="A987" t="s">
        <v>18</v>
      </c>
      <c r="B987" s="2">
        <v>44245</v>
      </c>
      <c r="C987">
        <v>2021</v>
      </c>
      <c r="E987" t="s">
        <v>6</v>
      </c>
      <c r="F987">
        <f>(FruitDMg!F987/FruitFW!F987)*100</f>
        <v>12.309720889999999</v>
      </c>
    </row>
    <row r="988" spans="1:6" x14ac:dyDescent="0.25">
      <c r="A988" t="s">
        <v>18</v>
      </c>
      <c r="B988" s="2">
        <v>44245</v>
      </c>
      <c r="C988">
        <v>2021</v>
      </c>
      <c r="E988" t="s">
        <v>6</v>
      </c>
      <c r="F988">
        <f>(FruitDMg!F988/FruitFW!F988)*100</f>
        <v>11.80923168</v>
      </c>
    </row>
    <row r="989" spans="1:6" x14ac:dyDescent="0.25">
      <c r="A989" t="s">
        <v>18</v>
      </c>
      <c r="B989" s="2">
        <v>44258</v>
      </c>
      <c r="C989">
        <v>2021</v>
      </c>
      <c r="E989" t="s">
        <v>6</v>
      </c>
      <c r="F989">
        <f>(FruitDMg!F989/FruitFW!F989)*100</f>
        <v>14.489709960000003</v>
      </c>
    </row>
    <row r="990" spans="1:6" x14ac:dyDescent="0.25">
      <c r="A990" t="s">
        <v>18</v>
      </c>
      <c r="B990" s="2">
        <v>44258</v>
      </c>
      <c r="C990">
        <v>2021</v>
      </c>
      <c r="E990" t="s">
        <v>6</v>
      </c>
      <c r="F990">
        <f>(FruitDMg!F990/FruitFW!F990)*100</f>
        <v>15.025325560000002</v>
      </c>
    </row>
    <row r="991" spans="1:6" x14ac:dyDescent="0.25">
      <c r="A991" t="s">
        <v>18</v>
      </c>
      <c r="B991" s="2">
        <v>44258</v>
      </c>
      <c r="C991">
        <v>2021</v>
      </c>
      <c r="E991" t="s">
        <v>6</v>
      </c>
      <c r="F991">
        <f>(FruitDMg!F991/FruitFW!F991)*100</f>
        <v>14.567588619999999</v>
      </c>
    </row>
    <row r="992" spans="1:6" x14ac:dyDescent="0.25">
      <c r="A992" t="s">
        <v>18</v>
      </c>
      <c r="B992" s="2">
        <v>44272</v>
      </c>
      <c r="C992">
        <v>2021</v>
      </c>
      <c r="E992" t="s">
        <v>6</v>
      </c>
      <c r="F992">
        <f>(FruitDMg!F992/FruitFW!F992)*100</f>
        <v>15.51031553</v>
      </c>
    </row>
    <row r="993" spans="1:6" x14ac:dyDescent="0.25">
      <c r="A993" t="s">
        <v>18</v>
      </c>
      <c r="B993" s="2">
        <v>44272</v>
      </c>
      <c r="C993">
        <v>2021</v>
      </c>
      <c r="E993" t="s">
        <v>6</v>
      </c>
      <c r="F993">
        <f>(FruitDMg!F993/FruitFW!F993)*100</f>
        <v>16.65752165</v>
      </c>
    </row>
    <row r="994" spans="1:6" x14ac:dyDescent="0.25">
      <c r="A994" t="s">
        <v>18</v>
      </c>
      <c r="B994" s="2">
        <v>44272</v>
      </c>
      <c r="C994">
        <v>2021</v>
      </c>
      <c r="E994" t="s">
        <v>6</v>
      </c>
      <c r="F994">
        <f>(FruitDMg!F994/FruitFW!F994)*100</f>
        <v>16.516183529999999</v>
      </c>
    </row>
    <row r="995" spans="1:6" x14ac:dyDescent="0.25">
      <c r="A995" t="s">
        <v>18</v>
      </c>
      <c r="B995" s="2">
        <v>44286</v>
      </c>
      <c r="C995">
        <v>2021</v>
      </c>
      <c r="E995" t="s">
        <v>6</v>
      </c>
      <c r="F995">
        <f>(FruitDMg!F995/FruitFW!F995)*100</f>
        <v>17.496831</v>
      </c>
    </row>
    <row r="996" spans="1:6" x14ac:dyDescent="0.25">
      <c r="A996" t="s">
        <v>18</v>
      </c>
      <c r="B996" s="2">
        <v>44287</v>
      </c>
      <c r="C996">
        <v>2021</v>
      </c>
      <c r="E996" t="s">
        <v>6</v>
      </c>
      <c r="F996">
        <f>(FruitDMg!F996/FruitFW!F996)*100</f>
        <v>16.263976929999998</v>
      </c>
    </row>
    <row r="997" spans="1:6" x14ac:dyDescent="0.25">
      <c r="A997" t="s">
        <v>18</v>
      </c>
      <c r="B997" s="2">
        <v>44287</v>
      </c>
      <c r="C997">
        <v>2021</v>
      </c>
      <c r="E997" t="s">
        <v>6</v>
      </c>
      <c r="F997">
        <f>(FruitDMg!F997/FruitFW!F997)*100</f>
        <v>16.644487419999997</v>
      </c>
    </row>
    <row r="998" spans="1:6" x14ac:dyDescent="0.25">
      <c r="A998" t="s">
        <v>18</v>
      </c>
      <c r="B998" s="2">
        <v>44300</v>
      </c>
      <c r="C998">
        <v>2021</v>
      </c>
      <c r="E998" t="s">
        <v>6</v>
      </c>
      <c r="F998">
        <f>(FruitDMg!F998/FruitFW!F998)*100</f>
        <v>17.395084430000001</v>
      </c>
    </row>
    <row r="999" spans="1:6" x14ac:dyDescent="0.25">
      <c r="A999" t="s">
        <v>18</v>
      </c>
      <c r="B999" s="2">
        <v>44301</v>
      </c>
      <c r="C999">
        <v>2021</v>
      </c>
      <c r="E999" t="s">
        <v>6</v>
      </c>
      <c r="F999">
        <f>(FruitDMg!F999/FruitFW!F999)*100</f>
        <v>17.0100801</v>
      </c>
    </row>
    <row r="1000" spans="1:6" x14ac:dyDescent="0.25">
      <c r="A1000" t="s">
        <v>18</v>
      </c>
      <c r="B1000" s="2">
        <v>44301</v>
      </c>
      <c r="C1000">
        <v>2021</v>
      </c>
      <c r="E1000" t="s">
        <v>6</v>
      </c>
      <c r="F1000">
        <f>(FruitDMg!F1000/FruitFW!F1000)*100</f>
        <v>16.621431399999999</v>
      </c>
    </row>
    <row r="1001" spans="1:6" x14ac:dyDescent="0.25">
      <c r="A1001" t="s">
        <v>18</v>
      </c>
      <c r="B1001" s="2">
        <v>44307</v>
      </c>
      <c r="C1001">
        <v>2021</v>
      </c>
      <c r="E1001" t="s">
        <v>6</v>
      </c>
      <c r="F1001">
        <f>(FruitDMg!F1001/FruitFW!F1001)*100</f>
        <v>17.17040458</v>
      </c>
    </row>
    <row r="1002" spans="1:6" x14ac:dyDescent="0.25">
      <c r="A1002" t="s">
        <v>18</v>
      </c>
      <c r="B1002" s="2">
        <v>44307</v>
      </c>
      <c r="C1002">
        <v>2021</v>
      </c>
      <c r="E1002" t="s">
        <v>6</v>
      </c>
      <c r="F1002">
        <f>(FruitDMg!F1002/FruitFW!F1002)*100</f>
        <v>17.699558069999998</v>
      </c>
    </row>
    <row r="1003" spans="1:6" x14ac:dyDescent="0.25">
      <c r="A1003" t="s">
        <v>18</v>
      </c>
      <c r="B1003" s="2">
        <v>44307</v>
      </c>
      <c r="C1003">
        <v>2021</v>
      </c>
      <c r="E1003" t="s">
        <v>6</v>
      </c>
      <c r="F1003">
        <f>(FruitDMg!F1003/FruitFW!F1003)*100</f>
        <v>17.108626829999999</v>
      </c>
    </row>
    <row r="1004" spans="1:6" x14ac:dyDescent="0.25">
      <c r="A1004" t="s">
        <v>18</v>
      </c>
      <c r="B1004" s="2">
        <v>44315</v>
      </c>
      <c r="C1004">
        <v>2021</v>
      </c>
      <c r="E1004" t="s">
        <v>6</v>
      </c>
      <c r="F1004">
        <f>(FruitDMg!F1004/FruitFW!F1004)*100</f>
        <v>17.549679300000001</v>
      </c>
    </row>
    <row r="1005" spans="1:6" x14ac:dyDescent="0.25">
      <c r="A1005" t="s">
        <v>18</v>
      </c>
      <c r="B1005" s="2">
        <v>44316</v>
      </c>
      <c r="C1005">
        <v>2021</v>
      </c>
      <c r="E1005" t="s">
        <v>6</v>
      </c>
      <c r="F1005">
        <f>(FruitDMg!F1005/FruitFW!F1005)*100</f>
        <v>17.88764406</v>
      </c>
    </row>
    <row r="1006" spans="1:6" x14ac:dyDescent="0.25">
      <c r="A1006" t="s">
        <v>18</v>
      </c>
      <c r="B1006" s="2">
        <v>44316</v>
      </c>
      <c r="C1006">
        <v>2021</v>
      </c>
      <c r="E1006" t="s">
        <v>6</v>
      </c>
      <c r="F1006">
        <f>(FruitDMg!F1006/FruitFW!F1006)*100</f>
        <v>17.83926323</v>
      </c>
    </row>
    <row r="1007" spans="1:6" x14ac:dyDescent="0.25">
      <c r="A1007" t="s">
        <v>18</v>
      </c>
      <c r="B1007" s="2">
        <v>44321</v>
      </c>
      <c r="C1007">
        <v>2021</v>
      </c>
      <c r="E1007" t="s">
        <v>6</v>
      </c>
      <c r="F1007">
        <f>(FruitDMg!F1007/FruitFW!F1007)*100</f>
        <v>18.53625375</v>
      </c>
    </row>
    <row r="1008" spans="1:6" x14ac:dyDescent="0.25">
      <c r="A1008" t="s">
        <v>18</v>
      </c>
      <c r="B1008" s="2">
        <v>44322</v>
      </c>
      <c r="C1008">
        <v>2021</v>
      </c>
      <c r="E1008" t="s">
        <v>6</v>
      </c>
      <c r="F1008">
        <f>(FruitDMg!F1008/FruitFW!F1008)*100</f>
        <v>17.838277249999997</v>
      </c>
    </row>
    <row r="1009" spans="1:6" x14ac:dyDescent="0.25">
      <c r="A1009" t="s">
        <v>18</v>
      </c>
      <c r="B1009" s="2">
        <v>44322</v>
      </c>
      <c r="C1009">
        <v>2021</v>
      </c>
      <c r="E1009" t="s">
        <v>6</v>
      </c>
      <c r="F1009">
        <f>(FruitDMg!F1009/FruitFW!F1009)*100</f>
        <v>18.04045911</v>
      </c>
    </row>
    <row r="1010" spans="1:6" x14ac:dyDescent="0.25">
      <c r="A1010" t="s">
        <v>18</v>
      </c>
      <c r="B1010" s="2">
        <v>44335</v>
      </c>
      <c r="C1010">
        <v>2021</v>
      </c>
      <c r="E1010" t="s">
        <v>6</v>
      </c>
      <c r="F1010">
        <f>(FruitDMg!F1010/FruitFW!F1010)*100</f>
        <v>19.368199059999995</v>
      </c>
    </row>
    <row r="1011" spans="1:6" x14ac:dyDescent="0.25">
      <c r="A1011" t="s">
        <v>18</v>
      </c>
      <c r="B1011" s="2">
        <v>44336</v>
      </c>
      <c r="C1011">
        <v>2021</v>
      </c>
      <c r="E1011" t="s">
        <v>6</v>
      </c>
      <c r="F1011">
        <f>(FruitDMg!F1011/FruitFW!F1011)*100</f>
        <v>18.251158749999998</v>
      </c>
    </row>
    <row r="1012" spans="1:6" x14ac:dyDescent="0.25">
      <c r="A1012" t="s">
        <v>18</v>
      </c>
      <c r="B1012" s="2">
        <v>44336</v>
      </c>
      <c r="C1012">
        <v>2021</v>
      </c>
      <c r="E1012" t="s">
        <v>6</v>
      </c>
      <c r="F1012">
        <f>(FruitDMg!F1012/FruitFW!F1012)*100</f>
        <v>18.661880759999999</v>
      </c>
    </row>
    <row r="1013" spans="1:6" x14ac:dyDescent="0.25">
      <c r="A1013" t="s">
        <v>18</v>
      </c>
      <c r="B1013" s="2">
        <v>44348</v>
      </c>
      <c r="C1013">
        <v>2021</v>
      </c>
      <c r="E1013" t="s">
        <v>6</v>
      </c>
      <c r="F1013">
        <f>(FruitDMg!F1013/FruitFW!F1013)*100</f>
        <v>18.629489569999997</v>
      </c>
    </row>
    <row r="1014" spans="1:6" x14ac:dyDescent="0.25">
      <c r="A1014" t="s">
        <v>18</v>
      </c>
      <c r="B1014" s="2">
        <v>44349</v>
      </c>
      <c r="C1014">
        <v>2021</v>
      </c>
      <c r="E1014" t="s">
        <v>6</v>
      </c>
      <c r="F1014">
        <f>(FruitDMg!F1014/FruitFW!F1014)*100</f>
        <v>18.968877419999998</v>
      </c>
    </row>
    <row r="1015" spans="1:6" x14ac:dyDescent="0.25">
      <c r="A1015" t="s">
        <v>18</v>
      </c>
      <c r="B1015" s="2">
        <v>44349</v>
      </c>
      <c r="C1015">
        <v>2021</v>
      </c>
      <c r="E1015" t="s">
        <v>6</v>
      </c>
      <c r="F1015">
        <f>(FruitDMg!F1015/FruitFW!F1015)*100</f>
        <v>18.861529709999999</v>
      </c>
    </row>
    <row r="1016" spans="1:6" x14ac:dyDescent="0.25">
      <c r="A1016" t="s">
        <v>23</v>
      </c>
      <c r="B1016" s="2">
        <v>44221</v>
      </c>
      <c r="C1016">
        <v>2021</v>
      </c>
      <c r="E1016" t="s">
        <v>10</v>
      </c>
      <c r="F1016">
        <f>(FruitDMg!F1016/FruitFW!F1016)*100</f>
        <v>10.189048139999999</v>
      </c>
    </row>
    <row r="1017" spans="1:6" x14ac:dyDescent="0.25">
      <c r="A1017" t="s">
        <v>23</v>
      </c>
      <c r="B1017" s="2">
        <v>44245</v>
      </c>
      <c r="C1017">
        <v>2021</v>
      </c>
      <c r="E1017" t="s">
        <v>10</v>
      </c>
      <c r="F1017">
        <f>(FruitDMg!F1017/FruitFW!F1017)*100</f>
        <v>13.187815029999999</v>
      </c>
    </row>
    <row r="1018" spans="1:6" x14ac:dyDescent="0.25">
      <c r="A1018" t="s">
        <v>23</v>
      </c>
      <c r="B1018" s="2">
        <v>44256</v>
      </c>
      <c r="C1018">
        <v>2021</v>
      </c>
      <c r="E1018" t="s">
        <v>10</v>
      </c>
      <c r="F1018">
        <f>(FruitDMg!F1018/FruitFW!F1018)*100</f>
        <v>14.327754919999999</v>
      </c>
    </row>
    <row r="1019" spans="1:6" x14ac:dyDescent="0.25">
      <c r="A1019" t="s">
        <v>23</v>
      </c>
      <c r="B1019" s="2">
        <v>44271</v>
      </c>
      <c r="C1019">
        <v>2021</v>
      </c>
      <c r="E1019" t="s">
        <v>10</v>
      </c>
      <c r="F1019">
        <f>(FruitDMg!F1019/FruitFW!F1019)*100</f>
        <v>14.806242410000001</v>
      </c>
    </row>
    <row r="1020" spans="1:6" x14ac:dyDescent="0.25">
      <c r="A1020" t="s">
        <v>23</v>
      </c>
      <c r="B1020" s="2">
        <v>44284</v>
      </c>
      <c r="C1020">
        <v>2021</v>
      </c>
      <c r="E1020" t="s">
        <v>10</v>
      </c>
      <c r="F1020">
        <f>(FruitDMg!F1020/FruitFW!F1020)*100</f>
        <v>15.547038700000002</v>
      </c>
    </row>
    <row r="1021" spans="1:6" x14ac:dyDescent="0.25">
      <c r="A1021" t="s">
        <v>23</v>
      </c>
      <c r="B1021" s="2">
        <v>44298</v>
      </c>
      <c r="C1021">
        <v>2021</v>
      </c>
      <c r="E1021" t="s">
        <v>10</v>
      </c>
      <c r="F1021">
        <f>(FruitDMg!F1021/FruitFW!F1021)*100</f>
        <v>15.93281812</v>
      </c>
    </row>
    <row r="1022" spans="1:6" x14ac:dyDescent="0.25">
      <c r="A1022" t="s">
        <v>23</v>
      </c>
      <c r="B1022" s="2">
        <v>44307</v>
      </c>
      <c r="C1022">
        <v>2021</v>
      </c>
      <c r="E1022" t="s">
        <v>10</v>
      </c>
      <c r="F1022">
        <f>(FruitDMg!F1022/FruitFW!F1022)*100</f>
        <v>15.991152989999998</v>
      </c>
    </row>
    <row r="1023" spans="1:6" x14ac:dyDescent="0.25">
      <c r="A1023" t="s">
        <v>23</v>
      </c>
      <c r="B1023" s="2">
        <v>44315</v>
      </c>
      <c r="C1023">
        <v>2021</v>
      </c>
      <c r="E1023" t="s">
        <v>10</v>
      </c>
      <c r="F1023">
        <f>(FruitDMg!F1023/FruitFW!F1023)*100</f>
        <v>16.40011294</v>
      </c>
    </row>
    <row r="1024" spans="1:6" x14ac:dyDescent="0.25">
      <c r="A1024" t="s">
        <v>23</v>
      </c>
      <c r="B1024" s="2">
        <v>44321</v>
      </c>
      <c r="C1024">
        <v>2021</v>
      </c>
      <c r="E1024" t="s">
        <v>10</v>
      </c>
      <c r="F1024">
        <f>(FruitDMg!F1024/FruitFW!F1024)*100</f>
        <v>16.644749740000002</v>
      </c>
    </row>
    <row r="1025" spans="1:6" x14ac:dyDescent="0.25">
      <c r="A1025" t="s">
        <v>23</v>
      </c>
      <c r="B1025" s="2">
        <v>44333</v>
      </c>
      <c r="C1025">
        <v>2021</v>
      </c>
      <c r="E1025" t="s">
        <v>10</v>
      </c>
      <c r="F1025">
        <f>(FruitDMg!F1025/FruitFW!F1025)*100</f>
        <v>17.180538370000001</v>
      </c>
    </row>
    <row r="1026" spans="1:6" x14ac:dyDescent="0.25">
      <c r="A1026" t="s">
        <v>23</v>
      </c>
      <c r="B1026" s="2">
        <v>44347</v>
      </c>
      <c r="C1026">
        <v>2021</v>
      </c>
      <c r="E1026" t="s">
        <v>10</v>
      </c>
      <c r="F1026">
        <f>(FruitDMg!F1026/FruitFW!F1026)*100</f>
        <v>17.54431529</v>
      </c>
    </row>
    <row r="1027" spans="1:6" x14ac:dyDescent="0.25">
      <c r="A1027" t="s">
        <v>19</v>
      </c>
      <c r="B1027" s="2">
        <v>44603</v>
      </c>
      <c r="C1027">
        <v>2022</v>
      </c>
      <c r="D1027" s="2"/>
      <c r="E1027" t="s">
        <v>6</v>
      </c>
      <c r="F1027">
        <f>(FruitDMg!F1027/FruitFW!F1027)*100</f>
        <v>11.399999999999999</v>
      </c>
    </row>
    <row r="1028" spans="1:6" x14ac:dyDescent="0.25">
      <c r="A1028" t="s">
        <v>19</v>
      </c>
      <c r="B1028" s="2">
        <v>44608</v>
      </c>
      <c r="C1028">
        <v>2022</v>
      </c>
      <c r="E1028" t="s">
        <v>6</v>
      </c>
      <c r="F1028">
        <f>(FruitDMg!F1028/FruitFW!F1028)*100</f>
        <v>13.4</v>
      </c>
    </row>
    <row r="1029" spans="1:6" x14ac:dyDescent="0.25">
      <c r="A1029" t="s">
        <v>19</v>
      </c>
      <c r="B1029" s="2">
        <v>44622</v>
      </c>
      <c r="C1029">
        <v>2022</v>
      </c>
      <c r="E1029" t="s">
        <v>6</v>
      </c>
      <c r="F1029">
        <f>(FruitDMg!F1029/FruitFW!F1029)*100</f>
        <v>11.699999999999998</v>
      </c>
    </row>
    <row r="1030" spans="1:6" x14ac:dyDescent="0.25">
      <c r="A1030" t="s">
        <v>19</v>
      </c>
      <c r="B1030" s="2">
        <v>44636</v>
      </c>
      <c r="C1030">
        <v>2022</v>
      </c>
      <c r="E1030" t="s">
        <v>6</v>
      </c>
      <c r="F1030">
        <f>(FruitDMg!F1030/FruitFW!F1030)*100</f>
        <v>12.4</v>
      </c>
    </row>
    <row r="1031" spans="1:6" x14ac:dyDescent="0.25">
      <c r="A1031" t="s">
        <v>19</v>
      </c>
      <c r="B1031" s="2">
        <v>44650</v>
      </c>
      <c r="C1031">
        <v>2022</v>
      </c>
      <c r="E1031" t="s">
        <v>6</v>
      </c>
      <c r="F1031">
        <f>(FruitDMg!F1031/FruitFW!F1031)*100</f>
        <v>15.100000000000001</v>
      </c>
    </row>
    <row r="1032" spans="1:6" x14ac:dyDescent="0.25">
      <c r="A1032" t="s">
        <v>19</v>
      </c>
      <c r="B1032" s="2">
        <v>44664</v>
      </c>
      <c r="C1032">
        <v>2022</v>
      </c>
      <c r="E1032" t="s">
        <v>6</v>
      </c>
      <c r="F1032">
        <f>(FruitDMg!F1032/FruitFW!F1032)*100</f>
        <v>15.2</v>
      </c>
    </row>
    <row r="1033" spans="1:6" x14ac:dyDescent="0.25">
      <c r="A1033" t="s">
        <v>19</v>
      </c>
      <c r="B1033" s="2">
        <v>44672</v>
      </c>
      <c r="C1033">
        <v>2022</v>
      </c>
      <c r="E1033" t="s">
        <v>6</v>
      </c>
      <c r="F1033">
        <f>(FruitDMg!F1033/FruitFW!F1033)*100</f>
        <v>16</v>
      </c>
    </row>
    <row r="1034" spans="1:6" x14ac:dyDescent="0.25">
      <c r="A1034" t="s">
        <v>19</v>
      </c>
      <c r="B1034" s="2">
        <v>44680</v>
      </c>
      <c r="C1034">
        <v>2022</v>
      </c>
      <c r="E1034" t="s">
        <v>6</v>
      </c>
      <c r="F1034">
        <f>(FruitDMg!F1034/FruitFW!F1034)*100</f>
        <v>16.100000000000001</v>
      </c>
    </row>
    <row r="1035" spans="1:6" x14ac:dyDescent="0.25">
      <c r="A1035" t="s">
        <v>19</v>
      </c>
      <c r="B1035" s="2">
        <v>44685</v>
      </c>
      <c r="C1035">
        <v>2022</v>
      </c>
      <c r="E1035" t="s">
        <v>6</v>
      </c>
      <c r="F1035">
        <f>(FruitDMg!F1035/FruitFW!F1035)*100</f>
        <v>15.8</v>
      </c>
    </row>
    <row r="1036" spans="1:6" x14ac:dyDescent="0.25">
      <c r="A1036" t="s">
        <v>19</v>
      </c>
      <c r="B1036" s="2">
        <v>44699</v>
      </c>
      <c r="C1036">
        <v>2022</v>
      </c>
      <c r="E1036" t="s">
        <v>6</v>
      </c>
      <c r="F1036">
        <f>(FruitDMg!F1036/FruitFW!F1036)*100</f>
        <v>15.5</v>
      </c>
    </row>
    <row r="1037" spans="1:6" x14ac:dyDescent="0.25">
      <c r="A1037" t="s">
        <v>19</v>
      </c>
      <c r="B1037" s="2">
        <v>44713</v>
      </c>
      <c r="C1037">
        <v>2022</v>
      </c>
      <c r="E1037" t="s">
        <v>6</v>
      </c>
      <c r="F1037">
        <f>(FruitDMg!F1037/FruitFW!F1037)*100</f>
        <v>16.3</v>
      </c>
    </row>
    <row r="1038" spans="1:6" x14ac:dyDescent="0.25">
      <c r="A1038" t="s">
        <v>19</v>
      </c>
      <c r="B1038" s="2">
        <v>44595</v>
      </c>
      <c r="C1038">
        <v>2022</v>
      </c>
      <c r="E1038" t="s">
        <v>6</v>
      </c>
      <c r="F1038">
        <f>(FruitDMg!F1038/FruitFW!F1038)*100</f>
        <v>11.6</v>
      </c>
    </row>
    <row r="1039" spans="1:6" x14ac:dyDescent="0.25">
      <c r="A1039" t="s">
        <v>19</v>
      </c>
      <c r="B1039" s="2">
        <v>44608</v>
      </c>
      <c r="C1039">
        <v>2022</v>
      </c>
      <c r="E1039" t="s">
        <v>6</v>
      </c>
      <c r="F1039">
        <f>(FruitDMg!F1039/FruitFW!F1039)*100</f>
        <v>13.200000000000001</v>
      </c>
    </row>
    <row r="1040" spans="1:6" x14ac:dyDescent="0.25">
      <c r="A1040" t="s">
        <v>19</v>
      </c>
      <c r="B1040" s="2">
        <v>44622</v>
      </c>
      <c r="C1040">
        <v>2022</v>
      </c>
      <c r="E1040" t="s">
        <v>6</v>
      </c>
      <c r="F1040">
        <f>(FruitDMg!F1040/FruitFW!F1040)*100</f>
        <v>13.3</v>
      </c>
    </row>
    <row r="1041" spans="1:6" x14ac:dyDescent="0.25">
      <c r="A1041" t="s">
        <v>19</v>
      </c>
      <c r="B1041" s="2">
        <v>44636</v>
      </c>
      <c r="C1041">
        <v>2022</v>
      </c>
      <c r="E1041" t="s">
        <v>6</v>
      </c>
      <c r="F1041">
        <f>(FruitDMg!F1041/FruitFW!F1041)*100</f>
        <v>14.399999999999999</v>
      </c>
    </row>
    <row r="1042" spans="1:6" x14ac:dyDescent="0.25">
      <c r="A1042" t="s">
        <v>19</v>
      </c>
      <c r="B1042" s="2">
        <v>44650</v>
      </c>
      <c r="C1042">
        <v>2022</v>
      </c>
      <c r="E1042" t="s">
        <v>6</v>
      </c>
      <c r="F1042">
        <f>(FruitDMg!F1042/FruitFW!F1042)*100</f>
        <v>16.799999999999997</v>
      </c>
    </row>
    <row r="1043" spans="1:6" x14ac:dyDescent="0.25">
      <c r="A1043" t="s">
        <v>19</v>
      </c>
      <c r="B1043" s="2">
        <v>44664</v>
      </c>
      <c r="C1043">
        <v>2022</v>
      </c>
      <c r="E1043" t="s">
        <v>6</v>
      </c>
      <c r="F1043">
        <f>(FruitDMg!F1043/FruitFW!F1043)*100</f>
        <v>17.100000000000001</v>
      </c>
    </row>
    <row r="1044" spans="1:6" x14ac:dyDescent="0.25">
      <c r="A1044" t="s">
        <v>19</v>
      </c>
      <c r="B1044" s="2">
        <v>44672</v>
      </c>
      <c r="C1044">
        <v>2022</v>
      </c>
      <c r="E1044" t="s">
        <v>6</v>
      </c>
      <c r="F1044">
        <f>(FruitDMg!F1044/FruitFW!F1044)*100</f>
        <v>17.600000000000001</v>
      </c>
    </row>
    <row r="1045" spans="1:6" x14ac:dyDescent="0.25">
      <c r="A1045" t="s">
        <v>19</v>
      </c>
      <c r="B1045" s="2">
        <v>44680</v>
      </c>
      <c r="C1045">
        <v>2022</v>
      </c>
      <c r="E1045" t="s">
        <v>6</v>
      </c>
      <c r="F1045">
        <f>(FruitDMg!F1045/FruitFW!F1045)*100</f>
        <v>18</v>
      </c>
    </row>
    <row r="1046" spans="1:6" x14ac:dyDescent="0.25">
      <c r="A1046" t="s">
        <v>19</v>
      </c>
      <c r="B1046" s="2">
        <v>44685</v>
      </c>
      <c r="C1046">
        <v>2022</v>
      </c>
      <c r="E1046" t="s">
        <v>6</v>
      </c>
      <c r="F1046">
        <f>(FruitDMg!F1046/FruitFW!F1046)*100</f>
        <v>18.3</v>
      </c>
    </row>
    <row r="1047" spans="1:6" x14ac:dyDescent="0.25">
      <c r="A1047" t="s">
        <v>19</v>
      </c>
      <c r="B1047" s="2">
        <v>44699</v>
      </c>
      <c r="C1047">
        <v>2022</v>
      </c>
      <c r="E1047" t="s">
        <v>6</v>
      </c>
      <c r="F1047">
        <f>(FruitDMg!F1047/FruitFW!F1047)*100</f>
        <v>18.7</v>
      </c>
    </row>
    <row r="1048" spans="1:6" x14ac:dyDescent="0.25">
      <c r="A1048" t="s">
        <v>19</v>
      </c>
      <c r="B1048" s="2">
        <v>44713</v>
      </c>
      <c r="C1048">
        <v>2022</v>
      </c>
      <c r="E1048" t="s">
        <v>6</v>
      </c>
      <c r="F1048">
        <f>(FruitDMg!F1048/FruitFW!F1048)*100</f>
        <v>17.899999999999995</v>
      </c>
    </row>
    <row r="1049" spans="1:6" x14ac:dyDescent="0.25">
      <c r="A1049" t="s">
        <v>19</v>
      </c>
      <c r="B1049" s="2">
        <v>44595</v>
      </c>
      <c r="C1049">
        <v>2022</v>
      </c>
      <c r="D1049" s="2"/>
      <c r="E1049" t="s">
        <v>6</v>
      </c>
      <c r="F1049">
        <f>(FruitDMg!F1049/FruitFW!F1049)*100</f>
        <v>10.199999999999999</v>
      </c>
    </row>
    <row r="1050" spans="1:6" x14ac:dyDescent="0.25">
      <c r="A1050" t="s">
        <v>19</v>
      </c>
      <c r="B1050" s="2">
        <v>44608</v>
      </c>
      <c r="C1050">
        <v>2022</v>
      </c>
      <c r="E1050" t="s">
        <v>6</v>
      </c>
      <c r="F1050">
        <f>(FruitDMg!F1050/FruitFW!F1050)*100</f>
        <v>12.9</v>
      </c>
    </row>
    <row r="1051" spans="1:6" x14ac:dyDescent="0.25">
      <c r="A1051" t="s">
        <v>19</v>
      </c>
      <c r="B1051" s="2">
        <v>44622</v>
      </c>
      <c r="C1051">
        <v>2022</v>
      </c>
      <c r="E1051" t="s">
        <v>6</v>
      </c>
      <c r="F1051">
        <f>(FruitDMg!F1051/FruitFW!F1051)*100</f>
        <v>14.200000000000001</v>
      </c>
    </row>
    <row r="1052" spans="1:6" x14ac:dyDescent="0.25">
      <c r="A1052" t="s">
        <v>19</v>
      </c>
      <c r="B1052" s="2">
        <v>44636</v>
      </c>
      <c r="C1052">
        <v>2022</v>
      </c>
      <c r="E1052" t="s">
        <v>6</v>
      </c>
      <c r="F1052">
        <f>(FruitDMg!F1052/FruitFW!F1052)*100</f>
        <v>16.2</v>
      </c>
    </row>
    <row r="1053" spans="1:6" x14ac:dyDescent="0.25">
      <c r="A1053" t="s">
        <v>19</v>
      </c>
      <c r="B1053" s="2">
        <v>44650</v>
      </c>
      <c r="C1053">
        <v>2022</v>
      </c>
      <c r="E1053" t="s">
        <v>6</v>
      </c>
      <c r="F1053">
        <f>(FruitDMg!F1053/FruitFW!F1053)*100</f>
        <v>16.100000000000001</v>
      </c>
    </row>
    <row r="1054" spans="1:6" x14ac:dyDescent="0.25">
      <c r="A1054" t="s">
        <v>19</v>
      </c>
      <c r="B1054" s="2">
        <v>44664</v>
      </c>
      <c r="C1054">
        <v>2022</v>
      </c>
      <c r="E1054" t="s">
        <v>6</v>
      </c>
      <c r="F1054">
        <f>(FruitDMg!F1054/FruitFW!F1054)*100</f>
        <v>16.600000000000001</v>
      </c>
    </row>
    <row r="1055" spans="1:6" x14ac:dyDescent="0.25">
      <c r="A1055" t="s">
        <v>19</v>
      </c>
      <c r="B1055" s="2">
        <v>44673</v>
      </c>
      <c r="C1055">
        <v>2022</v>
      </c>
      <c r="E1055" t="s">
        <v>6</v>
      </c>
      <c r="F1055">
        <f>(FruitDMg!F1055/FruitFW!F1055)*100</f>
        <v>17.5</v>
      </c>
    </row>
    <row r="1056" spans="1:6" x14ac:dyDescent="0.25">
      <c r="A1056" t="s">
        <v>19</v>
      </c>
      <c r="B1056" s="2">
        <v>44680</v>
      </c>
      <c r="C1056">
        <v>2022</v>
      </c>
      <c r="E1056" t="s">
        <v>6</v>
      </c>
      <c r="F1056">
        <f>(FruitDMg!F1056/FruitFW!F1056)*100</f>
        <v>17.2</v>
      </c>
    </row>
    <row r="1057" spans="1:6" x14ac:dyDescent="0.25">
      <c r="A1057" t="s">
        <v>19</v>
      </c>
      <c r="B1057" s="2">
        <v>44685</v>
      </c>
      <c r="C1057">
        <v>2022</v>
      </c>
      <c r="E1057" t="s">
        <v>6</v>
      </c>
      <c r="F1057">
        <f>(FruitDMg!F1057/FruitFW!F1057)*100</f>
        <v>18.899999999999999</v>
      </c>
    </row>
    <row r="1058" spans="1:6" x14ac:dyDescent="0.25">
      <c r="A1058" t="s">
        <v>19</v>
      </c>
      <c r="B1058" s="2">
        <v>44699</v>
      </c>
      <c r="C1058">
        <v>2022</v>
      </c>
      <c r="E1058" t="s">
        <v>6</v>
      </c>
      <c r="F1058">
        <f>(FruitDMg!F1058/FruitFW!F1058)*100</f>
        <v>17.600000000000001</v>
      </c>
    </row>
    <row r="1059" spans="1:6" x14ac:dyDescent="0.25">
      <c r="A1059" t="s">
        <v>19</v>
      </c>
      <c r="B1059" s="2">
        <v>44713</v>
      </c>
      <c r="C1059">
        <v>2022</v>
      </c>
      <c r="E1059" t="s">
        <v>6</v>
      </c>
      <c r="F1059">
        <f>(FruitDMg!F1059/FruitFW!F1059)*100</f>
        <v>17.899999999999999</v>
      </c>
    </row>
    <row r="1060" spans="1:6" x14ac:dyDescent="0.25">
      <c r="A1060" t="s">
        <v>19</v>
      </c>
      <c r="B1060" s="2">
        <v>44595</v>
      </c>
      <c r="C1060">
        <v>2022</v>
      </c>
      <c r="E1060" t="s">
        <v>6</v>
      </c>
      <c r="F1060">
        <f>(FruitDMg!F1060/FruitFW!F1060)*100</f>
        <v>10</v>
      </c>
    </row>
    <row r="1061" spans="1:6" x14ac:dyDescent="0.25">
      <c r="A1061" t="s">
        <v>19</v>
      </c>
      <c r="B1061" s="2">
        <v>44608</v>
      </c>
      <c r="C1061">
        <v>2022</v>
      </c>
      <c r="E1061" t="s">
        <v>6</v>
      </c>
      <c r="F1061">
        <f>(FruitDMg!F1061/FruitFW!F1061)*100</f>
        <v>12.2</v>
      </c>
    </row>
    <row r="1062" spans="1:6" x14ac:dyDescent="0.25">
      <c r="A1062" t="s">
        <v>19</v>
      </c>
      <c r="B1062" s="2">
        <v>44622</v>
      </c>
      <c r="C1062">
        <v>2022</v>
      </c>
      <c r="E1062" t="s">
        <v>6</v>
      </c>
      <c r="F1062">
        <f>(FruitDMg!F1062/FruitFW!F1062)*100</f>
        <v>14.099999999999998</v>
      </c>
    </row>
    <row r="1063" spans="1:6" x14ac:dyDescent="0.25">
      <c r="A1063" t="s">
        <v>19</v>
      </c>
      <c r="B1063" s="2">
        <v>44636</v>
      </c>
      <c r="C1063">
        <v>2022</v>
      </c>
      <c r="E1063" t="s">
        <v>6</v>
      </c>
      <c r="F1063">
        <f>(FruitDMg!F1063/FruitFW!F1063)*100</f>
        <v>13.899999999999999</v>
      </c>
    </row>
    <row r="1064" spans="1:6" x14ac:dyDescent="0.25">
      <c r="A1064" t="s">
        <v>19</v>
      </c>
      <c r="B1064" s="2">
        <v>44650</v>
      </c>
      <c r="C1064">
        <v>2022</v>
      </c>
      <c r="E1064" t="s">
        <v>6</v>
      </c>
      <c r="F1064">
        <f>(FruitDMg!F1064/FruitFW!F1064)*100</f>
        <v>17.2</v>
      </c>
    </row>
    <row r="1065" spans="1:6" x14ac:dyDescent="0.25">
      <c r="A1065" t="s">
        <v>19</v>
      </c>
      <c r="B1065" s="2">
        <v>44664</v>
      </c>
      <c r="C1065">
        <v>2022</v>
      </c>
      <c r="E1065" t="s">
        <v>6</v>
      </c>
      <c r="F1065">
        <f>(FruitDMg!F1065/FruitFW!F1065)*100</f>
        <v>15.6</v>
      </c>
    </row>
    <row r="1066" spans="1:6" x14ac:dyDescent="0.25">
      <c r="A1066" t="s">
        <v>19</v>
      </c>
      <c r="B1066" s="2">
        <v>44673</v>
      </c>
      <c r="C1066">
        <v>2022</v>
      </c>
      <c r="E1066" t="s">
        <v>6</v>
      </c>
      <c r="F1066">
        <f>(FruitDMg!F1066/FruitFW!F1066)*100</f>
        <v>15.9</v>
      </c>
    </row>
    <row r="1067" spans="1:6" x14ac:dyDescent="0.25">
      <c r="A1067" t="s">
        <v>19</v>
      </c>
      <c r="B1067" s="2">
        <v>44680</v>
      </c>
      <c r="C1067">
        <v>2022</v>
      </c>
      <c r="E1067" t="s">
        <v>6</v>
      </c>
      <c r="F1067">
        <f>(FruitDMg!F1067/FruitFW!F1067)*100</f>
        <v>17.599999999999998</v>
      </c>
    </row>
    <row r="1068" spans="1:6" x14ac:dyDescent="0.25">
      <c r="A1068" t="s">
        <v>19</v>
      </c>
      <c r="B1068" s="2">
        <v>44685</v>
      </c>
      <c r="C1068">
        <v>2022</v>
      </c>
      <c r="E1068" t="s">
        <v>6</v>
      </c>
      <c r="F1068">
        <f>(FruitDMg!F1068/FruitFW!F1068)*100</f>
        <v>18.199999999999996</v>
      </c>
    </row>
    <row r="1069" spans="1:6" x14ac:dyDescent="0.25">
      <c r="A1069" t="s">
        <v>19</v>
      </c>
      <c r="B1069" s="2">
        <v>44699</v>
      </c>
      <c r="C1069">
        <v>2022</v>
      </c>
      <c r="E1069" t="s">
        <v>6</v>
      </c>
      <c r="F1069">
        <f>(FruitDMg!F1069/FruitFW!F1069)*100</f>
        <v>17.7</v>
      </c>
    </row>
    <row r="1070" spans="1:6" x14ac:dyDescent="0.25">
      <c r="A1070" t="s">
        <v>19</v>
      </c>
      <c r="B1070" s="2">
        <v>44713</v>
      </c>
      <c r="C1070">
        <v>2022</v>
      </c>
      <c r="E1070" t="s">
        <v>6</v>
      </c>
      <c r="F1070">
        <f>(FruitDMg!F1070/FruitFW!F1070)*100</f>
        <v>18.100000000000001</v>
      </c>
    </row>
    <row r="1071" spans="1:6" x14ac:dyDescent="0.25">
      <c r="A1071" t="s">
        <v>19</v>
      </c>
      <c r="B1071" s="2">
        <v>44595</v>
      </c>
      <c r="C1071">
        <v>2022</v>
      </c>
      <c r="E1071" t="s">
        <v>6</v>
      </c>
      <c r="F1071">
        <f>(FruitDMg!F1071/FruitFW!F1071)*100</f>
        <v>9.7000000000000011</v>
      </c>
    </row>
    <row r="1072" spans="1:6" x14ac:dyDescent="0.25">
      <c r="A1072" t="s">
        <v>19</v>
      </c>
      <c r="B1072" s="2">
        <v>44608</v>
      </c>
      <c r="C1072">
        <v>2022</v>
      </c>
      <c r="E1072" t="s">
        <v>6</v>
      </c>
      <c r="F1072">
        <f>(FruitDMg!F1072/FruitFW!F1072)*100</f>
        <v>11.4</v>
      </c>
    </row>
    <row r="1073" spans="1:6" x14ac:dyDescent="0.25">
      <c r="A1073" t="s">
        <v>19</v>
      </c>
      <c r="B1073" s="2">
        <v>44622</v>
      </c>
      <c r="C1073">
        <v>2022</v>
      </c>
      <c r="E1073" t="s">
        <v>6</v>
      </c>
      <c r="F1073">
        <f>(FruitDMg!F1073/FruitFW!F1073)*100</f>
        <v>12.8</v>
      </c>
    </row>
    <row r="1074" spans="1:6" x14ac:dyDescent="0.25">
      <c r="A1074" t="s">
        <v>19</v>
      </c>
      <c r="B1074" s="2">
        <v>44636</v>
      </c>
      <c r="C1074">
        <v>2022</v>
      </c>
      <c r="E1074" t="s">
        <v>6</v>
      </c>
      <c r="F1074">
        <f>(FruitDMg!F1074/FruitFW!F1074)*100</f>
        <v>12.099999999999998</v>
      </c>
    </row>
    <row r="1075" spans="1:6" x14ac:dyDescent="0.25">
      <c r="A1075" t="s">
        <v>19</v>
      </c>
      <c r="B1075" s="2">
        <v>44650</v>
      </c>
      <c r="C1075">
        <v>2022</v>
      </c>
      <c r="E1075" t="s">
        <v>6</v>
      </c>
      <c r="F1075">
        <f>(FruitDMg!F1075/FruitFW!F1075)*100</f>
        <v>14.6</v>
      </c>
    </row>
    <row r="1076" spans="1:6" x14ac:dyDescent="0.25">
      <c r="A1076" t="s">
        <v>19</v>
      </c>
      <c r="B1076" s="2">
        <v>44664</v>
      </c>
      <c r="C1076">
        <v>2022</v>
      </c>
      <c r="E1076" t="s">
        <v>6</v>
      </c>
      <c r="F1076">
        <f>(FruitDMg!F1076/FruitFW!F1076)*100</f>
        <v>14.400000000000002</v>
      </c>
    </row>
    <row r="1077" spans="1:6" x14ac:dyDescent="0.25">
      <c r="A1077" t="s">
        <v>19</v>
      </c>
      <c r="B1077" s="2">
        <v>44672</v>
      </c>
      <c r="C1077">
        <v>2022</v>
      </c>
      <c r="E1077" t="s">
        <v>6</v>
      </c>
      <c r="F1077">
        <f>(FruitDMg!F1077/FruitFW!F1077)*100</f>
        <v>14.799999999999999</v>
      </c>
    </row>
    <row r="1078" spans="1:6" x14ac:dyDescent="0.25">
      <c r="A1078" t="s">
        <v>19</v>
      </c>
      <c r="B1078" s="2">
        <v>44680</v>
      </c>
      <c r="C1078">
        <v>2022</v>
      </c>
      <c r="E1078" t="s">
        <v>6</v>
      </c>
      <c r="F1078">
        <f>(FruitDMg!F1078/FruitFW!F1078)*100</f>
        <v>14.7</v>
      </c>
    </row>
    <row r="1079" spans="1:6" x14ac:dyDescent="0.25">
      <c r="A1079" t="s">
        <v>19</v>
      </c>
      <c r="B1079" s="2">
        <v>44685</v>
      </c>
      <c r="C1079">
        <v>2022</v>
      </c>
      <c r="E1079" t="s">
        <v>6</v>
      </c>
      <c r="F1079">
        <f>(FruitDMg!F1079/FruitFW!F1079)*100</f>
        <v>14.6</v>
      </c>
    </row>
    <row r="1080" spans="1:6" x14ac:dyDescent="0.25">
      <c r="A1080" t="s">
        <v>19</v>
      </c>
      <c r="B1080" s="2">
        <v>44699</v>
      </c>
      <c r="C1080">
        <v>2022</v>
      </c>
      <c r="E1080" t="s">
        <v>6</v>
      </c>
      <c r="F1080">
        <f>(FruitDMg!F1080/FruitFW!F1080)*100</f>
        <v>15.8</v>
      </c>
    </row>
    <row r="1081" spans="1:6" x14ac:dyDescent="0.25">
      <c r="A1081" t="s">
        <v>19</v>
      </c>
      <c r="B1081" s="2">
        <v>44713</v>
      </c>
      <c r="C1081">
        <v>2022</v>
      </c>
      <c r="E1081" t="s">
        <v>6</v>
      </c>
      <c r="F1081">
        <f>(FruitDMg!F1081/FruitFW!F1081)*100</f>
        <v>16</v>
      </c>
    </row>
    <row r="1082" spans="1:6" x14ac:dyDescent="0.25">
      <c r="A1082" t="s">
        <v>24</v>
      </c>
      <c r="B1082" s="2">
        <v>44607</v>
      </c>
      <c r="C1082">
        <v>2022</v>
      </c>
      <c r="E1082" t="s">
        <v>10</v>
      </c>
      <c r="F1082">
        <f>(FruitDMg!F1082/FruitFW!F1082)*100</f>
        <v>9.8000000000000007</v>
      </c>
    </row>
    <row r="1083" spans="1:6" x14ac:dyDescent="0.25">
      <c r="A1083" t="s">
        <v>24</v>
      </c>
      <c r="B1083" s="2">
        <v>44608</v>
      </c>
      <c r="C1083">
        <v>2022</v>
      </c>
      <c r="E1083" t="s">
        <v>10</v>
      </c>
      <c r="F1083">
        <f>(FruitDMg!F1083/FruitFW!F1083)*100</f>
        <v>12.6</v>
      </c>
    </row>
    <row r="1084" spans="1:6" x14ac:dyDescent="0.25">
      <c r="A1084" t="s">
        <v>24</v>
      </c>
      <c r="B1084" s="2">
        <v>44622</v>
      </c>
      <c r="C1084">
        <v>2022</v>
      </c>
      <c r="E1084" t="s">
        <v>10</v>
      </c>
      <c r="F1084">
        <f>(FruitDMg!F1084/FruitFW!F1084)*100</f>
        <v>14.7</v>
      </c>
    </row>
    <row r="1085" spans="1:6" x14ac:dyDescent="0.25">
      <c r="A1085" t="s">
        <v>24</v>
      </c>
      <c r="B1085" s="2">
        <v>44622</v>
      </c>
      <c r="C1085">
        <v>2022</v>
      </c>
      <c r="E1085" t="s">
        <v>10</v>
      </c>
      <c r="F1085">
        <f>(FruitDMg!F1085/FruitFW!F1085)*100</f>
        <v>16.100000000000001</v>
      </c>
    </row>
    <row r="1086" spans="1:6" x14ac:dyDescent="0.25">
      <c r="A1086" t="s">
        <v>24</v>
      </c>
      <c r="B1086" s="2">
        <v>44635</v>
      </c>
      <c r="C1086">
        <v>2022</v>
      </c>
      <c r="E1086" t="s">
        <v>10</v>
      </c>
      <c r="F1086">
        <f>(FruitDMg!F1086/FruitFW!F1086)*100</f>
        <v>15.299999999999999</v>
      </c>
    </row>
    <row r="1087" spans="1:6" x14ac:dyDescent="0.25">
      <c r="A1087" t="s">
        <v>24</v>
      </c>
      <c r="B1087" s="2">
        <v>44662</v>
      </c>
      <c r="C1087">
        <v>2022</v>
      </c>
      <c r="E1087" t="s">
        <v>10</v>
      </c>
      <c r="F1087">
        <f>(FruitDMg!F1087/FruitFW!F1087)*100</f>
        <v>16.899999999999999</v>
      </c>
    </row>
    <row r="1088" spans="1:6" x14ac:dyDescent="0.25">
      <c r="A1088" t="s">
        <v>24</v>
      </c>
      <c r="B1088" s="2">
        <v>44669</v>
      </c>
      <c r="C1088">
        <v>2022</v>
      </c>
      <c r="E1088" t="s">
        <v>10</v>
      </c>
      <c r="F1088">
        <f>(FruitDMg!F1088/FruitFW!F1088)*100</f>
        <v>16.899999999999999</v>
      </c>
    </row>
    <row r="1089" spans="1:6" x14ac:dyDescent="0.25">
      <c r="A1089" t="s">
        <v>24</v>
      </c>
      <c r="B1089" s="2">
        <v>44677</v>
      </c>
      <c r="C1089">
        <v>2022</v>
      </c>
      <c r="E1089" t="s">
        <v>10</v>
      </c>
      <c r="F1089">
        <f>(FruitDMg!F1089/FruitFW!F1089)*100</f>
        <v>16.899999999999995</v>
      </c>
    </row>
    <row r="1090" spans="1:6" x14ac:dyDescent="0.25">
      <c r="A1090" t="s">
        <v>24</v>
      </c>
      <c r="B1090" s="2">
        <v>44683</v>
      </c>
      <c r="C1090">
        <v>2022</v>
      </c>
      <c r="E1090" t="s">
        <v>10</v>
      </c>
      <c r="F1090">
        <f>(FruitDMg!F1090/FruitFW!F1090)*100</f>
        <v>17.7</v>
      </c>
    </row>
    <row r="1091" spans="1:6" x14ac:dyDescent="0.25">
      <c r="A1091" t="s">
        <v>24</v>
      </c>
      <c r="B1091" s="2">
        <v>44697</v>
      </c>
      <c r="C1091">
        <v>2022</v>
      </c>
      <c r="E1091" t="s">
        <v>10</v>
      </c>
      <c r="F1091">
        <f>(FruitDMg!F1091/FruitFW!F1091)*100</f>
        <v>18.000000000000004</v>
      </c>
    </row>
    <row r="1092" spans="1:6" x14ac:dyDescent="0.25">
      <c r="A1092" t="s">
        <v>24</v>
      </c>
      <c r="B1092" s="2">
        <v>44711</v>
      </c>
      <c r="C1092">
        <v>2022</v>
      </c>
      <c r="E1092" t="s">
        <v>10</v>
      </c>
      <c r="F1092">
        <f>(FruitDMg!F1092/FruitFW!F1092)*100</f>
        <v>18.3</v>
      </c>
    </row>
    <row r="1093" spans="1:6" x14ac:dyDescent="0.25">
      <c r="A1093" t="s">
        <v>20</v>
      </c>
      <c r="B1093" s="2">
        <v>44952</v>
      </c>
      <c r="C1093">
        <v>2023</v>
      </c>
      <c r="E1093" t="s">
        <v>6</v>
      </c>
      <c r="F1093">
        <f>(FruitDMg!F1093/FruitFW!F1093)*100</f>
        <v>9.4</v>
      </c>
    </row>
    <row r="1094" spans="1:6" x14ac:dyDescent="0.25">
      <c r="A1094" t="s">
        <v>20</v>
      </c>
      <c r="B1094" s="2">
        <v>44973</v>
      </c>
      <c r="C1094">
        <v>2023</v>
      </c>
      <c r="E1094" t="s">
        <v>6</v>
      </c>
      <c r="F1094">
        <f>(FruitDMg!F1094/FruitFW!F1094)*100</f>
        <v>12.5</v>
      </c>
    </row>
    <row r="1095" spans="1:6" x14ac:dyDescent="0.25">
      <c r="A1095" t="s">
        <v>20</v>
      </c>
      <c r="B1095" s="2">
        <v>44984</v>
      </c>
      <c r="C1095">
        <v>2023</v>
      </c>
      <c r="E1095" t="s">
        <v>6</v>
      </c>
      <c r="F1095">
        <f>(FruitDMg!F1095/FruitFW!F1095)*100</f>
        <v>14.099999999999998</v>
      </c>
    </row>
    <row r="1096" spans="1:6" x14ac:dyDescent="0.25">
      <c r="A1096" t="s">
        <v>20</v>
      </c>
      <c r="B1096" s="2">
        <v>45000</v>
      </c>
      <c r="C1096">
        <v>2023</v>
      </c>
      <c r="E1096" t="s">
        <v>6</v>
      </c>
      <c r="F1096">
        <f>(FruitDMg!F1096/FruitFW!F1096)*100</f>
        <v>15</v>
      </c>
    </row>
    <row r="1097" spans="1:6" x14ac:dyDescent="0.25">
      <c r="A1097" t="s">
        <v>20</v>
      </c>
      <c r="B1097" s="2">
        <v>45015</v>
      </c>
      <c r="C1097">
        <v>2023</v>
      </c>
      <c r="E1097" t="s">
        <v>6</v>
      </c>
      <c r="F1097">
        <f>(FruitDMg!F1097/FruitFW!F1097)*100</f>
        <v>15.5</v>
      </c>
    </row>
    <row r="1098" spans="1:6" x14ac:dyDescent="0.25">
      <c r="A1098" t="s">
        <v>20</v>
      </c>
      <c r="B1098" s="2">
        <v>45029</v>
      </c>
      <c r="C1098">
        <v>2023</v>
      </c>
      <c r="E1098" t="s">
        <v>6</v>
      </c>
      <c r="F1098">
        <f>(FruitDMg!F1098/FruitFW!F1098)*100</f>
        <v>15.7</v>
      </c>
    </row>
    <row r="1099" spans="1:6" x14ac:dyDescent="0.25">
      <c r="A1099" t="s">
        <v>20</v>
      </c>
      <c r="B1099" s="2">
        <v>45041</v>
      </c>
      <c r="C1099">
        <v>2023</v>
      </c>
      <c r="E1099" t="s">
        <v>6</v>
      </c>
      <c r="F1099">
        <f>(FruitDMg!F1099/FruitFW!F1099)*100</f>
        <v>16.5</v>
      </c>
    </row>
    <row r="1100" spans="1:6" x14ac:dyDescent="0.25">
      <c r="A1100" t="s">
        <v>20</v>
      </c>
      <c r="B1100" s="2">
        <v>45049</v>
      </c>
      <c r="C1100">
        <v>2023</v>
      </c>
      <c r="E1100" t="s">
        <v>6</v>
      </c>
      <c r="F1100">
        <f>(FruitDMg!F1100/FruitFW!F1100)*100</f>
        <v>16.400000000000002</v>
      </c>
    </row>
    <row r="1101" spans="1:6" x14ac:dyDescent="0.25">
      <c r="A1101" t="s">
        <v>20</v>
      </c>
      <c r="B1101" s="2">
        <v>45062</v>
      </c>
      <c r="C1101">
        <v>2023</v>
      </c>
      <c r="E1101" t="s">
        <v>6</v>
      </c>
      <c r="F1101">
        <f>(FruitDMg!F1101/FruitFW!F1101)*100</f>
        <v>16.7</v>
      </c>
    </row>
    <row r="1102" spans="1:6" x14ac:dyDescent="0.25">
      <c r="A1102" t="s">
        <v>20</v>
      </c>
      <c r="B1102" s="2">
        <v>45076</v>
      </c>
      <c r="C1102">
        <v>2023</v>
      </c>
      <c r="E1102" t="s">
        <v>6</v>
      </c>
      <c r="F1102">
        <f>(FruitDMg!F1102/FruitFW!F1102)*100</f>
        <v>17</v>
      </c>
    </row>
    <row r="1103" spans="1:6" x14ac:dyDescent="0.25">
      <c r="A1103" t="s">
        <v>20</v>
      </c>
      <c r="B1103" s="2">
        <v>45083</v>
      </c>
      <c r="C1103">
        <v>2023</v>
      </c>
      <c r="E1103" t="s">
        <v>6</v>
      </c>
      <c r="F1103">
        <f>(FruitDMg!F1103/FruitFW!F1103)*100</f>
        <v>17.100000000000001</v>
      </c>
    </row>
    <row r="1104" spans="1:6" x14ac:dyDescent="0.25">
      <c r="A1104" t="s">
        <v>20</v>
      </c>
      <c r="B1104" s="2">
        <v>44952</v>
      </c>
      <c r="C1104">
        <v>2023</v>
      </c>
      <c r="E1104" t="s">
        <v>6</v>
      </c>
      <c r="F1104">
        <f>(FruitDMg!F1104/FruitFW!F1104)*100</f>
        <v>9.6</v>
      </c>
    </row>
    <row r="1105" spans="1:6" x14ac:dyDescent="0.25">
      <c r="A1105" t="s">
        <v>20</v>
      </c>
      <c r="B1105" s="2">
        <v>44974</v>
      </c>
      <c r="C1105">
        <v>2023</v>
      </c>
      <c r="E1105" t="s">
        <v>6</v>
      </c>
      <c r="F1105">
        <f>(FruitDMg!F1105/FruitFW!F1105)*100</f>
        <v>12.4</v>
      </c>
    </row>
    <row r="1106" spans="1:6" x14ac:dyDescent="0.25">
      <c r="A1106" t="s">
        <v>20</v>
      </c>
      <c r="B1106" s="2">
        <v>44984</v>
      </c>
      <c r="C1106">
        <v>2023</v>
      </c>
      <c r="E1106" t="s">
        <v>6</v>
      </c>
      <c r="F1106">
        <f>(FruitDMg!F1106/FruitFW!F1106)*100</f>
        <v>13.999999999999998</v>
      </c>
    </row>
    <row r="1107" spans="1:6" x14ac:dyDescent="0.25">
      <c r="A1107" t="s">
        <v>20</v>
      </c>
      <c r="B1107" s="2">
        <v>45000</v>
      </c>
      <c r="C1107">
        <v>2023</v>
      </c>
      <c r="E1107" t="s">
        <v>6</v>
      </c>
      <c r="F1107">
        <f>(FruitDMg!F1107/FruitFW!F1107)*100</f>
        <v>15.299999999999999</v>
      </c>
    </row>
    <row r="1108" spans="1:6" x14ac:dyDescent="0.25">
      <c r="A1108" t="s">
        <v>20</v>
      </c>
      <c r="B1108" s="2">
        <v>45015</v>
      </c>
      <c r="C1108">
        <v>2023</v>
      </c>
      <c r="E1108" t="s">
        <v>6</v>
      </c>
      <c r="F1108">
        <f>(FruitDMg!F1108/FruitFW!F1108)*100</f>
        <v>15.900000000000002</v>
      </c>
    </row>
    <row r="1109" spans="1:6" x14ac:dyDescent="0.25">
      <c r="A1109" t="s">
        <v>20</v>
      </c>
      <c r="B1109" s="2">
        <v>45029</v>
      </c>
      <c r="C1109">
        <v>2023</v>
      </c>
      <c r="E1109" t="s">
        <v>6</v>
      </c>
      <c r="F1109">
        <f>(FruitDMg!F1109/FruitFW!F1109)*100</f>
        <v>16.7</v>
      </c>
    </row>
    <row r="1110" spans="1:6" x14ac:dyDescent="0.25">
      <c r="A1110" t="s">
        <v>20</v>
      </c>
      <c r="B1110" s="2">
        <v>45041</v>
      </c>
      <c r="C1110">
        <v>2023</v>
      </c>
      <c r="E1110" t="s">
        <v>6</v>
      </c>
      <c r="F1110">
        <f>(FruitDMg!F1110/FruitFW!F1110)*100</f>
        <v>17.600000000000001</v>
      </c>
    </row>
    <row r="1111" spans="1:6" x14ac:dyDescent="0.25">
      <c r="A1111" t="s">
        <v>20</v>
      </c>
      <c r="B1111" s="2">
        <v>45049</v>
      </c>
      <c r="C1111">
        <v>2023</v>
      </c>
      <c r="E1111" t="s">
        <v>6</v>
      </c>
      <c r="F1111">
        <f>(FruitDMg!F1111/FruitFW!F1111)*100</f>
        <v>17.2</v>
      </c>
    </row>
    <row r="1112" spans="1:6" x14ac:dyDescent="0.25">
      <c r="A1112" t="s">
        <v>20</v>
      </c>
      <c r="B1112" s="2">
        <v>45062</v>
      </c>
      <c r="C1112">
        <v>2023</v>
      </c>
      <c r="E1112" t="s">
        <v>6</v>
      </c>
      <c r="F1112">
        <f>(FruitDMg!F1112/FruitFW!F1112)*100</f>
        <v>17.399999999999999</v>
      </c>
    </row>
    <row r="1113" spans="1:6" x14ac:dyDescent="0.25">
      <c r="A1113" t="s">
        <v>20</v>
      </c>
      <c r="B1113" s="2">
        <v>45077</v>
      </c>
      <c r="C1113">
        <v>2023</v>
      </c>
      <c r="E1113" t="s">
        <v>6</v>
      </c>
      <c r="F1113">
        <f>(FruitDMg!F1113/FruitFW!F1113)*100</f>
        <v>17.399999999999995</v>
      </c>
    </row>
    <row r="1114" spans="1:6" x14ac:dyDescent="0.25">
      <c r="A1114" t="s">
        <v>20</v>
      </c>
      <c r="B1114" s="2">
        <v>45083</v>
      </c>
      <c r="C1114">
        <v>2023</v>
      </c>
      <c r="E1114" t="s">
        <v>6</v>
      </c>
      <c r="F1114">
        <f>(FruitDMg!F1114/FruitFW!F1114)*100</f>
        <v>17.2</v>
      </c>
    </row>
    <row r="1115" spans="1:6" x14ac:dyDescent="0.25">
      <c r="A1115" t="s">
        <v>20</v>
      </c>
      <c r="B1115" s="2">
        <v>44952</v>
      </c>
      <c r="C1115">
        <v>2023</v>
      </c>
      <c r="E1115" t="s">
        <v>6</v>
      </c>
      <c r="F1115">
        <f>(FruitDMg!F1115/FruitFW!F1115)*100</f>
        <v>9.6999999999999993</v>
      </c>
    </row>
    <row r="1116" spans="1:6" x14ac:dyDescent="0.25">
      <c r="A1116" t="s">
        <v>20</v>
      </c>
      <c r="B1116" s="2">
        <v>44973</v>
      </c>
      <c r="C1116">
        <v>2023</v>
      </c>
      <c r="E1116" t="s">
        <v>6</v>
      </c>
      <c r="F1116">
        <f>(FruitDMg!F1116/FruitFW!F1116)*100</f>
        <v>12.699999999999998</v>
      </c>
    </row>
    <row r="1117" spans="1:6" x14ac:dyDescent="0.25">
      <c r="A1117" t="s">
        <v>20</v>
      </c>
      <c r="B1117" s="2">
        <v>44987</v>
      </c>
      <c r="C1117">
        <v>2023</v>
      </c>
      <c r="E1117" t="s">
        <v>6</v>
      </c>
      <c r="F1117">
        <f>(FruitDMg!F1117/FruitFW!F1117)*100</f>
        <v>14.399999999999999</v>
      </c>
    </row>
    <row r="1118" spans="1:6" x14ac:dyDescent="0.25">
      <c r="A1118" t="s">
        <v>20</v>
      </c>
      <c r="B1118" s="2">
        <v>45001</v>
      </c>
      <c r="C1118">
        <v>2023</v>
      </c>
      <c r="E1118" t="s">
        <v>6</v>
      </c>
      <c r="F1118">
        <f>(FruitDMg!F1118/FruitFW!F1118)*100</f>
        <v>16.100000000000001</v>
      </c>
    </row>
    <row r="1119" spans="1:6" x14ac:dyDescent="0.25">
      <c r="A1119" t="s">
        <v>20</v>
      </c>
      <c r="B1119" s="2">
        <v>45014</v>
      </c>
      <c r="C1119">
        <v>2023</v>
      </c>
      <c r="E1119" t="s">
        <v>6</v>
      </c>
      <c r="F1119">
        <f>(FruitDMg!F1119/FruitFW!F1119)*100</f>
        <v>17</v>
      </c>
    </row>
    <row r="1120" spans="1:6" x14ac:dyDescent="0.25">
      <c r="A1120" t="s">
        <v>20</v>
      </c>
      <c r="B1120" s="2">
        <v>45029</v>
      </c>
      <c r="C1120">
        <v>2023</v>
      </c>
      <c r="E1120" t="s">
        <v>6</v>
      </c>
      <c r="F1120">
        <f>(FruitDMg!F1120/FruitFW!F1120)*100</f>
        <v>17.600000000000001</v>
      </c>
    </row>
    <row r="1121" spans="1:6" x14ac:dyDescent="0.25">
      <c r="A1121" t="s">
        <v>20</v>
      </c>
      <c r="B1121" s="2">
        <v>45041</v>
      </c>
      <c r="C1121">
        <v>2023</v>
      </c>
      <c r="E1121" t="s">
        <v>6</v>
      </c>
      <c r="F1121">
        <f>(FruitDMg!F1121/FruitFW!F1121)*100</f>
        <v>18.600000000000001</v>
      </c>
    </row>
    <row r="1122" spans="1:6" x14ac:dyDescent="0.25">
      <c r="A1122" t="s">
        <v>20</v>
      </c>
      <c r="B1122" s="2">
        <v>45049</v>
      </c>
      <c r="C1122">
        <v>2023</v>
      </c>
      <c r="E1122" t="s">
        <v>6</v>
      </c>
      <c r="F1122">
        <f>(FruitDMg!F1122/FruitFW!F1122)*100</f>
        <v>18.699999999999996</v>
      </c>
    </row>
    <row r="1123" spans="1:6" x14ac:dyDescent="0.25">
      <c r="A1123" t="s">
        <v>20</v>
      </c>
      <c r="B1123" s="2">
        <v>45062</v>
      </c>
      <c r="C1123">
        <v>2023</v>
      </c>
      <c r="E1123" t="s">
        <v>6</v>
      </c>
      <c r="F1123">
        <f>(FruitDMg!F1123/FruitFW!F1123)*100</f>
        <v>18.2</v>
      </c>
    </row>
    <row r="1124" spans="1:6" x14ac:dyDescent="0.25">
      <c r="A1124" t="s">
        <v>20</v>
      </c>
      <c r="B1124" s="2">
        <v>45076</v>
      </c>
      <c r="C1124">
        <v>2023</v>
      </c>
      <c r="E1124" t="s">
        <v>6</v>
      </c>
      <c r="F1124">
        <f>(FruitDMg!F1124/FruitFW!F1124)*100</f>
        <v>18.7</v>
      </c>
    </row>
    <row r="1125" spans="1:6" x14ac:dyDescent="0.25">
      <c r="A1125" t="s">
        <v>20</v>
      </c>
      <c r="B1125" s="2">
        <v>45083</v>
      </c>
      <c r="C1125">
        <v>2023</v>
      </c>
      <c r="E1125" t="s">
        <v>6</v>
      </c>
      <c r="F1125">
        <f>(FruitDMg!F1125/FruitFW!F1125)*100</f>
        <v>18.899999999999999</v>
      </c>
    </row>
    <row r="1126" spans="1:6" x14ac:dyDescent="0.25">
      <c r="A1126" t="s">
        <v>20</v>
      </c>
      <c r="B1126" s="2">
        <v>44950</v>
      </c>
      <c r="C1126">
        <v>2023</v>
      </c>
      <c r="E1126" t="s">
        <v>6</v>
      </c>
      <c r="F1126">
        <f>(FruitDMg!F1126/FruitFW!F1126)*100</f>
        <v>9.0000000000000018</v>
      </c>
    </row>
    <row r="1127" spans="1:6" x14ac:dyDescent="0.25">
      <c r="A1127" t="s">
        <v>20</v>
      </c>
      <c r="B1127" s="2">
        <v>44974</v>
      </c>
      <c r="C1127">
        <v>2023</v>
      </c>
      <c r="E1127" t="s">
        <v>6</v>
      </c>
      <c r="F1127">
        <f>(FruitDMg!F1127/FruitFW!F1127)*100</f>
        <v>11.300000000000002</v>
      </c>
    </row>
    <row r="1128" spans="1:6" x14ac:dyDescent="0.25">
      <c r="A1128" t="s">
        <v>20</v>
      </c>
      <c r="B1128" s="2">
        <v>44987</v>
      </c>
      <c r="C1128">
        <v>2023</v>
      </c>
      <c r="E1128" t="s">
        <v>6</v>
      </c>
      <c r="F1128">
        <f>(FruitDMg!F1128/FruitFW!F1128)*100</f>
        <v>13.5</v>
      </c>
    </row>
    <row r="1129" spans="1:6" x14ac:dyDescent="0.25">
      <c r="A1129" t="s">
        <v>20</v>
      </c>
      <c r="B1129" s="2">
        <v>45001</v>
      </c>
      <c r="C1129">
        <v>2023</v>
      </c>
      <c r="E1129" t="s">
        <v>6</v>
      </c>
      <c r="F1129">
        <f>(FruitDMg!F1129/FruitFW!F1129)*100</f>
        <v>15.299999999999999</v>
      </c>
    </row>
    <row r="1130" spans="1:6" x14ac:dyDescent="0.25">
      <c r="A1130" t="s">
        <v>20</v>
      </c>
      <c r="B1130" s="2">
        <v>45014</v>
      </c>
      <c r="C1130">
        <v>2023</v>
      </c>
      <c r="E1130" t="s">
        <v>6</v>
      </c>
      <c r="F1130">
        <f>(FruitDMg!F1130/FruitFW!F1130)*100</f>
        <v>16</v>
      </c>
    </row>
    <row r="1131" spans="1:6" x14ac:dyDescent="0.25">
      <c r="A1131" t="s">
        <v>20</v>
      </c>
      <c r="B1131" s="2">
        <v>45031</v>
      </c>
      <c r="C1131">
        <v>2023</v>
      </c>
      <c r="E1131" t="s">
        <v>6</v>
      </c>
      <c r="F1131">
        <f>(FruitDMg!F1131/FruitFW!F1131)*100</f>
        <v>16.7</v>
      </c>
    </row>
    <row r="1132" spans="1:6" x14ac:dyDescent="0.25">
      <c r="A1132" t="s">
        <v>20</v>
      </c>
      <c r="B1132" s="2">
        <v>45041</v>
      </c>
      <c r="C1132">
        <v>2023</v>
      </c>
      <c r="E1132" t="s">
        <v>6</v>
      </c>
      <c r="F1132">
        <f>(FruitDMg!F1132/FruitFW!F1132)*100</f>
        <v>17.399999999999999</v>
      </c>
    </row>
    <row r="1133" spans="1:6" x14ac:dyDescent="0.25">
      <c r="A1133" t="s">
        <v>20</v>
      </c>
      <c r="B1133" s="2">
        <v>45049</v>
      </c>
      <c r="C1133">
        <v>2023</v>
      </c>
      <c r="E1133" t="s">
        <v>6</v>
      </c>
      <c r="F1133">
        <f>(FruitDMg!F1133/FruitFW!F1133)*100</f>
        <v>17.5</v>
      </c>
    </row>
    <row r="1134" spans="1:6" x14ac:dyDescent="0.25">
      <c r="A1134" t="s">
        <v>20</v>
      </c>
      <c r="B1134" s="2">
        <v>45062</v>
      </c>
      <c r="C1134">
        <v>2023</v>
      </c>
      <c r="E1134" t="s">
        <v>6</v>
      </c>
      <c r="F1134">
        <f>(FruitDMg!F1134/FruitFW!F1134)*100</f>
        <v>17.8</v>
      </c>
    </row>
    <row r="1135" spans="1:6" x14ac:dyDescent="0.25">
      <c r="A1135" t="s">
        <v>20</v>
      </c>
      <c r="B1135" s="2">
        <v>45077</v>
      </c>
      <c r="C1135">
        <v>2023</v>
      </c>
      <c r="E1135" t="s">
        <v>6</v>
      </c>
      <c r="F1135">
        <f>(FruitDMg!F1135/FruitFW!F1135)*100</f>
        <v>17.8</v>
      </c>
    </row>
    <row r="1136" spans="1:6" x14ac:dyDescent="0.25">
      <c r="A1136" t="s">
        <v>20</v>
      </c>
      <c r="B1136" s="2">
        <v>45083</v>
      </c>
      <c r="C1136">
        <v>2023</v>
      </c>
      <c r="E1136" t="s">
        <v>6</v>
      </c>
      <c r="F1136">
        <f>(FruitDMg!F1136/FruitFW!F1136)*100</f>
        <v>17.899999999999999</v>
      </c>
    </row>
    <row r="1137" spans="1:6" x14ac:dyDescent="0.25">
      <c r="A1137" t="s">
        <v>20</v>
      </c>
      <c r="B1137" s="2">
        <v>44952</v>
      </c>
      <c r="C1137">
        <v>2023</v>
      </c>
      <c r="E1137" t="s">
        <v>6</v>
      </c>
      <c r="F1137">
        <f>(FruitDMg!F1137/FruitFW!F1137)*100</f>
        <v>8.2999999999999989</v>
      </c>
    </row>
    <row r="1138" spans="1:6" x14ac:dyDescent="0.25">
      <c r="A1138" t="s">
        <v>20</v>
      </c>
      <c r="B1138" s="2">
        <v>44974</v>
      </c>
      <c r="C1138">
        <v>2023</v>
      </c>
      <c r="E1138" t="s">
        <v>6</v>
      </c>
      <c r="F1138">
        <f>(FruitDMg!F1138/FruitFW!F1138)*100</f>
        <v>10.5</v>
      </c>
    </row>
    <row r="1139" spans="1:6" x14ac:dyDescent="0.25">
      <c r="A1139" t="s">
        <v>20</v>
      </c>
      <c r="B1139" s="2">
        <v>44984</v>
      </c>
      <c r="C1139">
        <v>2023</v>
      </c>
      <c r="E1139" t="s">
        <v>6</v>
      </c>
      <c r="F1139">
        <f>(FruitDMg!F1139/FruitFW!F1139)*100</f>
        <v>12.4</v>
      </c>
    </row>
    <row r="1140" spans="1:6" x14ac:dyDescent="0.25">
      <c r="A1140" t="s">
        <v>20</v>
      </c>
      <c r="B1140" s="2">
        <v>45000</v>
      </c>
      <c r="C1140">
        <v>2023</v>
      </c>
      <c r="E1140" t="s">
        <v>6</v>
      </c>
      <c r="F1140">
        <f>(FruitDMg!F1140/FruitFW!F1140)*100</f>
        <v>14.299999999999999</v>
      </c>
    </row>
    <row r="1141" spans="1:6" x14ac:dyDescent="0.25">
      <c r="A1141" t="s">
        <v>20</v>
      </c>
      <c r="B1141" s="2">
        <v>45015</v>
      </c>
      <c r="C1141">
        <v>2023</v>
      </c>
      <c r="E1141" t="s">
        <v>6</v>
      </c>
      <c r="F1141">
        <f>(FruitDMg!F1141/FruitFW!F1141)*100</f>
        <v>15.000000000000002</v>
      </c>
    </row>
    <row r="1142" spans="1:6" x14ac:dyDescent="0.25">
      <c r="A1142" t="s">
        <v>20</v>
      </c>
      <c r="B1142" s="2">
        <v>45029</v>
      </c>
      <c r="C1142">
        <v>2023</v>
      </c>
      <c r="E1142" t="s">
        <v>6</v>
      </c>
      <c r="F1142">
        <f>(FruitDMg!F1142/FruitFW!F1142)*100</f>
        <v>15.5</v>
      </c>
    </row>
    <row r="1143" spans="1:6" x14ac:dyDescent="0.25">
      <c r="A1143" t="s">
        <v>20</v>
      </c>
      <c r="B1143" s="2">
        <v>45041</v>
      </c>
      <c r="C1143">
        <v>2023</v>
      </c>
      <c r="E1143" t="s">
        <v>6</v>
      </c>
      <c r="F1143">
        <f>(FruitDMg!F1143/FruitFW!F1143)*100</f>
        <v>16</v>
      </c>
    </row>
    <row r="1144" spans="1:6" x14ac:dyDescent="0.25">
      <c r="A1144" t="s">
        <v>20</v>
      </c>
      <c r="B1144" s="2">
        <v>45049</v>
      </c>
      <c r="C1144">
        <v>2023</v>
      </c>
      <c r="E1144" t="s">
        <v>6</v>
      </c>
      <c r="F1144">
        <f>(FruitDMg!F1144/FruitFW!F1144)*100</f>
        <v>15.6</v>
      </c>
    </row>
    <row r="1145" spans="1:6" x14ac:dyDescent="0.25">
      <c r="A1145" t="s">
        <v>20</v>
      </c>
      <c r="B1145" s="2">
        <v>45062</v>
      </c>
      <c r="C1145">
        <v>2023</v>
      </c>
      <c r="E1145" t="s">
        <v>6</v>
      </c>
      <c r="F1145">
        <f>(FruitDMg!F1145/FruitFW!F1145)*100</f>
        <v>15.4</v>
      </c>
    </row>
    <row r="1146" spans="1:6" x14ac:dyDescent="0.25">
      <c r="A1146" t="s">
        <v>20</v>
      </c>
      <c r="B1146" s="2">
        <v>45076</v>
      </c>
      <c r="C1146">
        <v>2023</v>
      </c>
      <c r="E1146" t="s">
        <v>6</v>
      </c>
      <c r="F1146">
        <f>(FruitDMg!F1146/FruitFW!F1146)*100</f>
        <v>16</v>
      </c>
    </row>
    <row r="1147" spans="1:6" x14ac:dyDescent="0.25">
      <c r="A1147" t="s">
        <v>20</v>
      </c>
      <c r="B1147" s="2">
        <v>45083</v>
      </c>
      <c r="C1147">
        <v>2023</v>
      </c>
      <c r="E1147" t="s">
        <v>6</v>
      </c>
      <c r="F1147">
        <f>(FruitDMg!F1147/FruitFW!F1147)*100</f>
        <v>17</v>
      </c>
    </row>
    <row r="1148" spans="1:6" x14ac:dyDescent="0.25">
      <c r="A1148" t="s">
        <v>25</v>
      </c>
      <c r="B1148" s="2">
        <v>44949</v>
      </c>
      <c r="C1148">
        <v>2023</v>
      </c>
      <c r="E1148" t="s">
        <v>10</v>
      </c>
      <c r="F1148">
        <f>(FruitDMg!F1148/FruitFW!F1148)*100</f>
        <v>9.4</v>
      </c>
    </row>
    <row r="1149" spans="1:6" x14ac:dyDescent="0.25">
      <c r="A1149" t="s">
        <v>25</v>
      </c>
      <c r="B1149" s="2">
        <v>44971</v>
      </c>
      <c r="C1149">
        <v>2023</v>
      </c>
      <c r="E1149" t="s">
        <v>10</v>
      </c>
      <c r="F1149">
        <f>(FruitDMg!F1149/FruitFW!F1149)*100</f>
        <v>12.8</v>
      </c>
    </row>
    <row r="1150" spans="1:6" x14ac:dyDescent="0.25">
      <c r="A1150" t="s">
        <v>25</v>
      </c>
      <c r="B1150" s="2">
        <v>44987</v>
      </c>
      <c r="C1150">
        <v>2023</v>
      </c>
      <c r="E1150" t="s">
        <v>10</v>
      </c>
      <c r="F1150">
        <f>(FruitDMg!F1150/FruitFW!F1150)*100</f>
        <v>15.4</v>
      </c>
    </row>
    <row r="1151" spans="1:6" x14ac:dyDescent="0.25">
      <c r="A1151" t="s">
        <v>25</v>
      </c>
      <c r="B1151" s="2">
        <v>44998</v>
      </c>
      <c r="C1151">
        <v>2023</v>
      </c>
      <c r="E1151" t="s">
        <v>10</v>
      </c>
      <c r="F1151">
        <f>(FruitDMg!F1151/FruitFW!F1151)*100</f>
        <v>16.2</v>
      </c>
    </row>
    <row r="1152" spans="1:6" x14ac:dyDescent="0.25">
      <c r="A1152" t="s">
        <v>25</v>
      </c>
      <c r="B1152" s="2">
        <v>45014</v>
      </c>
      <c r="C1152">
        <v>2023</v>
      </c>
      <c r="E1152" t="s">
        <v>10</v>
      </c>
      <c r="F1152">
        <f>(FruitDMg!F1152/FruitFW!F1152)*100</f>
        <v>17.200000000000003</v>
      </c>
    </row>
    <row r="1153" spans="1:6" x14ac:dyDescent="0.25">
      <c r="A1153" t="s">
        <v>25</v>
      </c>
      <c r="B1153" s="2">
        <v>45027</v>
      </c>
      <c r="C1153">
        <v>2023</v>
      </c>
      <c r="E1153" t="s">
        <v>10</v>
      </c>
      <c r="F1153">
        <f>(FruitDMg!F1153/FruitFW!F1153)*100</f>
        <v>18</v>
      </c>
    </row>
    <row r="1154" spans="1:6" x14ac:dyDescent="0.25">
      <c r="A1154" t="s">
        <v>25</v>
      </c>
      <c r="B1154" s="2">
        <v>45040</v>
      </c>
      <c r="C1154">
        <v>2023</v>
      </c>
      <c r="E1154" t="s">
        <v>10</v>
      </c>
      <c r="F1154">
        <f>(FruitDMg!F1154/FruitFW!F1154)*100</f>
        <v>18.399999999999999</v>
      </c>
    </row>
    <row r="1155" spans="1:6" x14ac:dyDescent="0.25">
      <c r="A1155" t="s">
        <v>25</v>
      </c>
      <c r="B1155" s="2">
        <v>45047</v>
      </c>
      <c r="C1155">
        <v>2023</v>
      </c>
      <c r="E1155" t="s">
        <v>10</v>
      </c>
      <c r="F1155">
        <f>(FruitDMg!F1155/FruitFW!F1155)*100</f>
        <v>18.500000000000004</v>
      </c>
    </row>
    <row r="1156" spans="1:6" x14ac:dyDescent="0.25">
      <c r="A1156" t="s">
        <v>25</v>
      </c>
      <c r="B1156" s="2">
        <v>45062</v>
      </c>
      <c r="C1156">
        <v>2023</v>
      </c>
      <c r="E1156" t="s">
        <v>10</v>
      </c>
      <c r="F1156">
        <f>(FruitDMg!F1156/FruitFW!F1156)*100</f>
        <v>18.800000000000004</v>
      </c>
    </row>
    <row r="1157" spans="1:6" x14ac:dyDescent="0.25">
      <c r="A1157" t="s">
        <v>25</v>
      </c>
      <c r="B1157" s="2">
        <v>45076</v>
      </c>
      <c r="C1157">
        <v>2023</v>
      </c>
      <c r="E1157" t="s">
        <v>10</v>
      </c>
      <c r="F1157">
        <f>(FruitDMg!F1157/FruitFW!F1157)*100</f>
        <v>19.300000000000004</v>
      </c>
    </row>
    <row r="1158" spans="1:6" x14ac:dyDescent="0.25">
      <c r="A1158" t="s">
        <v>25</v>
      </c>
      <c r="B1158" s="2">
        <v>45083</v>
      </c>
      <c r="C1158">
        <v>2023</v>
      </c>
      <c r="E1158" t="s">
        <v>10</v>
      </c>
      <c r="F1158">
        <f>(FruitDMg!F1158/FruitFW!F1158)*100</f>
        <v>19.300000000000004</v>
      </c>
    </row>
    <row r="1159" spans="1:6" x14ac:dyDescent="0.25">
      <c r="A1159" t="s">
        <v>21</v>
      </c>
      <c r="B1159" s="2">
        <v>45316</v>
      </c>
      <c r="C1159">
        <v>2024</v>
      </c>
      <c r="E1159" t="s">
        <v>6</v>
      </c>
      <c r="F1159">
        <f>(FruitDMg!F1159/FruitFW!F1159)*100</f>
        <v>9</v>
      </c>
    </row>
    <row r="1160" spans="1:6" x14ac:dyDescent="0.25">
      <c r="A1160" t="s">
        <v>21</v>
      </c>
      <c r="B1160" s="2">
        <v>45337</v>
      </c>
      <c r="C1160">
        <v>2024</v>
      </c>
      <c r="E1160" t="s">
        <v>6</v>
      </c>
      <c r="F1160">
        <f>(FruitDMg!F1160/FruitFW!F1160)*100</f>
        <v>12.000000000000002</v>
      </c>
    </row>
    <row r="1161" spans="1:6" x14ac:dyDescent="0.25">
      <c r="A1161" t="s">
        <v>21</v>
      </c>
      <c r="B1161" s="2">
        <v>45350</v>
      </c>
      <c r="C1161">
        <v>2024</v>
      </c>
      <c r="E1161" t="s">
        <v>6</v>
      </c>
      <c r="F1161">
        <f>(FruitDMg!F1161/FruitFW!F1161)*100</f>
        <v>13.5</v>
      </c>
    </row>
    <row r="1162" spans="1:6" x14ac:dyDescent="0.25">
      <c r="A1162" t="s">
        <v>21</v>
      </c>
      <c r="B1162" s="2">
        <v>45364</v>
      </c>
      <c r="C1162">
        <v>2024</v>
      </c>
      <c r="E1162" t="s">
        <v>6</v>
      </c>
      <c r="F1162">
        <f>(FruitDMg!F1162/FruitFW!F1162)*100</f>
        <v>14.6</v>
      </c>
    </row>
    <row r="1163" spans="1:6" x14ac:dyDescent="0.25">
      <c r="A1163" t="s">
        <v>21</v>
      </c>
      <c r="B1163" s="2">
        <v>45378</v>
      </c>
      <c r="C1163">
        <v>2024</v>
      </c>
      <c r="E1163" t="s">
        <v>6</v>
      </c>
      <c r="F1163">
        <f>(FruitDMg!F1163/FruitFW!F1163)*100</f>
        <v>15.300000000000002</v>
      </c>
    </row>
    <row r="1164" spans="1:6" x14ac:dyDescent="0.25">
      <c r="A1164" t="s">
        <v>21</v>
      </c>
      <c r="B1164" s="2">
        <v>45390</v>
      </c>
      <c r="C1164">
        <v>2024</v>
      </c>
      <c r="E1164" t="s">
        <v>6</v>
      </c>
      <c r="F1164">
        <f>(FruitDMg!F1164/FruitFW!F1164)*100</f>
        <v>15.5</v>
      </c>
    </row>
    <row r="1165" spans="1:6" x14ac:dyDescent="0.25">
      <c r="A1165" t="s">
        <v>21</v>
      </c>
      <c r="B1165" s="2">
        <v>45404</v>
      </c>
      <c r="C1165">
        <v>2024</v>
      </c>
      <c r="E1165" t="s">
        <v>6</v>
      </c>
      <c r="F1165">
        <f>(FruitDMg!F1165/FruitFW!F1165)*100</f>
        <v>16.399999999999999</v>
      </c>
    </row>
    <row r="1166" spans="1:6" x14ac:dyDescent="0.25">
      <c r="A1166" t="s">
        <v>21</v>
      </c>
      <c r="B1166" s="2">
        <v>45414</v>
      </c>
      <c r="C1166">
        <v>2024</v>
      </c>
      <c r="E1166" t="s">
        <v>6</v>
      </c>
      <c r="F1166">
        <f>(FruitDMg!F1166/FruitFW!F1166)*100</f>
        <v>16.8</v>
      </c>
    </row>
    <row r="1167" spans="1:6" x14ac:dyDescent="0.25">
      <c r="A1167" t="s">
        <v>21</v>
      </c>
      <c r="B1167" s="2">
        <v>45425</v>
      </c>
      <c r="C1167">
        <v>2024</v>
      </c>
      <c r="E1167" t="s">
        <v>6</v>
      </c>
      <c r="F1167">
        <f>(FruitDMg!F1167/FruitFW!F1167)*100</f>
        <v>17.200000000000003</v>
      </c>
    </row>
    <row r="1168" spans="1:6" x14ac:dyDescent="0.25">
      <c r="A1168" t="s">
        <v>21</v>
      </c>
      <c r="B1168" s="2">
        <v>45439</v>
      </c>
      <c r="C1168">
        <v>2024</v>
      </c>
      <c r="E1168" t="s">
        <v>6</v>
      </c>
      <c r="F1168">
        <f>(FruitDMg!F1168/FruitFW!F1168)*100</f>
        <v>15.1</v>
      </c>
    </row>
    <row r="1169" spans="1:6" x14ac:dyDescent="0.25">
      <c r="A1169" t="s">
        <v>21</v>
      </c>
      <c r="B1169" s="2">
        <v>45454</v>
      </c>
      <c r="C1169">
        <v>2024</v>
      </c>
      <c r="E1169" t="s">
        <v>6</v>
      </c>
      <c r="F1169">
        <f>(FruitDMg!F1169/FruitFW!F1169)*100</f>
        <v>17.100000000000001</v>
      </c>
    </row>
    <row r="1170" spans="1:6" x14ac:dyDescent="0.25">
      <c r="A1170" t="s">
        <v>21</v>
      </c>
      <c r="B1170" s="2">
        <v>45314</v>
      </c>
      <c r="C1170">
        <v>2024</v>
      </c>
      <c r="E1170" t="s">
        <v>6</v>
      </c>
      <c r="F1170">
        <f>(FruitDMg!F1170/FruitFW!F1170)*100</f>
        <v>8.8000000000000025</v>
      </c>
    </row>
    <row r="1171" spans="1:6" x14ac:dyDescent="0.25">
      <c r="A1171" t="s">
        <v>21</v>
      </c>
      <c r="B1171" s="2">
        <v>45337</v>
      </c>
      <c r="C1171">
        <v>2024</v>
      </c>
      <c r="E1171" t="s">
        <v>6</v>
      </c>
      <c r="F1171">
        <f>(FruitDMg!F1171/FruitFW!F1171)*100</f>
        <v>12.699999999999998</v>
      </c>
    </row>
    <row r="1172" spans="1:6" x14ac:dyDescent="0.25">
      <c r="A1172" t="s">
        <v>21</v>
      </c>
      <c r="B1172" s="2">
        <v>45348</v>
      </c>
      <c r="C1172">
        <v>2024</v>
      </c>
      <c r="E1172" t="s">
        <v>6</v>
      </c>
      <c r="F1172">
        <f>(FruitDMg!F1172/FruitFW!F1172)*100</f>
        <v>13.600000000000001</v>
      </c>
    </row>
    <row r="1173" spans="1:6" x14ac:dyDescent="0.25">
      <c r="A1173" t="s">
        <v>21</v>
      </c>
      <c r="B1173" s="2">
        <v>45365</v>
      </c>
      <c r="C1173">
        <v>2024</v>
      </c>
      <c r="E1173" t="s">
        <v>6</v>
      </c>
      <c r="F1173">
        <f>(FruitDMg!F1173/FruitFW!F1173)*100</f>
        <v>15.300000000000002</v>
      </c>
    </row>
    <row r="1174" spans="1:6" x14ac:dyDescent="0.25">
      <c r="A1174" t="s">
        <v>21</v>
      </c>
      <c r="B1174" s="2">
        <v>45379</v>
      </c>
      <c r="C1174">
        <v>2024</v>
      </c>
      <c r="E1174" t="s">
        <v>6</v>
      </c>
      <c r="F1174">
        <f>(FruitDMg!F1174/FruitFW!F1174)*100</f>
        <v>16.600000000000001</v>
      </c>
    </row>
    <row r="1175" spans="1:6" x14ac:dyDescent="0.25">
      <c r="A1175" t="s">
        <v>21</v>
      </c>
      <c r="B1175" s="2">
        <v>45393</v>
      </c>
      <c r="C1175">
        <v>2024</v>
      </c>
      <c r="E1175" t="s">
        <v>6</v>
      </c>
      <c r="F1175">
        <f>(FruitDMg!F1175/FruitFW!F1175)*100</f>
        <v>17</v>
      </c>
    </row>
    <row r="1176" spans="1:6" x14ac:dyDescent="0.25">
      <c r="A1176" t="s">
        <v>21</v>
      </c>
      <c r="B1176" s="2">
        <v>45407</v>
      </c>
      <c r="C1176">
        <v>2024</v>
      </c>
      <c r="E1176" t="s">
        <v>6</v>
      </c>
      <c r="F1176">
        <f>(FruitDMg!F1176/FruitFW!F1176)*100</f>
        <v>17.399999999999999</v>
      </c>
    </row>
    <row r="1177" spans="1:6" x14ac:dyDescent="0.25">
      <c r="A1177" t="s">
        <v>21</v>
      </c>
      <c r="B1177" s="2">
        <v>45414</v>
      </c>
      <c r="C1177">
        <v>2024</v>
      </c>
      <c r="E1177" t="s">
        <v>6</v>
      </c>
      <c r="F1177">
        <f>(FruitDMg!F1177/FruitFW!F1177)*100</f>
        <v>17.600000000000001</v>
      </c>
    </row>
    <row r="1178" spans="1:6" x14ac:dyDescent="0.25">
      <c r="A1178" t="s">
        <v>21</v>
      </c>
      <c r="B1178" s="2">
        <v>45425</v>
      </c>
      <c r="C1178">
        <v>2024</v>
      </c>
      <c r="E1178" t="s">
        <v>6</v>
      </c>
      <c r="F1178">
        <f>(FruitDMg!F1178/FruitFW!F1178)*100</f>
        <v>18.399999999999999</v>
      </c>
    </row>
    <row r="1179" spans="1:6" x14ac:dyDescent="0.25">
      <c r="A1179" t="s">
        <v>21</v>
      </c>
      <c r="B1179" s="2">
        <v>45441</v>
      </c>
      <c r="C1179">
        <v>2024</v>
      </c>
      <c r="E1179" t="s">
        <v>6</v>
      </c>
      <c r="F1179">
        <f>(FruitDMg!F1179/FruitFW!F1179)*100</f>
        <v>18.099999999999998</v>
      </c>
    </row>
    <row r="1180" spans="1:6" x14ac:dyDescent="0.25">
      <c r="A1180" t="s">
        <v>21</v>
      </c>
      <c r="B1180" s="2">
        <v>45453</v>
      </c>
      <c r="C1180">
        <v>2024</v>
      </c>
      <c r="E1180" t="s">
        <v>6</v>
      </c>
      <c r="F1180">
        <f>(FruitDMg!F1180/FruitFW!F1180)*100</f>
        <v>17.899999999999995</v>
      </c>
    </row>
    <row r="1181" spans="1:6" x14ac:dyDescent="0.25">
      <c r="A1181" t="s">
        <v>21</v>
      </c>
      <c r="B1181" s="2">
        <v>45314</v>
      </c>
      <c r="C1181">
        <v>2024</v>
      </c>
      <c r="E1181" t="s">
        <v>6</v>
      </c>
      <c r="F1181">
        <f>(FruitDMg!F1181/FruitFW!F1181)*100</f>
        <v>8.3000000000000007</v>
      </c>
    </row>
    <row r="1182" spans="1:6" x14ac:dyDescent="0.25">
      <c r="A1182" t="s">
        <v>21</v>
      </c>
      <c r="B1182" s="2">
        <v>45336</v>
      </c>
      <c r="C1182">
        <v>2024</v>
      </c>
      <c r="E1182" t="s">
        <v>6</v>
      </c>
      <c r="F1182">
        <f>(FruitDMg!F1182/FruitFW!F1182)*100</f>
        <v>11.9</v>
      </c>
    </row>
    <row r="1183" spans="1:6" x14ac:dyDescent="0.25">
      <c r="A1183" t="s">
        <v>21</v>
      </c>
      <c r="B1183" s="2">
        <v>45348</v>
      </c>
      <c r="C1183">
        <v>2024</v>
      </c>
      <c r="E1183" t="s">
        <v>6</v>
      </c>
      <c r="F1183">
        <f>(FruitDMg!F1183/FruitFW!F1183)*100</f>
        <v>13.5</v>
      </c>
    </row>
    <row r="1184" spans="1:6" x14ac:dyDescent="0.25">
      <c r="A1184" t="s">
        <v>21</v>
      </c>
      <c r="B1184" s="2">
        <v>45365</v>
      </c>
      <c r="C1184">
        <v>2024</v>
      </c>
      <c r="E1184" t="s">
        <v>6</v>
      </c>
      <c r="F1184">
        <f>(FruitDMg!F1184/FruitFW!F1184)*100</f>
        <v>15.2</v>
      </c>
    </row>
    <row r="1185" spans="1:6" x14ac:dyDescent="0.25">
      <c r="A1185" t="s">
        <v>21</v>
      </c>
      <c r="B1185" s="2">
        <v>45379</v>
      </c>
      <c r="C1185">
        <v>2024</v>
      </c>
      <c r="E1185" t="s">
        <v>6</v>
      </c>
      <c r="F1185">
        <f>(FruitDMg!F1185/FruitFW!F1185)*100</f>
        <v>16.400000000000002</v>
      </c>
    </row>
    <row r="1186" spans="1:6" x14ac:dyDescent="0.25">
      <c r="A1186" t="s">
        <v>21</v>
      </c>
      <c r="B1186" s="2">
        <v>45390</v>
      </c>
      <c r="C1186">
        <v>2024</v>
      </c>
      <c r="E1186" t="s">
        <v>6</v>
      </c>
      <c r="F1186">
        <f>(FruitDMg!F1186/FruitFW!F1186)*100</f>
        <v>16.8</v>
      </c>
    </row>
    <row r="1187" spans="1:6" x14ac:dyDescent="0.25">
      <c r="A1187" t="s">
        <v>21</v>
      </c>
      <c r="B1187" s="2">
        <v>45404</v>
      </c>
      <c r="C1187">
        <v>2024</v>
      </c>
      <c r="E1187" t="s">
        <v>6</v>
      </c>
      <c r="F1187">
        <f>(FruitDMg!F1187/FruitFW!F1187)*100</f>
        <v>17.2</v>
      </c>
    </row>
    <row r="1188" spans="1:6" x14ac:dyDescent="0.25">
      <c r="A1188" t="s">
        <v>21</v>
      </c>
      <c r="B1188" s="2">
        <v>45413</v>
      </c>
      <c r="C1188">
        <v>2024</v>
      </c>
      <c r="E1188" t="s">
        <v>6</v>
      </c>
      <c r="F1188">
        <f>(FruitDMg!F1188/FruitFW!F1188)*100</f>
        <v>17.699999999999996</v>
      </c>
    </row>
    <row r="1189" spans="1:6" x14ac:dyDescent="0.25">
      <c r="A1189" t="s">
        <v>21</v>
      </c>
      <c r="B1189" s="2">
        <v>45425</v>
      </c>
      <c r="C1189">
        <v>2024</v>
      </c>
      <c r="E1189" t="s">
        <v>6</v>
      </c>
      <c r="F1189">
        <f>(FruitDMg!F1189/FruitFW!F1189)*100</f>
        <v>18.399999999999999</v>
      </c>
    </row>
    <row r="1190" spans="1:6" x14ac:dyDescent="0.25">
      <c r="A1190" t="s">
        <v>21</v>
      </c>
      <c r="B1190" s="2">
        <v>45441</v>
      </c>
      <c r="C1190">
        <v>2024</v>
      </c>
      <c r="E1190" t="s">
        <v>6</v>
      </c>
      <c r="F1190">
        <f>(FruitDMg!F1190/FruitFW!F1190)*100</f>
        <v>17.899999999999995</v>
      </c>
    </row>
    <row r="1191" spans="1:6" x14ac:dyDescent="0.25">
      <c r="A1191" t="s">
        <v>21</v>
      </c>
      <c r="B1191" s="2">
        <v>45453</v>
      </c>
      <c r="C1191">
        <v>2024</v>
      </c>
      <c r="E1191" t="s">
        <v>6</v>
      </c>
      <c r="F1191">
        <f>(FruitDMg!F1191/FruitFW!F1191)*100</f>
        <v>18</v>
      </c>
    </row>
    <row r="1192" spans="1:6" x14ac:dyDescent="0.25">
      <c r="A1192" t="s">
        <v>21</v>
      </c>
      <c r="B1192" s="2">
        <v>45316</v>
      </c>
      <c r="C1192">
        <v>2024</v>
      </c>
      <c r="E1192" t="s">
        <v>6</v>
      </c>
      <c r="F1192">
        <f>(FruitDMg!F1192/FruitFW!F1192)*100</f>
        <v>8.3000000000000025</v>
      </c>
    </row>
    <row r="1193" spans="1:6" x14ac:dyDescent="0.25">
      <c r="A1193" t="s">
        <v>21</v>
      </c>
      <c r="B1193" s="2">
        <v>45337</v>
      </c>
      <c r="C1193">
        <v>2024</v>
      </c>
      <c r="E1193" t="s">
        <v>6</v>
      </c>
      <c r="F1193">
        <f>(FruitDMg!F1193/FruitFW!F1193)*100</f>
        <v>11.700000000000001</v>
      </c>
    </row>
    <row r="1194" spans="1:6" x14ac:dyDescent="0.25">
      <c r="A1194" t="s">
        <v>21</v>
      </c>
      <c r="B1194" s="2">
        <v>45350</v>
      </c>
      <c r="C1194">
        <v>2024</v>
      </c>
      <c r="E1194" t="s">
        <v>6</v>
      </c>
      <c r="F1194">
        <f>(FruitDMg!F1194/FruitFW!F1194)*100</f>
        <v>13.600000000000001</v>
      </c>
    </row>
    <row r="1195" spans="1:6" x14ac:dyDescent="0.25">
      <c r="A1195" t="s">
        <v>21</v>
      </c>
      <c r="B1195" s="2">
        <v>45364</v>
      </c>
      <c r="C1195">
        <v>2024</v>
      </c>
      <c r="E1195" t="s">
        <v>6</v>
      </c>
      <c r="F1195">
        <f>(FruitDMg!F1195/FruitFW!F1195)*100</f>
        <v>15.000000000000002</v>
      </c>
    </row>
    <row r="1196" spans="1:6" x14ac:dyDescent="0.25">
      <c r="A1196" t="s">
        <v>21</v>
      </c>
      <c r="B1196" s="2">
        <v>45378</v>
      </c>
      <c r="C1196">
        <v>2024</v>
      </c>
      <c r="E1196" t="s">
        <v>6</v>
      </c>
      <c r="F1196">
        <f>(FruitDMg!F1196/FruitFW!F1196)*100</f>
        <v>15.9</v>
      </c>
    </row>
    <row r="1197" spans="1:6" x14ac:dyDescent="0.25">
      <c r="A1197" t="s">
        <v>21</v>
      </c>
      <c r="B1197" s="2">
        <v>45393</v>
      </c>
      <c r="C1197">
        <v>2024</v>
      </c>
      <c r="E1197" t="s">
        <v>6</v>
      </c>
      <c r="F1197">
        <f>(FruitDMg!F1197/FruitFW!F1197)*100</f>
        <v>16.3</v>
      </c>
    </row>
    <row r="1198" spans="1:6" x14ac:dyDescent="0.25">
      <c r="A1198" t="s">
        <v>21</v>
      </c>
      <c r="B1198" s="2">
        <v>45404</v>
      </c>
      <c r="C1198">
        <v>2024</v>
      </c>
      <c r="E1198" t="s">
        <v>6</v>
      </c>
      <c r="F1198">
        <f>(FruitDMg!F1198/FruitFW!F1198)*100</f>
        <v>16.2</v>
      </c>
    </row>
    <row r="1199" spans="1:6" x14ac:dyDescent="0.25">
      <c r="A1199" t="s">
        <v>21</v>
      </c>
      <c r="B1199" s="2">
        <v>45414</v>
      </c>
      <c r="C1199">
        <v>2024</v>
      </c>
      <c r="E1199" t="s">
        <v>6</v>
      </c>
      <c r="F1199">
        <f>(FruitDMg!F1199/FruitFW!F1199)*100</f>
        <v>17.099999999999998</v>
      </c>
    </row>
    <row r="1200" spans="1:6" x14ac:dyDescent="0.25">
      <c r="A1200" t="s">
        <v>21</v>
      </c>
      <c r="B1200" s="2">
        <v>45425</v>
      </c>
      <c r="C1200">
        <v>2024</v>
      </c>
      <c r="E1200" t="s">
        <v>6</v>
      </c>
      <c r="F1200">
        <f>(FruitDMg!F1200/FruitFW!F1200)*100</f>
        <v>17.3</v>
      </c>
    </row>
    <row r="1201" spans="1:6" x14ac:dyDescent="0.25">
      <c r="A1201" t="s">
        <v>21</v>
      </c>
      <c r="B1201" s="2">
        <v>45441</v>
      </c>
      <c r="C1201">
        <v>2024</v>
      </c>
      <c r="E1201" t="s">
        <v>6</v>
      </c>
      <c r="F1201">
        <f>(FruitDMg!F1201/FruitFW!F1201)*100</f>
        <v>17.7</v>
      </c>
    </row>
    <row r="1202" spans="1:6" x14ac:dyDescent="0.25">
      <c r="A1202" t="s">
        <v>21</v>
      </c>
      <c r="B1202" s="2">
        <v>45453</v>
      </c>
      <c r="C1202">
        <v>2024</v>
      </c>
      <c r="E1202" t="s">
        <v>6</v>
      </c>
      <c r="F1202">
        <f>(FruitDMg!F1202/FruitFW!F1202)*100</f>
        <v>17.8</v>
      </c>
    </row>
    <row r="1203" spans="1:6" x14ac:dyDescent="0.25">
      <c r="A1203" t="s">
        <v>21</v>
      </c>
      <c r="B1203" s="2">
        <v>45316</v>
      </c>
      <c r="C1203">
        <v>2024</v>
      </c>
      <c r="E1203" t="s">
        <v>6</v>
      </c>
      <c r="F1203">
        <f>(FruitDMg!F1203/FruitFW!F1203)*100</f>
        <v>8.6999999999999975</v>
      </c>
    </row>
    <row r="1204" spans="1:6" x14ac:dyDescent="0.25">
      <c r="A1204" t="s">
        <v>21</v>
      </c>
      <c r="B1204" s="2">
        <v>45337</v>
      </c>
      <c r="C1204">
        <v>2024</v>
      </c>
      <c r="E1204" t="s">
        <v>6</v>
      </c>
      <c r="F1204">
        <f>(FruitDMg!F1204/FruitFW!F1204)*100</f>
        <v>12.1</v>
      </c>
    </row>
    <row r="1205" spans="1:6" x14ac:dyDescent="0.25">
      <c r="A1205" t="s">
        <v>21</v>
      </c>
      <c r="B1205" s="2">
        <v>45350</v>
      </c>
      <c r="C1205">
        <v>2024</v>
      </c>
      <c r="E1205" t="s">
        <v>6</v>
      </c>
      <c r="F1205">
        <f>(FruitDMg!F1205/FruitFW!F1205)*100</f>
        <v>13.5</v>
      </c>
    </row>
    <row r="1206" spans="1:6" x14ac:dyDescent="0.25">
      <c r="A1206" t="s">
        <v>21</v>
      </c>
      <c r="B1206" s="2">
        <v>45364</v>
      </c>
      <c r="C1206">
        <v>2024</v>
      </c>
      <c r="E1206" t="s">
        <v>6</v>
      </c>
      <c r="F1206">
        <f>(FruitDMg!F1206/FruitFW!F1206)*100</f>
        <v>14.7</v>
      </c>
    </row>
    <row r="1207" spans="1:6" x14ac:dyDescent="0.25">
      <c r="A1207" t="s">
        <v>21</v>
      </c>
      <c r="B1207" s="2">
        <v>45378</v>
      </c>
      <c r="C1207">
        <v>2024</v>
      </c>
      <c r="E1207" t="s">
        <v>6</v>
      </c>
      <c r="F1207">
        <f>(FruitDMg!F1207/FruitFW!F1207)*100</f>
        <v>15.7</v>
      </c>
    </row>
    <row r="1208" spans="1:6" x14ac:dyDescent="0.25">
      <c r="A1208" t="s">
        <v>21</v>
      </c>
      <c r="B1208" s="2">
        <v>45390</v>
      </c>
      <c r="C1208">
        <v>2024</v>
      </c>
      <c r="E1208" t="s">
        <v>6</v>
      </c>
      <c r="F1208">
        <f>(FruitDMg!F1208/FruitFW!F1208)*100</f>
        <v>16.499999999999996</v>
      </c>
    </row>
    <row r="1209" spans="1:6" x14ac:dyDescent="0.25">
      <c r="A1209" t="s">
        <v>21</v>
      </c>
      <c r="B1209" s="2">
        <v>45407</v>
      </c>
      <c r="C1209">
        <v>2024</v>
      </c>
      <c r="E1209" t="s">
        <v>6</v>
      </c>
      <c r="F1209">
        <f>(FruitDMg!F1209/FruitFW!F1209)*100</f>
        <v>16.5</v>
      </c>
    </row>
    <row r="1210" spans="1:6" x14ac:dyDescent="0.25">
      <c r="A1210" t="s">
        <v>21</v>
      </c>
      <c r="B1210" s="2">
        <v>45413</v>
      </c>
      <c r="C1210">
        <v>2024</v>
      </c>
      <c r="E1210" t="s">
        <v>6</v>
      </c>
      <c r="F1210">
        <f>(FruitDMg!F1210/FruitFW!F1210)*100</f>
        <v>16.8</v>
      </c>
    </row>
    <row r="1211" spans="1:6" x14ac:dyDescent="0.25">
      <c r="A1211" t="s">
        <v>21</v>
      </c>
      <c r="B1211" s="2">
        <v>45425</v>
      </c>
      <c r="C1211">
        <v>2024</v>
      </c>
      <c r="E1211" t="s">
        <v>6</v>
      </c>
      <c r="F1211">
        <f>(FruitDMg!F1211/FruitFW!F1211)*100</f>
        <v>17.8</v>
      </c>
    </row>
    <row r="1212" spans="1:6" x14ac:dyDescent="0.25">
      <c r="A1212" t="s">
        <v>21</v>
      </c>
      <c r="B1212" s="2">
        <v>45439</v>
      </c>
      <c r="C1212">
        <v>2024</v>
      </c>
      <c r="E1212" t="s">
        <v>6</v>
      </c>
      <c r="F1212">
        <f>(FruitDMg!F1212/FruitFW!F1212)*100</f>
        <v>15</v>
      </c>
    </row>
    <row r="1213" spans="1:6" x14ac:dyDescent="0.25">
      <c r="A1213" t="s">
        <v>21</v>
      </c>
      <c r="B1213" s="2">
        <v>45454</v>
      </c>
      <c r="C1213">
        <v>2024</v>
      </c>
      <c r="E1213" t="s">
        <v>6</v>
      </c>
      <c r="F1213">
        <f>(FruitDMg!F1213/FruitFW!F1213)*100</f>
        <v>17.5</v>
      </c>
    </row>
    <row r="1214" spans="1:6" x14ac:dyDescent="0.25">
      <c r="A1214" t="s">
        <v>26</v>
      </c>
      <c r="B1214" s="2">
        <v>45315</v>
      </c>
      <c r="C1214">
        <v>2024</v>
      </c>
      <c r="E1214" t="s">
        <v>10</v>
      </c>
      <c r="F1214">
        <f>(FruitDMg!F1214/FruitFW!F1214)*100</f>
        <v>9.9</v>
      </c>
    </row>
    <row r="1215" spans="1:6" x14ac:dyDescent="0.25">
      <c r="A1215" t="s">
        <v>26</v>
      </c>
      <c r="B1215" s="2">
        <v>45335</v>
      </c>
      <c r="C1215">
        <v>2024</v>
      </c>
      <c r="E1215" t="s">
        <v>10</v>
      </c>
      <c r="F1215">
        <f>(FruitDMg!F1215/FruitFW!F1215)*100</f>
        <v>13.100000000000001</v>
      </c>
    </row>
    <row r="1216" spans="1:6" x14ac:dyDescent="0.25">
      <c r="A1216" t="s">
        <v>26</v>
      </c>
      <c r="B1216" s="2">
        <v>45349</v>
      </c>
      <c r="C1216">
        <v>2024</v>
      </c>
      <c r="E1216" t="s">
        <v>10</v>
      </c>
      <c r="F1216">
        <f>(FruitDMg!F1216/FruitFW!F1216)*100</f>
        <v>14.900000000000002</v>
      </c>
    </row>
    <row r="1217" spans="1:6" x14ac:dyDescent="0.25">
      <c r="A1217" t="s">
        <v>26</v>
      </c>
      <c r="B1217" s="2">
        <v>45363</v>
      </c>
      <c r="C1217">
        <v>2024</v>
      </c>
      <c r="E1217" t="s">
        <v>10</v>
      </c>
      <c r="F1217">
        <f>(FruitDMg!F1217/FruitFW!F1217)*100</f>
        <v>16</v>
      </c>
    </row>
    <row r="1218" spans="1:6" x14ac:dyDescent="0.25">
      <c r="A1218" t="s">
        <v>26</v>
      </c>
      <c r="B1218" s="2">
        <v>45378</v>
      </c>
      <c r="C1218">
        <v>2024</v>
      </c>
      <c r="E1218" t="s">
        <v>10</v>
      </c>
      <c r="F1218">
        <f>(FruitDMg!F1218/FruitFW!F1218)*100</f>
        <v>16.7</v>
      </c>
    </row>
    <row r="1219" spans="1:6" x14ac:dyDescent="0.25">
      <c r="A1219" t="s">
        <v>26</v>
      </c>
      <c r="B1219" s="2">
        <v>45390</v>
      </c>
      <c r="C1219">
        <v>2024</v>
      </c>
      <c r="E1219" t="s">
        <v>10</v>
      </c>
      <c r="F1219">
        <f>(FruitDMg!F1219/FruitFW!F1219)*100</f>
        <v>17</v>
      </c>
    </row>
    <row r="1220" spans="1:6" x14ac:dyDescent="0.25">
      <c r="A1220" t="s">
        <v>26</v>
      </c>
      <c r="B1220" s="2">
        <v>45406</v>
      </c>
      <c r="C1220">
        <v>2024</v>
      </c>
      <c r="E1220" t="s">
        <v>10</v>
      </c>
      <c r="F1220">
        <f>(FruitDMg!F1220/FruitFW!F1220)*100</f>
        <v>17.3</v>
      </c>
    </row>
    <row r="1221" spans="1:6" x14ac:dyDescent="0.25">
      <c r="A1221" t="s">
        <v>26</v>
      </c>
      <c r="B1221" s="2">
        <v>45412</v>
      </c>
      <c r="C1221">
        <v>2024</v>
      </c>
      <c r="E1221" t="s">
        <v>10</v>
      </c>
      <c r="F1221">
        <f>(FruitDMg!F1221/FruitFW!F1221)*100</f>
        <v>17.7</v>
      </c>
    </row>
    <row r="1222" spans="1:6" x14ac:dyDescent="0.25">
      <c r="A1222" t="s">
        <v>26</v>
      </c>
      <c r="B1222" s="2">
        <v>45427</v>
      </c>
      <c r="C1222">
        <v>2024</v>
      </c>
      <c r="E1222" t="s">
        <v>10</v>
      </c>
      <c r="F1222">
        <f>(FruitDMg!F1222/FruitFW!F1222)*100</f>
        <v>17.899999999999995</v>
      </c>
    </row>
    <row r="1223" spans="1:6" x14ac:dyDescent="0.25">
      <c r="A1223" t="s">
        <v>26</v>
      </c>
      <c r="B1223" s="2">
        <v>45441</v>
      </c>
      <c r="C1223">
        <v>2024</v>
      </c>
      <c r="E1223" t="s">
        <v>10</v>
      </c>
      <c r="F1223">
        <f>(FruitDMg!F1223/FruitFW!F1223)*100</f>
        <v>17.8</v>
      </c>
    </row>
    <row r="1224" spans="1:6" x14ac:dyDescent="0.25">
      <c r="A1224" t="s">
        <v>26</v>
      </c>
      <c r="B1224" s="2">
        <v>45454</v>
      </c>
      <c r="C1224">
        <v>2024</v>
      </c>
      <c r="E1224" t="s">
        <v>10</v>
      </c>
      <c r="F1224">
        <f>(FruitDMg!F1224/FruitFW!F1224)*100</f>
        <v>17.899999999999999</v>
      </c>
    </row>
    <row r="1225" spans="1:6" x14ac:dyDescent="0.25">
      <c r="B1225" s="2"/>
    </row>
    <row r="1226" spans="1:6" x14ac:dyDescent="0.25">
      <c r="B1226" s="2"/>
    </row>
    <row r="1227" spans="1:6" x14ac:dyDescent="0.25">
      <c r="B1227" s="2"/>
    </row>
    <row r="1228" spans="1:6" x14ac:dyDescent="0.25">
      <c r="B1228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FruitFW</vt:lpstr>
      <vt:lpstr>FruitDMg</vt:lpstr>
      <vt:lpstr>FruitDMP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2025-08-16T09:43:40Z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