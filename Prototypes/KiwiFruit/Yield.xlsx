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E550A5B8-FD0A-4095-95AB-AD6B69AC8D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uitFW" sheetId="1" r:id="rId1"/>
    <sheet name="FruitDMg" sheetId="3" r:id="rId2"/>
    <sheet name="FruitDMP" sheetId="4" r:id="rId3"/>
  </sheets>
  <definedNames>
    <definedName name="_xlnm._FilterDatabase" localSheetId="1" hidden="1">FruitDMg!$E$1:$E$71</definedName>
    <definedName name="_xlnm._FilterDatabase" localSheetId="2" hidden="1">FruitDMP!$E$1:$E$71</definedName>
    <definedName name="_xlnm._FilterDatabase" localSheetId="0" hidden="1">FruitFW!$E$1:$E$71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5" i="4" l="1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34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173" i="4"/>
  <c r="F162" i="4"/>
  <c r="F163" i="4"/>
  <c r="F164" i="4"/>
  <c r="F165" i="4"/>
  <c r="F166" i="4"/>
  <c r="F167" i="4"/>
  <c r="F168" i="4"/>
  <c r="F169" i="4"/>
  <c r="F170" i="4"/>
  <c r="F171" i="4"/>
  <c r="F161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27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93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59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36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" i="4"/>
  <c r="F2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171" i="4"/>
  <c r="C170" i="4"/>
  <c r="C169" i="4"/>
  <c r="C168" i="4"/>
  <c r="C167" i="4"/>
  <c r="C166" i="4"/>
  <c r="C165" i="4"/>
  <c r="C164" i="4"/>
  <c r="C163" i="4"/>
  <c r="C162" i="4"/>
  <c r="C161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171" i="3"/>
  <c r="C170" i="3"/>
  <c r="C169" i="3"/>
  <c r="C168" i="3"/>
  <c r="C167" i="3"/>
  <c r="C166" i="3"/>
  <c r="C165" i="3"/>
  <c r="C164" i="3"/>
  <c r="C163" i="3"/>
  <c r="C162" i="3"/>
  <c r="C161" i="3"/>
  <c r="C161" i="1"/>
  <c r="C162" i="1"/>
  <c r="C163" i="1"/>
  <c r="C164" i="1"/>
  <c r="C165" i="1"/>
  <c r="C166" i="1"/>
  <c r="C167" i="1"/>
  <c r="C168" i="1"/>
  <c r="C169" i="1"/>
  <c r="C170" i="1"/>
  <c r="C171" i="1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27" i="1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01" i="1"/>
  <c r="C102" i="1"/>
  <c r="C103" i="1"/>
  <c r="C104" i="1"/>
  <c r="C105" i="1"/>
  <c r="C94" i="1"/>
  <c r="C95" i="1"/>
  <c r="C96" i="1"/>
  <c r="C97" i="1"/>
  <c r="C98" i="1"/>
  <c r="C99" i="1"/>
  <c r="C100" i="1"/>
  <c r="C93" i="1"/>
</calcChain>
</file>

<file path=xl/sharedStrings.xml><?xml version="1.0" encoding="utf-8"?>
<sst xmlns="http://schemas.openxmlformats.org/spreadsheetml/2006/main" count="4681" uniqueCount="19">
  <si>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</si>
  <si>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</si>
  <si>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</si>
  <si>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</si>
  <si>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</si>
  <si>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</si>
  <si>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</si>
  <si>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TP010HW2022_2024</t>
  </si>
  <si>
    <t>TP020HW2022_2023</t>
  </si>
  <si>
    <t>KiwiFruit.Fruit.FruitDMg</t>
  </si>
  <si>
    <t>TP021HW2022_2024</t>
  </si>
  <si>
    <t>TP022HW2022_2024</t>
  </si>
  <si>
    <t>TP026HW2022_2024</t>
  </si>
  <si>
    <t>TP057HW2024</t>
  </si>
  <si>
    <t>TPHW2016_2024</t>
  </si>
  <si>
    <t>KKHW2020_2024</t>
  </si>
  <si>
    <t>Kerikeri</t>
  </si>
  <si>
    <t>KiwiFruit.Fruit.FruitDMP</t>
  </si>
  <si>
    <t>KiwiFruit.Fruit.FruitFW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</si>
</sst>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mm/dd/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5" fontId="2" fillId="2" borderId="0" xfId="0" applyNumberFormat="1" applyFont="1" applyFill="1"/>
    <xf numFmtId="0" fontId="0" fillId="3" borderId="0" xfId="0" applyFill="1"/>
    <xf numFmtId="165" fontId="2" fillId="3" borderId="0" xfId="0" applyNumberFormat="1" applyFont="1" applyFill="1"/>
    <xf numFmtId="165" fontId="2" fillId="0" borderId="0" xfId="0" applyNumberFormat="1" applyFont="1"/>
    <xf numFmtId="0" fontId="0" fillId="4" borderId="0" xfId="0" applyFill="1"/>
    <xf numFmtId="165" fontId="2" fillId="4" borderId="0" xfId="0" applyNumberFormat="1" applyFont="1" applyFill="1"/>
    <xf numFmtId="0" fontId="0" fillId="5" borderId="0" xfId="0" applyFill="1"/>
    <xf numFmtId="165" fontId="2" fillId="5" borderId="0" xfId="0" applyNumberFormat="1" applyFont="1" applyFill="1"/>
    <xf numFmtId="0" fontId="0" fillId="6" borderId="0" xfId="0" applyFill="1"/>
    <xf numFmtId="165" fontId="2" fillId="6" borderId="0" xfId="0" applyNumberFormat="1" applyFont="1" applyFill="1"/>
    <xf numFmtId="0" fontId="0" fillId="7" borderId="0" xfId="0" applyFill="1"/>
    <xf numFmtId="165" fontId="2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6"/>
  <sheetViews>
    <sheetView tabSelected="1" zoomScale="70" zoomScaleNormal="70" workbookViewId="0">
      <selection activeCell="F2" sqref="F2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47.140625" customWidth="1"/>
    <col min="8" max="8" width="2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18</v>
      </c>
      <c r="G1" s="1" t="s">
        <v>5</v>
      </c>
    </row>
    <row r="2" spans="1:7" s="3" customFormat="1" x14ac:dyDescent="0.25">
      <c r="A2" s="3" t="s">
        <v>7</v>
      </c>
      <c r="B2" s="4">
        <v>44603</v>
      </c>
      <c r="C2" s="3">
        <v>2022</v>
      </c>
      <c r="D2" s="4"/>
      <c r="E2" s="3" t="s">
        <v>6</v>
      </c>
      <c r="F2" s="3">
        <v>65.7</v>
      </c>
    </row>
    <row r="3" spans="1:7" s="3" customFormat="1" x14ac:dyDescent="0.25">
      <c r="A3" s="3" t="s">
        <v>7</v>
      </c>
      <c r="B3" s="4">
        <v>44608</v>
      </c>
      <c r="C3" s="3">
        <v>2022</v>
      </c>
      <c r="E3" s="3" t="s">
        <v>6</v>
      </c>
      <c r="F3" s="3">
        <v>77</v>
      </c>
    </row>
    <row r="4" spans="1:7" s="3" customFormat="1" x14ac:dyDescent="0.25">
      <c r="A4" s="3" t="s">
        <v>7</v>
      </c>
      <c r="B4" s="4">
        <v>44622</v>
      </c>
      <c r="C4" s="3">
        <v>2022</v>
      </c>
      <c r="E4" s="3" t="s">
        <v>6</v>
      </c>
      <c r="F4" s="3">
        <v>108.9</v>
      </c>
    </row>
    <row r="5" spans="1:7" s="3" customFormat="1" x14ac:dyDescent="0.25">
      <c r="A5" s="3" t="s">
        <v>7</v>
      </c>
      <c r="B5" s="4">
        <v>44636</v>
      </c>
      <c r="C5" s="3">
        <v>2022</v>
      </c>
      <c r="E5" s="3" t="s">
        <v>6</v>
      </c>
      <c r="F5" s="3">
        <v>87.8</v>
      </c>
    </row>
    <row r="6" spans="1:7" s="3" customFormat="1" x14ac:dyDescent="0.25">
      <c r="A6" s="3" t="s">
        <v>7</v>
      </c>
      <c r="B6" s="4">
        <v>44650</v>
      </c>
      <c r="C6" s="3">
        <v>2022</v>
      </c>
      <c r="E6" s="3" t="s">
        <v>6</v>
      </c>
      <c r="F6" s="3">
        <v>92</v>
      </c>
    </row>
    <row r="7" spans="1:7" s="3" customFormat="1" x14ac:dyDescent="0.25">
      <c r="A7" s="3" t="s">
        <v>7</v>
      </c>
      <c r="B7" s="4">
        <v>44664</v>
      </c>
      <c r="C7" s="3">
        <v>2022</v>
      </c>
      <c r="E7" s="3" t="s">
        <v>6</v>
      </c>
      <c r="F7" s="3">
        <v>100</v>
      </c>
    </row>
    <row r="8" spans="1:7" s="3" customFormat="1" x14ac:dyDescent="0.25">
      <c r="A8" s="3" t="s">
        <v>7</v>
      </c>
      <c r="B8" s="4">
        <v>44672</v>
      </c>
      <c r="C8" s="3">
        <v>2022</v>
      </c>
      <c r="E8" s="3" t="s">
        <v>6</v>
      </c>
      <c r="F8" s="3">
        <v>102.7</v>
      </c>
    </row>
    <row r="9" spans="1:7" s="3" customFormat="1" x14ac:dyDescent="0.25">
      <c r="A9" s="3" t="s">
        <v>7</v>
      </c>
      <c r="B9" s="4">
        <v>44680</v>
      </c>
      <c r="C9" s="3">
        <v>2022</v>
      </c>
      <c r="E9" s="3" t="s">
        <v>6</v>
      </c>
      <c r="F9" s="3">
        <v>102.5</v>
      </c>
    </row>
    <row r="10" spans="1:7" s="3" customFormat="1" x14ac:dyDescent="0.25">
      <c r="A10" s="3" t="s">
        <v>7</v>
      </c>
      <c r="B10" s="4">
        <v>44685</v>
      </c>
      <c r="C10" s="3">
        <v>2022</v>
      </c>
      <c r="E10" s="3" t="s">
        <v>6</v>
      </c>
      <c r="F10" s="3">
        <v>105.9</v>
      </c>
    </row>
    <row r="11" spans="1:7" s="3" customFormat="1" x14ac:dyDescent="0.25">
      <c r="A11" s="3" t="s">
        <v>7</v>
      </c>
      <c r="B11" s="4">
        <v>44699</v>
      </c>
      <c r="C11" s="3">
        <v>2022</v>
      </c>
      <c r="E11" s="3" t="s">
        <v>6</v>
      </c>
      <c r="F11" s="3">
        <v>110.1</v>
      </c>
    </row>
    <row r="12" spans="1:7" s="3" customFormat="1" x14ac:dyDescent="0.25">
      <c r="A12" s="3" t="s">
        <v>7</v>
      </c>
      <c r="B12" s="4">
        <v>44713</v>
      </c>
      <c r="C12" s="3">
        <v>2022</v>
      </c>
      <c r="E12" s="3" t="s">
        <v>6</v>
      </c>
      <c r="F12" s="3">
        <v>108.5</v>
      </c>
    </row>
    <row r="13" spans="1:7" s="3" customFormat="1" x14ac:dyDescent="0.25">
      <c r="A13" s="3" t="s">
        <v>7</v>
      </c>
      <c r="B13" s="4">
        <v>44952</v>
      </c>
      <c r="C13" s="3">
        <v>2023</v>
      </c>
      <c r="E13" s="3" t="s">
        <v>6</v>
      </c>
      <c r="F13" s="3">
        <v>67.400000000000006</v>
      </c>
    </row>
    <row r="14" spans="1:7" s="3" customFormat="1" x14ac:dyDescent="0.25">
      <c r="A14" s="3" t="s">
        <v>7</v>
      </c>
      <c r="B14" s="4">
        <v>44973</v>
      </c>
      <c r="C14" s="3">
        <v>2023</v>
      </c>
      <c r="E14" s="3" t="s">
        <v>6</v>
      </c>
      <c r="F14" s="3">
        <v>75.3</v>
      </c>
    </row>
    <row r="15" spans="1:7" s="3" customFormat="1" x14ac:dyDescent="0.25">
      <c r="A15" s="3" t="s">
        <v>7</v>
      </c>
      <c r="B15" s="4">
        <v>44984</v>
      </c>
      <c r="C15" s="3">
        <v>2023</v>
      </c>
      <c r="E15" s="3" t="s">
        <v>6</v>
      </c>
      <c r="F15" s="3">
        <v>83.9</v>
      </c>
    </row>
    <row r="16" spans="1:7" s="3" customFormat="1" x14ac:dyDescent="0.25">
      <c r="A16" s="3" t="s">
        <v>7</v>
      </c>
      <c r="B16" s="4">
        <v>45000</v>
      </c>
      <c r="C16" s="3">
        <v>2023</v>
      </c>
      <c r="E16" s="3" t="s">
        <v>6</v>
      </c>
      <c r="F16" s="3">
        <v>94.4</v>
      </c>
    </row>
    <row r="17" spans="1:6" s="3" customFormat="1" x14ac:dyDescent="0.25">
      <c r="A17" s="3" t="s">
        <v>7</v>
      </c>
      <c r="B17" s="4">
        <v>45015</v>
      </c>
      <c r="C17" s="3">
        <v>2023</v>
      </c>
      <c r="E17" s="3" t="s">
        <v>6</v>
      </c>
      <c r="F17" s="3">
        <v>100.6</v>
      </c>
    </row>
    <row r="18" spans="1:6" s="3" customFormat="1" x14ac:dyDescent="0.25">
      <c r="A18" s="3" t="s">
        <v>7</v>
      </c>
      <c r="B18" s="4">
        <v>45029</v>
      </c>
      <c r="C18" s="3">
        <v>2023</v>
      </c>
      <c r="E18" s="3" t="s">
        <v>6</v>
      </c>
      <c r="F18" s="3">
        <v>103</v>
      </c>
    </row>
    <row r="19" spans="1:6" s="3" customFormat="1" x14ac:dyDescent="0.25">
      <c r="A19" s="3" t="s">
        <v>7</v>
      </c>
      <c r="B19" s="4">
        <v>45041</v>
      </c>
      <c r="C19" s="3">
        <v>2023</v>
      </c>
      <c r="E19" s="3" t="s">
        <v>6</v>
      </c>
      <c r="F19" s="3">
        <v>110.6</v>
      </c>
    </row>
    <row r="20" spans="1:6" s="3" customFormat="1" x14ac:dyDescent="0.25">
      <c r="A20" s="3" t="s">
        <v>7</v>
      </c>
      <c r="B20" s="4">
        <v>45049</v>
      </c>
      <c r="C20" s="3">
        <v>2023</v>
      </c>
      <c r="E20" s="3" t="s">
        <v>6</v>
      </c>
      <c r="F20" s="3">
        <v>114.6</v>
      </c>
    </row>
    <row r="21" spans="1:6" s="3" customFormat="1" x14ac:dyDescent="0.25">
      <c r="A21" s="3" t="s">
        <v>7</v>
      </c>
      <c r="B21" s="4">
        <v>45062</v>
      </c>
      <c r="C21" s="3">
        <v>2023</v>
      </c>
      <c r="E21" s="3" t="s">
        <v>6</v>
      </c>
      <c r="F21" s="3">
        <v>116.7</v>
      </c>
    </row>
    <row r="22" spans="1:6" s="3" customFormat="1" x14ac:dyDescent="0.25">
      <c r="A22" s="3" t="s">
        <v>7</v>
      </c>
      <c r="B22" s="4">
        <v>45076</v>
      </c>
      <c r="C22" s="3">
        <v>2023</v>
      </c>
      <c r="E22" s="3" t="s">
        <v>6</v>
      </c>
      <c r="F22" s="3">
        <v>118.8</v>
      </c>
    </row>
    <row r="23" spans="1:6" s="3" customFormat="1" x14ac:dyDescent="0.25">
      <c r="A23" s="3" t="s">
        <v>7</v>
      </c>
      <c r="B23" s="4">
        <v>45083</v>
      </c>
      <c r="C23" s="3">
        <v>2023</v>
      </c>
      <c r="E23" s="3" t="s">
        <v>6</v>
      </c>
      <c r="F23" s="3">
        <v>114.3</v>
      </c>
    </row>
    <row r="24" spans="1:6" s="3" customFormat="1" x14ac:dyDescent="0.25">
      <c r="A24" s="3" t="s">
        <v>7</v>
      </c>
      <c r="B24" s="4">
        <v>45316</v>
      </c>
      <c r="C24" s="3">
        <v>2024</v>
      </c>
      <c r="E24" s="3" t="s">
        <v>6</v>
      </c>
      <c r="F24" s="3">
        <v>58</v>
      </c>
    </row>
    <row r="25" spans="1:6" s="3" customFormat="1" x14ac:dyDescent="0.25">
      <c r="A25" s="3" t="s">
        <v>7</v>
      </c>
      <c r="B25" s="4">
        <v>45337</v>
      </c>
      <c r="C25" s="3">
        <v>2024</v>
      </c>
      <c r="E25" s="3" t="s">
        <v>6</v>
      </c>
      <c r="F25" s="3">
        <v>70.2</v>
      </c>
    </row>
    <row r="26" spans="1:6" s="3" customFormat="1" x14ac:dyDescent="0.25">
      <c r="A26" s="3" t="s">
        <v>7</v>
      </c>
      <c r="B26" s="4">
        <v>45350</v>
      </c>
      <c r="C26" s="3">
        <v>2024</v>
      </c>
      <c r="E26" s="3" t="s">
        <v>6</v>
      </c>
      <c r="F26" s="3">
        <v>77.8</v>
      </c>
    </row>
    <row r="27" spans="1:6" s="3" customFormat="1" x14ac:dyDescent="0.25">
      <c r="A27" s="3" t="s">
        <v>7</v>
      </c>
      <c r="B27" s="4">
        <v>45364</v>
      </c>
      <c r="C27" s="3">
        <v>2024</v>
      </c>
      <c r="E27" s="3" t="s">
        <v>6</v>
      </c>
      <c r="F27" s="3">
        <v>83.2</v>
      </c>
    </row>
    <row r="28" spans="1:6" s="3" customFormat="1" x14ac:dyDescent="0.25">
      <c r="A28" s="3" t="s">
        <v>7</v>
      </c>
      <c r="B28" s="4">
        <v>45378</v>
      </c>
      <c r="C28" s="3">
        <v>2024</v>
      </c>
      <c r="E28" s="3" t="s">
        <v>6</v>
      </c>
      <c r="F28" s="3">
        <v>87</v>
      </c>
    </row>
    <row r="29" spans="1:6" s="3" customFormat="1" x14ac:dyDescent="0.25">
      <c r="A29" s="3" t="s">
        <v>7</v>
      </c>
      <c r="B29" s="4">
        <v>45390</v>
      </c>
      <c r="C29" s="3">
        <v>2024</v>
      </c>
      <c r="E29" s="3" t="s">
        <v>6</v>
      </c>
      <c r="F29" s="3">
        <v>83.7</v>
      </c>
    </row>
    <row r="30" spans="1:6" s="3" customFormat="1" x14ac:dyDescent="0.25">
      <c r="A30" s="3" t="s">
        <v>7</v>
      </c>
      <c r="B30" s="4">
        <v>45404</v>
      </c>
      <c r="C30" s="3">
        <v>2024</v>
      </c>
      <c r="E30" s="3" t="s">
        <v>6</v>
      </c>
      <c r="F30" s="3">
        <v>87</v>
      </c>
    </row>
    <row r="31" spans="1:6" s="3" customFormat="1" x14ac:dyDescent="0.25">
      <c r="A31" s="3" t="s">
        <v>7</v>
      </c>
      <c r="B31" s="4">
        <v>45414</v>
      </c>
      <c r="C31" s="3">
        <v>2024</v>
      </c>
      <c r="E31" s="3" t="s">
        <v>6</v>
      </c>
      <c r="F31" s="3">
        <v>93</v>
      </c>
    </row>
    <row r="32" spans="1:6" s="3" customFormat="1" x14ac:dyDescent="0.25">
      <c r="A32" s="3" t="s">
        <v>7</v>
      </c>
      <c r="B32" s="4">
        <v>45425</v>
      </c>
      <c r="C32" s="3">
        <v>2024</v>
      </c>
      <c r="E32" s="3" t="s">
        <v>6</v>
      </c>
      <c r="F32" s="3">
        <v>91</v>
      </c>
    </row>
    <row r="33" spans="1:6" s="3" customFormat="1" x14ac:dyDescent="0.25">
      <c r="A33" s="3" t="s">
        <v>7</v>
      </c>
      <c r="B33" s="4">
        <v>45439</v>
      </c>
      <c r="C33" s="3">
        <v>2024</v>
      </c>
      <c r="E33" s="3" t="s">
        <v>6</v>
      </c>
      <c r="F33" s="3">
        <v>98.4</v>
      </c>
    </row>
    <row r="34" spans="1:6" s="3" customFormat="1" x14ac:dyDescent="0.25">
      <c r="A34" s="3" t="s">
        <v>7</v>
      </c>
      <c r="B34" s="4">
        <v>45454</v>
      </c>
      <c r="C34" s="3">
        <v>2024</v>
      </c>
      <c r="E34" s="3" t="s">
        <v>6</v>
      </c>
      <c r="F34" s="3">
        <v>84.8</v>
      </c>
    </row>
    <row r="35" spans="1:6" x14ac:dyDescent="0.25">
      <c r="B35" s="7"/>
    </row>
    <row r="36" spans="1:6" s="5" customFormat="1" x14ac:dyDescent="0.25">
      <c r="A36" s="5" t="s">
        <v>8</v>
      </c>
      <c r="B36" s="6">
        <v>44595</v>
      </c>
      <c r="C36" s="5">
        <v>2022</v>
      </c>
      <c r="E36" s="5" t="s">
        <v>6</v>
      </c>
      <c r="F36" s="5">
        <v>82.8</v>
      </c>
    </row>
    <row r="37" spans="1:6" s="5" customFormat="1" x14ac:dyDescent="0.25">
      <c r="A37" s="5" t="s">
        <v>8</v>
      </c>
      <c r="B37" s="6">
        <v>44608</v>
      </c>
      <c r="C37" s="5">
        <v>2022</v>
      </c>
      <c r="E37" s="5" t="s">
        <v>6</v>
      </c>
      <c r="F37" s="5">
        <v>96.5</v>
      </c>
    </row>
    <row r="38" spans="1:6" s="5" customFormat="1" x14ac:dyDescent="0.25">
      <c r="A38" s="5" t="s">
        <v>8</v>
      </c>
      <c r="B38" s="6">
        <v>44622</v>
      </c>
      <c r="C38" s="5">
        <v>2022</v>
      </c>
      <c r="E38" s="5" t="s">
        <v>6</v>
      </c>
      <c r="F38" s="5">
        <v>109</v>
      </c>
    </row>
    <row r="39" spans="1:6" s="5" customFormat="1" x14ac:dyDescent="0.25">
      <c r="A39" s="5" t="s">
        <v>8</v>
      </c>
      <c r="B39" s="6">
        <v>44636</v>
      </c>
      <c r="C39" s="5">
        <v>2022</v>
      </c>
      <c r="E39" s="5" t="s">
        <v>6</v>
      </c>
      <c r="F39" s="5">
        <v>118.6</v>
      </c>
    </row>
    <row r="40" spans="1:6" s="5" customFormat="1" x14ac:dyDescent="0.25">
      <c r="A40" s="5" t="s">
        <v>8</v>
      </c>
      <c r="B40" s="6">
        <v>44650</v>
      </c>
      <c r="C40" s="5">
        <v>2022</v>
      </c>
      <c r="E40" s="5" t="s">
        <v>6</v>
      </c>
      <c r="F40" s="5">
        <v>122</v>
      </c>
    </row>
    <row r="41" spans="1:6" s="5" customFormat="1" x14ac:dyDescent="0.25">
      <c r="A41" s="5" t="s">
        <v>8</v>
      </c>
      <c r="B41" s="6">
        <v>44664</v>
      </c>
      <c r="C41" s="5">
        <v>2022</v>
      </c>
      <c r="E41" s="5" t="s">
        <v>6</v>
      </c>
      <c r="F41" s="5">
        <v>130.69999999999999</v>
      </c>
    </row>
    <row r="42" spans="1:6" s="5" customFormat="1" x14ac:dyDescent="0.25">
      <c r="A42" s="5" t="s">
        <v>8</v>
      </c>
      <c r="B42" s="6">
        <v>44672</v>
      </c>
      <c r="C42" s="5">
        <v>2022</v>
      </c>
      <c r="E42" s="5" t="s">
        <v>6</v>
      </c>
      <c r="F42" s="5">
        <v>130.80000000000001</v>
      </c>
    </row>
    <row r="43" spans="1:6" s="5" customFormat="1" x14ac:dyDescent="0.25">
      <c r="A43" s="5" t="s">
        <v>8</v>
      </c>
      <c r="B43" s="6">
        <v>44680</v>
      </c>
      <c r="C43" s="5">
        <v>2022</v>
      </c>
      <c r="E43" s="5" t="s">
        <v>6</v>
      </c>
      <c r="F43" s="5">
        <v>131.6</v>
      </c>
    </row>
    <row r="44" spans="1:6" s="5" customFormat="1" x14ac:dyDescent="0.25">
      <c r="A44" s="5" t="s">
        <v>8</v>
      </c>
      <c r="B44" s="6">
        <v>44685</v>
      </c>
      <c r="C44" s="5">
        <v>2022</v>
      </c>
      <c r="E44" s="5" t="s">
        <v>6</v>
      </c>
      <c r="F44" s="5">
        <v>134.6</v>
      </c>
    </row>
    <row r="45" spans="1:6" s="5" customFormat="1" x14ac:dyDescent="0.25">
      <c r="A45" s="5" t="s">
        <v>8</v>
      </c>
      <c r="B45" s="6">
        <v>44699</v>
      </c>
      <c r="C45" s="5">
        <v>2022</v>
      </c>
      <c r="E45" s="5" t="s">
        <v>6</v>
      </c>
      <c r="F45" s="5">
        <v>134.80000000000001</v>
      </c>
    </row>
    <row r="46" spans="1:6" s="5" customFormat="1" x14ac:dyDescent="0.25">
      <c r="A46" s="5" t="s">
        <v>8</v>
      </c>
      <c r="B46" s="6">
        <v>44713</v>
      </c>
      <c r="C46" s="5">
        <v>2022</v>
      </c>
      <c r="E46" s="5" t="s">
        <v>6</v>
      </c>
      <c r="F46" s="5">
        <v>134.30000000000001</v>
      </c>
    </row>
    <row r="47" spans="1:6" s="5" customFormat="1" x14ac:dyDescent="0.25">
      <c r="A47" s="5" t="s">
        <v>8</v>
      </c>
      <c r="B47" s="6">
        <v>44952</v>
      </c>
      <c r="C47" s="5">
        <v>2023</v>
      </c>
      <c r="E47" s="5" t="s">
        <v>6</v>
      </c>
      <c r="F47" s="5">
        <v>80</v>
      </c>
    </row>
    <row r="48" spans="1:6" s="5" customFormat="1" x14ac:dyDescent="0.25">
      <c r="A48" s="5" t="s">
        <v>8</v>
      </c>
      <c r="B48" s="6">
        <v>44974</v>
      </c>
      <c r="C48" s="5">
        <v>2023</v>
      </c>
      <c r="E48" s="5" t="s">
        <v>6</v>
      </c>
      <c r="F48" s="5">
        <v>90.7</v>
      </c>
    </row>
    <row r="49" spans="1:6" s="5" customFormat="1" x14ac:dyDescent="0.25">
      <c r="A49" s="5" t="s">
        <v>8</v>
      </c>
      <c r="B49" s="6">
        <v>44984</v>
      </c>
      <c r="C49" s="5">
        <v>2023</v>
      </c>
      <c r="E49" s="5" t="s">
        <v>6</v>
      </c>
      <c r="F49" s="5">
        <v>104.6</v>
      </c>
    </row>
    <row r="50" spans="1:6" s="5" customFormat="1" x14ac:dyDescent="0.25">
      <c r="A50" s="5" t="s">
        <v>8</v>
      </c>
      <c r="B50" s="6">
        <v>45000</v>
      </c>
      <c r="C50" s="5">
        <v>2023</v>
      </c>
      <c r="E50" s="5" t="s">
        <v>6</v>
      </c>
      <c r="F50" s="5">
        <v>119.5</v>
      </c>
    </row>
    <row r="51" spans="1:6" s="5" customFormat="1" x14ac:dyDescent="0.25">
      <c r="A51" s="5" t="s">
        <v>8</v>
      </c>
      <c r="B51" s="6">
        <v>45015</v>
      </c>
      <c r="C51" s="5">
        <v>2023</v>
      </c>
      <c r="E51" s="5" t="s">
        <v>6</v>
      </c>
      <c r="F51" s="5">
        <v>129.5</v>
      </c>
    </row>
    <row r="52" spans="1:6" s="5" customFormat="1" x14ac:dyDescent="0.25">
      <c r="A52" s="5" t="s">
        <v>8</v>
      </c>
      <c r="B52" s="6">
        <v>45029</v>
      </c>
      <c r="C52" s="5">
        <v>2023</v>
      </c>
      <c r="E52" s="5" t="s">
        <v>6</v>
      </c>
      <c r="F52" s="5">
        <v>136.80000000000001</v>
      </c>
    </row>
    <row r="53" spans="1:6" s="5" customFormat="1" x14ac:dyDescent="0.25">
      <c r="A53" s="5" t="s">
        <v>8</v>
      </c>
      <c r="B53" s="6">
        <v>45041</v>
      </c>
      <c r="C53" s="5">
        <v>2023</v>
      </c>
      <c r="E53" s="5" t="s">
        <v>6</v>
      </c>
      <c r="F53" s="5">
        <v>135.19999999999999</v>
      </c>
    </row>
    <row r="54" spans="1:6" s="5" customFormat="1" x14ac:dyDescent="0.25">
      <c r="A54" s="5" t="s">
        <v>8</v>
      </c>
      <c r="B54" s="6">
        <v>45049</v>
      </c>
      <c r="C54" s="5">
        <v>2023</v>
      </c>
      <c r="E54" s="5" t="s">
        <v>6</v>
      </c>
      <c r="F54" s="5">
        <v>141.4</v>
      </c>
    </row>
    <row r="55" spans="1:6" s="5" customFormat="1" x14ac:dyDescent="0.25">
      <c r="A55" s="5" t="s">
        <v>8</v>
      </c>
      <c r="B55" s="6">
        <v>45062</v>
      </c>
      <c r="C55" s="5">
        <v>2023</v>
      </c>
      <c r="E55" s="5" t="s">
        <v>6</v>
      </c>
      <c r="F55" s="5">
        <v>140.5</v>
      </c>
    </row>
    <row r="56" spans="1:6" s="5" customFormat="1" x14ac:dyDescent="0.25">
      <c r="A56" s="5" t="s">
        <v>8</v>
      </c>
      <c r="B56" s="6">
        <v>45077</v>
      </c>
      <c r="C56" s="5">
        <v>2023</v>
      </c>
      <c r="E56" s="5" t="s">
        <v>6</v>
      </c>
      <c r="F56" s="5">
        <v>142.80000000000001</v>
      </c>
    </row>
    <row r="57" spans="1:6" s="5" customFormat="1" x14ac:dyDescent="0.25">
      <c r="A57" s="5" t="s">
        <v>8</v>
      </c>
      <c r="B57" s="6">
        <v>45083</v>
      </c>
      <c r="C57" s="5">
        <v>2023</v>
      </c>
      <c r="E57" s="5" t="s">
        <v>6</v>
      </c>
      <c r="F57" s="5">
        <v>131</v>
      </c>
    </row>
    <row r="58" spans="1:6" x14ac:dyDescent="0.25">
      <c r="B58" s="2"/>
    </row>
    <row r="59" spans="1:6" s="8" customFormat="1" x14ac:dyDescent="0.25">
      <c r="A59" s="8" t="s">
        <v>10</v>
      </c>
      <c r="B59" s="9">
        <v>44595</v>
      </c>
      <c r="C59" s="8">
        <v>2022</v>
      </c>
      <c r="D59" s="9"/>
      <c r="E59" s="8" t="s">
        <v>6</v>
      </c>
      <c r="F59" s="8">
        <v>73.099999999999994</v>
      </c>
    </row>
    <row r="60" spans="1:6" s="8" customFormat="1" x14ac:dyDescent="0.25">
      <c r="A60" s="8" t="s">
        <v>10</v>
      </c>
      <c r="B60" s="9">
        <v>44608</v>
      </c>
      <c r="C60" s="8">
        <v>2022</v>
      </c>
      <c r="E60" s="8" t="s">
        <v>6</v>
      </c>
      <c r="F60" s="8">
        <v>85.9</v>
      </c>
    </row>
    <row r="61" spans="1:6" s="8" customFormat="1" x14ac:dyDescent="0.25">
      <c r="A61" s="8" t="s">
        <v>10</v>
      </c>
      <c r="B61" s="9">
        <v>44622</v>
      </c>
      <c r="C61" s="8">
        <v>2022</v>
      </c>
      <c r="E61" s="8" t="s">
        <v>6</v>
      </c>
      <c r="F61" s="8">
        <v>91</v>
      </c>
    </row>
    <row r="62" spans="1:6" s="8" customFormat="1" x14ac:dyDescent="0.25">
      <c r="A62" s="8" t="s">
        <v>10</v>
      </c>
      <c r="B62" s="9">
        <v>44636</v>
      </c>
      <c r="C62" s="8">
        <v>2022</v>
      </c>
      <c r="E62" s="8" t="s">
        <v>6</v>
      </c>
      <c r="F62" s="8">
        <v>102.2</v>
      </c>
    </row>
    <row r="63" spans="1:6" s="8" customFormat="1" x14ac:dyDescent="0.25">
      <c r="A63" s="8" t="s">
        <v>10</v>
      </c>
      <c r="B63" s="9">
        <v>44650</v>
      </c>
      <c r="C63" s="8">
        <v>2022</v>
      </c>
      <c r="E63" s="8" t="s">
        <v>6</v>
      </c>
      <c r="F63" s="8">
        <v>107.1</v>
      </c>
    </row>
    <row r="64" spans="1:6" s="8" customFormat="1" x14ac:dyDescent="0.25">
      <c r="A64" s="8" t="s">
        <v>10</v>
      </c>
      <c r="B64" s="9">
        <v>44664</v>
      </c>
      <c r="C64" s="8">
        <v>2022</v>
      </c>
      <c r="E64" s="8" t="s">
        <v>6</v>
      </c>
      <c r="F64" s="8">
        <v>113.7</v>
      </c>
    </row>
    <row r="65" spans="1:6" s="8" customFormat="1" x14ac:dyDescent="0.25">
      <c r="A65" s="8" t="s">
        <v>10</v>
      </c>
      <c r="B65" s="9">
        <v>44673</v>
      </c>
      <c r="C65" s="8">
        <v>2022</v>
      </c>
      <c r="E65" s="8" t="s">
        <v>6</v>
      </c>
      <c r="F65" s="8">
        <v>111.4</v>
      </c>
    </row>
    <row r="66" spans="1:6" s="8" customFormat="1" x14ac:dyDescent="0.25">
      <c r="A66" s="8" t="s">
        <v>10</v>
      </c>
      <c r="B66" s="9">
        <v>44680</v>
      </c>
      <c r="C66" s="8">
        <v>2022</v>
      </c>
      <c r="E66" s="8" t="s">
        <v>6</v>
      </c>
      <c r="F66" s="8">
        <v>118.6</v>
      </c>
    </row>
    <row r="67" spans="1:6" s="8" customFormat="1" x14ac:dyDescent="0.25">
      <c r="A67" s="8" t="s">
        <v>10</v>
      </c>
      <c r="B67" s="9">
        <v>44685</v>
      </c>
      <c r="C67" s="8">
        <v>2022</v>
      </c>
      <c r="E67" s="8" t="s">
        <v>6</v>
      </c>
      <c r="F67" s="8">
        <v>120.7</v>
      </c>
    </row>
    <row r="68" spans="1:6" s="8" customFormat="1" x14ac:dyDescent="0.25">
      <c r="A68" s="8" t="s">
        <v>10</v>
      </c>
      <c r="B68" s="9">
        <v>44699</v>
      </c>
      <c r="C68" s="8">
        <v>2022</v>
      </c>
      <c r="E68" s="8" t="s">
        <v>6</v>
      </c>
      <c r="F68" s="8">
        <v>127</v>
      </c>
    </row>
    <row r="69" spans="1:6" s="8" customFormat="1" x14ac:dyDescent="0.25">
      <c r="A69" s="8" t="s">
        <v>10</v>
      </c>
      <c r="B69" s="9">
        <v>44713</v>
      </c>
      <c r="C69" s="8">
        <v>2022</v>
      </c>
      <c r="E69" s="8" t="s">
        <v>6</v>
      </c>
      <c r="F69" s="8">
        <v>126.8</v>
      </c>
    </row>
    <row r="70" spans="1:6" s="8" customFormat="1" x14ac:dyDescent="0.25">
      <c r="A70" s="8" t="s">
        <v>10</v>
      </c>
      <c r="B70" s="9">
        <v>44952</v>
      </c>
      <c r="C70" s="8">
        <v>2023</v>
      </c>
      <c r="E70" s="8" t="s">
        <v>6</v>
      </c>
      <c r="F70" s="8">
        <v>75.400000000000006</v>
      </c>
    </row>
    <row r="71" spans="1:6" s="8" customFormat="1" x14ac:dyDescent="0.25">
      <c r="A71" s="8" t="s">
        <v>10</v>
      </c>
      <c r="B71" s="9">
        <v>44973</v>
      </c>
      <c r="C71" s="8">
        <v>2023</v>
      </c>
      <c r="E71" s="8" t="s">
        <v>6</v>
      </c>
      <c r="F71" s="8">
        <v>86.8</v>
      </c>
    </row>
    <row r="72" spans="1:6" s="8" customFormat="1" x14ac:dyDescent="0.25">
      <c r="A72" s="8" t="s">
        <v>10</v>
      </c>
      <c r="B72" s="9">
        <v>44987</v>
      </c>
      <c r="C72" s="8">
        <v>2023</v>
      </c>
      <c r="E72" s="8" t="s">
        <v>6</v>
      </c>
      <c r="F72" s="8">
        <v>93.7</v>
      </c>
    </row>
    <row r="73" spans="1:6" s="8" customFormat="1" x14ac:dyDescent="0.25">
      <c r="A73" s="8" t="s">
        <v>10</v>
      </c>
      <c r="B73" s="9">
        <v>45001</v>
      </c>
      <c r="C73" s="8">
        <v>2023</v>
      </c>
      <c r="E73" s="8" t="s">
        <v>6</v>
      </c>
      <c r="F73" s="8">
        <v>104.6</v>
      </c>
    </row>
    <row r="74" spans="1:6" s="8" customFormat="1" x14ac:dyDescent="0.25">
      <c r="A74" s="8" t="s">
        <v>10</v>
      </c>
      <c r="B74" s="9">
        <v>45014</v>
      </c>
      <c r="C74" s="8">
        <v>2023</v>
      </c>
      <c r="E74" s="8" t="s">
        <v>6</v>
      </c>
      <c r="F74" s="8">
        <v>114.6</v>
      </c>
    </row>
    <row r="75" spans="1:6" s="8" customFormat="1" x14ac:dyDescent="0.25">
      <c r="A75" s="8" t="s">
        <v>10</v>
      </c>
      <c r="B75" s="9">
        <v>45029</v>
      </c>
      <c r="C75" s="8">
        <v>2023</v>
      </c>
      <c r="E75" s="8" t="s">
        <v>6</v>
      </c>
      <c r="F75" s="8">
        <v>128.6</v>
      </c>
    </row>
    <row r="76" spans="1:6" s="8" customFormat="1" x14ac:dyDescent="0.25">
      <c r="A76" s="8" t="s">
        <v>10</v>
      </c>
      <c r="B76" s="9">
        <v>45041</v>
      </c>
      <c r="C76" s="8">
        <v>2023</v>
      </c>
      <c r="E76" s="8" t="s">
        <v>6</v>
      </c>
      <c r="F76" s="8">
        <v>129.6</v>
      </c>
    </row>
    <row r="77" spans="1:6" s="8" customFormat="1" x14ac:dyDescent="0.25">
      <c r="A77" s="8" t="s">
        <v>10</v>
      </c>
      <c r="B77" s="9">
        <v>45049</v>
      </c>
      <c r="C77" s="8">
        <v>2023</v>
      </c>
      <c r="E77" s="8" t="s">
        <v>6</v>
      </c>
      <c r="F77" s="8">
        <v>138.69999999999999</v>
      </c>
    </row>
    <row r="78" spans="1:6" s="8" customFormat="1" x14ac:dyDescent="0.25">
      <c r="A78" s="8" t="s">
        <v>10</v>
      </c>
      <c r="B78" s="9">
        <v>45062</v>
      </c>
      <c r="C78" s="8">
        <v>2023</v>
      </c>
      <c r="E78" s="8" t="s">
        <v>6</v>
      </c>
      <c r="F78" s="8">
        <v>136.9</v>
      </c>
    </row>
    <row r="79" spans="1:6" s="8" customFormat="1" x14ac:dyDescent="0.25">
      <c r="A79" s="8" t="s">
        <v>10</v>
      </c>
      <c r="B79" s="9">
        <v>45076</v>
      </c>
      <c r="C79" s="8">
        <v>2023</v>
      </c>
      <c r="E79" s="8" t="s">
        <v>6</v>
      </c>
      <c r="F79" s="8">
        <v>131.5</v>
      </c>
    </row>
    <row r="80" spans="1:6" s="8" customFormat="1" x14ac:dyDescent="0.25">
      <c r="A80" s="8" t="s">
        <v>10</v>
      </c>
      <c r="B80" s="9">
        <v>45083</v>
      </c>
      <c r="C80" s="8">
        <v>2023</v>
      </c>
      <c r="E80" s="8" t="s">
        <v>6</v>
      </c>
      <c r="F80" s="8">
        <v>133</v>
      </c>
    </row>
    <row r="81" spans="1:6" s="8" customFormat="1" x14ac:dyDescent="0.25">
      <c r="A81" s="8" t="s">
        <v>10</v>
      </c>
      <c r="B81" s="9">
        <v>45314</v>
      </c>
      <c r="C81" s="8">
        <v>2024</v>
      </c>
      <c r="E81" s="8" t="s">
        <v>6</v>
      </c>
      <c r="F81" s="8">
        <v>65.2</v>
      </c>
    </row>
    <row r="82" spans="1:6" s="8" customFormat="1" x14ac:dyDescent="0.25">
      <c r="A82" s="8" t="s">
        <v>10</v>
      </c>
      <c r="B82" s="9">
        <v>45337</v>
      </c>
      <c r="C82" s="8">
        <v>2024</v>
      </c>
      <c r="E82" s="8" t="s">
        <v>6</v>
      </c>
      <c r="F82" s="8">
        <v>83.2</v>
      </c>
    </row>
    <row r="83" spans="1:6" s="8" customFormat="1" x14ac:dyDescent="0.25">
      <c r="A83" s="8" t="s">
        <v>10</v>
      </c>
      <c r="B83" s="9">
        <v>45348</v>
      </c>
      <c r="C83" s="8">
        <v>2024</v>
      </c>
      <c r="E83" s="8" t="s">
        <v>6</v>
      </c>
      <c r="F83" s="8">
        <v>84.1</v>
      </c>
    </row>
    <row r="84" spans="1:6" s="8" customFormat="1" x14ac:dyDescent="0.25">
      <c r="A84" s="8" t="s">
        <v>10</v>
      </c>
      <c r="B84" s="9">
        <v>45365</v>
      </c>
      <c r="C84" s="8">
        <v>2024</v>
      </c>
      <c r="E84" s="8" t="s">
        <v>6</v>
      </c>
      <c r="F84" s="8">
        <v>93.8</v>
      </c>
    </row>
    <row r="85" spans="1:6" s="8" customFormat="1" x14ac:dyDescent="0.25">
      <c r="A85" s="8" t="s">
        <v>10</v>
      </c>
      <c r="B85" s="9">
        <v>45379</v>
      </c>
      <c r="C85" s="8">
        <v>2024</v>
      </c>
      <c r="E85" s="8" t="s">
        <v>6</v>
      </c>
      <c r="F85" s="8">
        <v>99.2</v>
      </c>
    </row>
    <row r="86" spans="1:6" s="8" customFormat="1" x14ac:dyDescent="0.25">
      <c r="A86" s="8" t="s">
        <v>10</v>
      </c>
      <c r="B86" s="9">
        <v>45393</v>
      </c>
      <c r="C86" s="8">
        <v>2024</v>
      </c>
      <c r="E86" s="8" t="s">
        <v>6</v>
      </c>
      <c r="F86" s="8">
        <v>103.7</v>
      </c>
    </row>
    <row r="87" spans="1:6" s="8" customFormat="1" x14ac:dyDescent="0.25">
      <c r="A87" s="8" t="s">
        <v>10</v>
      </c>
      <c r="B87" s="9">
        <v>45407</v>
      </c>
      <c r="C87" s="8">
        <v>2024</v>
      </c>
      <c r="E87" s="8" t="s">
        <v>6</v>
      </c>
      <c r="F87" s="8">
        <v>108.9</v>
      </c>
    </row>
    <row r="88" spans="1:6" s="8" customFormat="1" x14ac:dyDescent="0.25">
      <c r="A88" s="8" t="s">
        <v>10</v>
      </c>
      <c r="B88" s="9">
        <v>45414</v>
      </c>
      <c r="C88" s="8">
        <v>2024</v>
      </c>
      <c r="E88" s="8" t="s">
        <v>6</v>
      </c>
      <c r="F88" s="8">
        <v>117.1</v>
      </c>
    </row>
    <row r="89" spans="1:6" s="8" customFormat="1" x14ac:dyDescent="0.25">
      <c r="A89" s="8" t="s">
        <v>10</v>
      </c>
      <c r="B89" s="9">
        <v>45425</v>
      </c>
      <c r="C89" s="8">
        <v>2024</v>
      </c>
      <c r="E89" s="8" t="s">
        <v>6</v>
      </c>
      <c r="F89" s="8">
        <v>113.1</v>
      </c>
    </row>
    <row r="90" spans="1:6" s="8" customFormat="1" x14ac:dyDescent="0.25">
      <c r="A90" s="8" t="s">
        <v>10</v>
      </c>
      <c r="B90" s="9">
        <v>45441</v>
      </c>
      <c r="C90" s="8">
        <v>2024</v>
      </c>
      <c r="E90" s="8" t="s">
        <v>6</v>
      </c>
      <c r="F90" s="8">
        <v>115.1</v>
      </c>
    </row>
    <row r="91" spans="1:6" s="8" customFormat="1" x14ac:dyDescent="0.25">
      <c r="A91" s="8" t="s">
        <v>10</v>
      </c>
      <c r="B91" s="9">
        <v>45453</v>
      </c>
      <c r="C91" s="8">
        <v>2024</v>
      </c>
      <c r="E91" s="8" t="s">
        <v>6</v>
      </c>
      <c r="F91" s="8">
        <v>114.5</v>
      </c>
    </row>
    <row r="93" spans="1:6" s="10" customFormat="1" x14ac:dyDescent="0.25">
      <c r="A93" s="10" t="s">
        <v>11</v>
      </c>
      <c r="B93" s="11">
        <v>44595</v>
      </c>
      <c r="C93" s="10">
        <f>YEAR((B93))</f>
        <v>2022</v>
      </c>
      <c r="E93" s="10" t="s">
        <v>6</v>
      </c>
      <c r="F93" s="10">
        <v>69.599999999999994</v>
      </c>
    </row>
    <row r="94" spans="1:6" s="10" customFormat="1" x14ac:dyDescent="0.25">
      <c r="A94" s="10" t="s">
        <v>11</v>
      </c>
      <c r="B94" s="11">
        <v>44608</v>
      </c>
      <c r="C94" s="10">
        <f t="shared" ref="C94:C125" si="0">YEAR((B94))</f>
        <v>2022</v>
      </c>
      <c r="E94" s="10" t="s">
        <v>6</v>
      </c>
      <c r="F94" s="10">
        <v>80.2</v>
      </c>
    </row>
    <row r="95" spans="1:6" s="10" customFormat="1" x14ac:dyDescent="0.25">
      <c r="A95" s="10" t="s">
        <v>11</v>
      </c>
      <c r="B95" s="11">
        <v>44622</v>
      </c>
      <c r="C95" s="10">
        <f t="shared" si="0"/>
        <v>2022</v>
      </c>
      <c r="E95" s="10" t="s">
        <v>6</v>
      </c>
      <c r="F95" s="10">
        <v>85.8</v>
      </c>
    </row>
    <row r="96" spans="1:6" s="10" customFormat="1" x14ac:dyDescent="0.25">
      <c r="A96" s="10" t="s">
        <v>11</v>
      </c>
      <c r="B96" s="11">
        <v>44636</v>
      </c>
      <c r="C96" s="10">
        <f t="shared" si="0"/>
        <v>2022</v>
      </c>
      <c r="E96" s="10" t="s">
        <v>6</v>
      </c>
      <c r="F96" s="10">
        <v>96.4</v>
      </c>
    </row>
    <row r="97" spans="1:6" s="10" customFormat="1" x14ac:dyDescent="0.25">
      <c r="A97" s="10" t="s">
        <v>11</v>
      </c>
      <c r="B97" s="11">
        <v>44650</v>
      </c>
      <c r="C97" s="10">
        <f t="shared" si="0"/>
        <v>2022</v>
      </c>
      <c r="E97" s="10" t="s">
        <v>6</v>
      </c>
      <c r="F97" s="10">
        <v>106.7</v>
      </c>
    </row>
    <row r="98" spans="1:6" s="10" customFormat="1" x14ac:dyDescent="0.25">
      <c r="A98" s="10" t="s">
        <v>11</v>
      </c>
      <c r="B98" s="11">
        <v>44664</v>
      </c>
      <c r="C98" s="10">
        <f t="shared" si="0"/>
        <v>2022</v>
      </c>
      <c r="E98" s="10" t="s">
        <v>6</v>
      </c>
      <c r="F98" s="10">
        <v>114</v>
      </c>
    </row>
    <row r="99" spans="1:6" s="10" customFormat="1" x14ac:dyDescent="0.25">
      <c r="A99" s="10" t="s">
        <v>11</v>
      </c>
      <c r="B99" s="11">
        <v>44673</v>
      </c>
      <c r="C99" s="10">
        <f t="shared" si="0"/>
        <v>2022</v>
      </c>
      <c r="E99" s="10" t="s">
        <v>6</v>
      </c>
      <c r="F99" s="10">
        <v>111.3</v>
      </c>
    </row>
    <row r="100" spans="1:6" s="10" customFormat="1" x14ac:dyDescent="0.25">
      <c r="A100" s="10" t="s">
        <v>11</v>
      </c>
      <c r="B100" s="11">
        <v>44680</v>
      </c>
      <c r="C100" s="10">
        <f t="shared" si="0"/>
        <v>2022</v>
      </c>
      <c r="E100" s="10" t="s">
        <v>6</v>
      </c>
      <c r="F100" s="10">
        <v>109.8</v>
      </c>
    </row>
    <row r="101" spans="1:6" s="10" customFormat="1" x14ac:dyDescent="0.25">
      <c r="A101" s="10" t="s">
        <v>11</v>
      </c>
      <c r="B101" s="11">
        <v>44685</v>
      </c>
      <c r="C101" s="10">
        <f>YEAR((B101))</f>
        <v>2022</v>
      </c>
      <c r="E101" s="10" t="s">
        <v>6</v>
      </c>
      <c r="F101" s="10">
        <v>112.7</v>
      </c>
    </row>
    <row r="102" spans="1:6" s="10" customFormat="1" x14ac:dyDescent="0.25">
      <c r="A102" s="10" t="s">
        <v>11</v>
      </c>
      <c r="B102" s="11">
        <v>44699</v>
      </c>
      <c r="C102" s="10">
        <f t="shared" si="0"/>
        <v>2022</v>
      </c>
      <c r="E102" s="10" t="s">
        <v>6</v>
      </c>
      <c r="F102" s="10">
        <v>115.6</v>
      </c>
    </row>
    <row r="103" spans="1:6" s="10" customFormat="1" x14ac:dyDescent="0.25">
      <c r="A103" s="10" t="s">
        <v>11</v>
      </c>
      <c r="B103" s="11">
        <v>44713</v>
      </c>
      <c r="C103" s="10">
        <f t="shared" si="0"/>
        <v>2022</v>
      </c>
      <c r="E103" s="10" t="s">
        <v>6</v>
      </c>
      <c r="F103" s="10">
        <v>117.9</v>
      </c>
    </row>
    <row r="104" spans="1:6" s="10" customFormat="1" x14ac:dyDescent="0.25">
      <c r="A104" s="10" t="s">
        <v>11</v>
      </c>
      <c r="B104" s="11">
        <v>44950</v>
      </c>
      <c r="C104" s="10">
        <f t="shared" si="0"/>
        <v>2023</v>
      </c>
      <c r="E104" s="10" t="s">
        <v>6</v>
      </c>
      <c r="F104" s="10">
        <v>63.7</v>
      </c>
    </row>
    <row r="105" spans="1:6" s="10" customFormat="1" x14ac:dyDescent="0.25">
      <c r="A105" s="10" t="s">
        <v>11</v>
      </c>
      <c r="B105" s="11">
        <v>44974</v>
      </c>
      <c r="C105" s="10">
        <f t="shared" si="0"/>
        <v>2023</v>
      </c>
      <c r="E105" s="10" t="s">
        <v>6</v>
      </c>
      <c r="F105" s="10">
        <v>72.7</v>
      </c>
    </row>
    <row r="106" spans="1:6" s="10" customFormat="1" x14ac:dyDescent="0.25">
      <c r="A106" s="10" t="s">
        <v>11</v>
      </c>
      <c r="B106" s="11">
        <v>44987</v>
      </c>
      <c r="C106" s="10">
        <f t="shared" si="0"/>
        <v>2023</v>
      </c>
      <c r="E106" s="10" t="s">
        <v>6</v>
      </c>
      <c r="F106" s="10">
        <v>78.599999999999994</v>
      </c>
    </row>
    <row r="107" spans="1:6" s="10" customFormat="1" x14ac:dyDescent="0.25">
      <c r="A107" s="10" t="s">
        <v>11</v>
      </c>
      <c r="B107" s="11">
        <v>45001</v>
      </c>
      <c r="C107" s="10">
        <f t="shared" si="0"/>
        <v>2023</v>
      </c>
      <c r="E107" s="10" t="s">
        <v>6</v>
      </c>
      <c r="F107" s="10">
        <v>86.5</v>
      </c>
    </row>
    <row r="108" spans="1:6" s="10" customFormat="1" x14ac:dyDescent="0.25">
      <c r="A108" s="10" t="s">
        <v>11</v>
      </c>
      <c r="B108" s="11">
        <v>45014</v>
      </c>
      <c r="C108" s="10">
        <f t="shared" si="0"/>
        <v>2023</v>
      </c>
      <c r="E108" s="10" t="s">
        <v>6</v>
      </c>
      <c r="F108" s="10">
        <v>95.4</v>
      </c>
    </row>
    <row r="109" spans="1:6" s="10" customFormat="1" x14ac:dyDescent="0.25">
      <c r="A109" s="10" t="s">
        <v>11</v>
      </c>
      <c r="B109" s="11">
        <v>45031</v>
      </c>
      <c r="C109" s="10">
        <f t="shared" si="0"/>
        <v>2023</v>
      </c>
      <c r="E109" s="10" t="s">
        <v>6</v>
      </c>
      <c r="F109" s="10">
        <v>101.4</v>
      </c>
    </row>
    <row r="110" spans="1:6" s="10" customFormat="1" x14ac:dyDescent="0.25">
      <c r="A110" s="10" t="s">
        <v>11</v>
      </c>
      <c r="B110" s="11">
        <v>45041</v>
      </c>
      <c r="C110" s="10">
        <f t="shared" si="0"/>
        <v>2023</v>
      </c>
      <c r="E110" s="10" t="s">
        <v>6</v>
      </c>
      <c r="F110" s="10">
        <v>108</v>
      </c>
    </row>
    <row r="111" spans="1:6" s="10" customFormat="1" x14ac:dyDescent="0.25">
      <c r="A111" s="10" t="s">
        <v>11</v>
      </c>
      <c r="B111" s="11">
        <v>45049</v>
      </c>
      <c r="C111" s="10">
        <f t="shared" si="0"/>
        <v>2023</v>
      </c>
      <c r="E111" s="10" t="s">
        <v>6</v>
      </c>
      <c r="F111" s="10">
        <v>112.4</v>
      </c>
    </row>
    <row r="112" spans="1:6" s="10" customFormat="1" x14ac:dyDescent="0.25">
      <c r="A112" s="10" t="s">
        <v>11</v>
      </c>
      <c r="B112" s="11">
        <v>45062</v>
      </c>
      <c r="C112" s="10">
        <f t="shared" si="0"/>
        <v>2023</v>
      </c>
      <c r="E112" s="10" t="s">
        <v>6</v>
      </c>
      <c r="F112" s="10">
        <v>117.5</v>
      </c>
    </row>
    <row r="113" spans="1:6" s="10" customFormat="1" x14ac:dyDescent="0.25">
      <c r="A113" s="10" t="s">
        <v>11</v>
      </c>
      <c r="B113" s="11">
        <v>45077</v>
      </c>
      <c r="C113" s="10">
        <f t="shared" si="0"/>
        <v>2023</v>
      </c>
      <c r="E113" s="10" t="s">
        <v>6</v>
      </c>
      <c r="F113" s="10">
        <v>116.8</v>
      </c>
    </row>
    <row r="114" spans="1:6" s="10" customFormat="1" x14ac:dyDescent="0.25">
      <c r="A114" s="10" t="s">
        <v>11</v>
      </c>
      <c r="B114" s="11">
        <v>45083</v>
      </c>
      <c r="C114" s="10">
        <f t="shared" si="0"/>
        <v>2023</v>
      </c>
      <c r="E114" s="10" t="s">
        <v>6</v>
      </c>
      <c r="F114" s="10">
        <v>113.2</v>
      </c>
    </row>
    <row r="115" spans="1:6" s="10" customFormat="1" x14ac:dyDescent="0.25">
      <c r="A115" s="10" t="s">
        <v>11</v>
      </c>
      <c r="B115" s="11">
        <v>45314</v>
      </c>
      <c r="C115" s="10">
        <f t="shared" si="0"/>
        <v>2024</v>
      </c>
      <c r="E115" s="10" t="s">
        <v>6</v>
      </c>
      <c r="F115" s="10">
        <v>59.9</v>
      </c>
    </row>
    <row r="116" spans="1:6" s="10" customFormat="1" x14ac:dyDescent="0.25">
      <c r="A116" s="10" t="s">
        <v>11</v>
      </c>
      <c r="B116" s="11">
        <v>45336</v>
      </c>
      <c r="C116" s="10">
        <f t="shared" si="0"/>
        <v>2024</v>
      </c>
      <c r="E116" s="10" t="s">
        <v>6</v>
      </c>
      <c r="F116" s="10">
        <v>66.7</v>
      </c>
    </row>
    <row r="117" spans="1:6" s="10" customFormat="1" x14ac:dyDescent="0.25">
      <c r="A117" s="10" t="s">
        <v>11</v>
      </c>
      <c r="B117" s="11">
        <v>45348</v>
      </c>
      <c r="C117" s="10">
        <f t="shared" si="0"/>
        <v>2024</v>
      </c>
      <c r="E117" s="10" t="s">
        <v>6</v>
      </c>
      <c r="F117" s="10">
        <v>74.900000000000006</v>
      </c>
    </row>
    <row r="118" spans="1:6" s="10" customFormat="1" x14ac:dyDescent="0.25">
      <c r="A118" s="10" t="s">
        <v>11</v>
      </c>
      <c r="B118" s="11">
        <v>45365</v>
      </c>
      <c r="C118" s="10">
        <f t="shared" si="0"/>
        <v>2024</v>
      </c>
      <c r="E118" s="10" t="s">
        <v>6</v>
      </c>
      <c r="F118" s="10">
        <v>85.1</v>
      </c>
    </row>
    <row r="119" spans="1:6" s="10" customFormat="1" x14ac:dyDescent="0.25">
      <c r="A119" s="10" t="s">
        <v>11</v>
      </c>
      <c r="B119" s="11">
        <v>45379</v>
      </c>
      <c r="C119" s="10">
        <f t="shared" si="0"/>
        <v>2024</v>
      </c>
      <c r="E119" s="10" t="s">
        <v>6</v>
      </c>
      <c r="F119" s="10">
        <v>90.7</v>
      </c>
    </row>
    <row r="120" spans="1:6" s="10" customFormat="1" x14ac:dyDescent="0.25">
      <c r="A120" s="10" t="s">
        <v>11</v>
      </c>
      <c r="B120" s="11">
        <v>45390</v>
      </c>
      <c r="C120" s="10">
        <f t="shared" si="0"/>
        <v>2024</v>
      </c>
      <c r="E120" s="10" t="s">
        <v>6</v>
      </c>
      <c r="F120" s="10">
        <v>91.8</v>
      </c>
    </row>
    <row r="121" spans="1:6" s="10" customFormat="1" x14ac:dyDescent="0.25">
      <c r="A121" s="10" t="s">
        <v>11</v>
      </c>
      <c r="B121" s="11">
        <v>45404</v>
      </c>
      <c r="C121" s="10">
        <f t="shared" si="0"/>
        <v>2024</v>
      </c>
      <c r="E121" s="10" t="s">
        <v>6</v>
      </c>
      <c r="F121" s="10">
        <v>98.2</v>
      </c>
    </row>
    <row r="122" spans="1:6" s="10" customFormat="1" x14ac:dyDescent="0.25">
      <c r="A122" s="10" t="s">
        <v>11</v>
      </c>
      <c r="B122" s="11">
        <v>45413</v>
      </c>
      <c r="C122" s="10">
        <f t="shared" si="0"/>
        <v>2024</v>
      </c>
      <c r="E122" s="10" t="s">
        <v>6</v>
      </c>
      <c r="F122" s="10">
        <v>101.7</v>
      </c>
    </row>
    <row r="123" spans="1:6" s="10" customFormat="1" x14ac:dyDescent="0.25">
      <c r="A123" s="10" t="s">
        <v>11</v>
      </c>
      <c r="B123" s="11">
        <v>45425</v>
      </c>
      <c r="C123" s="10">
        <f t="shared" si="0"/>
        <v>2024</v>
      </c>
      <c r="E123" s="10" t="s">
        <v>6</v>
      </c>
      <c r="F123" s="10">
        <v>103.3</v>
      </c>
    </row>
    <row r="124" spans="1:6" s="10" customFormat="1" x14ac:dyDescent="0.25">
      <c r="A124" s="10" t="s">
        <v>11</v>
      </c>
      <c r="B124" s="11">
        <v>45441</v>
      </c>
      <c r="C124" s="10">
        <f t="shared" si="0"/>
        <v>2024</v>
      </c>
      <c r="E124" s="10" t="s">
        <v>6</v>
      </c>
      <c r="F124" s="10">
        <v>99.2</v>
      </c>
    </row>
    <row r="125" spans="1:6" s="10" customFormat="1" x14ac:dyDescent="0.25">
      <c r="A125" s="10" t="s">
        <v>11</v>
      </c>
      <c r="B125" s="11">
        <v>45453</v>
      </c>
      <c r="C125" s="10">
        <f t="shared" si="0"/>
        <v>2024</v>
      </c>
      <c r="E125" s="10" t="s">
        <v>6</v>
      </c>
      <c r="F125" s="10">
        <v>99.8</v>
      </c>
    </row>
    <row r="127" spans="1:6" s="12" customFormat="1" x14ac:dyDescent="0.25">
      <c r="A127" s="12" t="s">
        <v>12</v>
      </c>
      <c r="B127" s="13">
        <v>44595</v>
      </c>
      <c r="C127" s="12">
        <f>YEAR(B127)</f>
        <v>2022</v>
      </c>
      <c r="E127" s="12" t="s">
        <v>6</v>
      </c>
      <c r="F127" s="12">
        <v>83.4</v>
      </c>
    </row>
    <row r="128" spans="1:6" s="12" customFormat="1" x14ac:dyDescent="0.25">
      <c r="A128" s="12" t="s">
        <v>12</v>
      </c>
      <c r="B128" s="13">
        <v>44608</v>
      </c>
      <c r="C128" s="12">
        <f t="shared" ref="C128:C171" si="1">YEAR(B128)</f>
        <v>2022</v>
      </c>
      <c r="E128" s="12" t="s">
        <v>6</v>
      </c>
      <c r="F128" s="12">
        <v>94.3</v>
      </c>
    </row>
    <row r="129" spans="1:6" s="12" customFormat="1" x14ac:dyDescent="0.25">
      <c r="A129" s="12" t="s">
        <v>12</v>
      </c>
      <c r="B129" s="13">
        <v>44622</v>
      </c>
      <c r="C129" s="12">
        <f t="shared" si="1"/>
        <v>2022</v>
      </c>
      <c r="E129" s="12" t="s">
        <v>6</v>
      </c>
      <c r="F129" s="12">
        <v>102.9</v>
      </c>
    </row>
    <row r="130" spans="1:6" s="12" customFormat="1" x14ac:dyDescent="0.25">
      <c r="A130" s="12" t="s">
        <v>12</v>
      </c>
      <c r="B130" s="13">
        <v>44636</v>
      </c>
      <c r="C130" s="12">
        <f t="shared" si="1"/>
        <v>2022</v>
      </c>
      <c r="E130" s="12" t="s">
        <v>6</v>
      </c>
      <c r="F130" s="12">
        <v>104</v>
      </c>
    </row>
    <row r="131" spans="1:6" s="12" customFormat="1" x14ac:dyDescent="0.25">
      <c r="A131" s="12" t="s">
        <v>12</v>
      </c>
      <c r="B131" s="13">
        <v>44650</v>
      </c>
      <c r="C131" s="12">
        <f t="shared" si="1"/>
        <v>2022</v>
      </c>
      <c r="E131" s="12" t="s">
        <v>6</v>
      </c>
      <c r="F131" s="12">
        <v>113.4</v>
      </c>
    </row>
    <row r="132" spans="1:6" s="12" customFormat="1" x14ac:dyDescent="0.25">
      <c r="A132" s="12" t="s">
        <v>12</v>
      </c>
      <c r="B132" s="13">
        <v>44664</v>
      </c>
      <c r="C132" s="12">
        <f t="shared" si="1"/>
        <v>2022</v>
      </c>
      <c r="E132" s="12" t="s">
        <v>6</v>
      </c>
      <c r="F132" s="12">
        <v>125.8</v>
      </c>
    </row>
    <row r="133" spans="1:6" s="12" customFormat="1" x14ac:dyDescent="0.25">
      <c r="A133" s="12" t="s">
        <v>12</v>
      </c>
      <c r="B133" s="13">
        <v>44672</v>
      </c>
      <c r="C133" s="12">
        <f t="shared" si="1"/>
        <v>2022</v>
      </c>
      <c r="E133" s="12" t="s">
        <v>6</v>
      </c>
      <c r="F133" s="12">
        <v>132.9</v>
      </c>
    </row>
    <row r="134" spans="1:6" s="12" customFormat="1" x14ac:dyDescent="0.25">
      <c r="A134" s="12" t="s">
        <v>12</v>
      </c>
      <c r="B134" s="13">
        <v>44680</v>
      </c>
      <c r="C134" s="12">
        <f t="shared" si="1"/>
        <v>2022</v>
      </c>
      <c r="E134" s="12" t="s">
        <v>6</v>
      </c>
      <c r="F134" s="12">
        <v>139.80000000000001</v>
      </c>
    </row>
    <row r="135" spans="1:6" s="12" customFormat="1" x14ac:dyDescent="0.25">
      <c r="A135" s="12" t="s">
        <v>12</v>
      </c>
      <c r="B135" s="13">
        <v>44685</v>
      </c>
      <c r="C135" s="12">
        <f t="shared" si="1"/>
        <v>2022</v>
      </c>
      <c r="E135" s="12" t="s">
        <v>6</v>
      </c>
      <c r="F135" s="12">
        <v>135.1</v>
      </c>
    </row>
    <row r="136" spans="1:6" s="12" customFormat="1" x14ac:dyDescent="0.25">
      <c r="A136" s="12" t="s">
        <v>12</v>
      </c>
      <c r="B136" s="13">
        <v>44699</v>
      </c>
      <c r="C136" s="12">
        <f t="shared" si="1"/>
        <v>2022</v>
      </c>
      <c r="E136" s="12" t="s">
        <v>6</v>
      </c>
      <c r="F136" s="12">
        <v>138.1</v>
      </c>
    </row>
    <row r="137" spans="1:6" s="12" customFormat="1" x14ac:dyDescent="0.25">
      <c r="A137" s="12" t="s">
        <v>12</v>
      </c>
      <c r="B137" s="13">
        <v>44713</v>
      </c>
      <c r="C137" s="12">
        <f t="shared" si="1"/>
        <v>2022</v>
      </c>
      <c r="E137" s="12" t="s">
        <v>6</v>
      </c>
      <c r="F137" s="12">
        <v>142</v>
      </c>
    </row>
    <row r="138" spans="1:6" s="12" customFormat="1" x14ac:dyDescent="0.25">
      <c r="A138" s="12" t="s">
        <v>12</v>
      </c>
      <c r="B138" s="13">
        <v>44952</v>
      </c>
      <c r="C138" s="12">
        <f t="shared" si="1"/>
        <v>2023</v>
      </c>
      <c r="E138" s="12" t="s">
        <v>6</v>
      </c>
      <c r="F138" s="12">
        <v>61.4</v>
      </c>
    </row>
    <row r="139" spans="1:6" s="12" customFormat="1" x14ac:dyDescent="0.25">
      <c r="A139" s="12" t="s">
        <v>12</v>
      </c>
      <c r="B139" s="13">
        <v>44974</v>
      </c>
      <c r="C139" s="12">
        <f t="shared" si="1"/>
        <v>2023</v>
      </c>
      <c r="E139" s="12" t="s">
        <v>6</v>
      </c>
      <c r="F139" s="12">
        <v>67.8</v>
      </c>
    </row>
    <row r="140" spans="1:6" s="12" customFormat="1" x14ac:dyDescent="0.25">
      <c r="A140" s="12" t="s">
        <v>12</v>
      </c>
      <c r="B140" s="13">
        <v>44984</v>
      </c>
      <c r="C140" s="12">
        <f t="shared" si="1"/>
        <v>2023</v>
      </c>
      <c r="E140" s="12" t="s">
        <v>6</v>
      </c>
      <c r="F140" s="12">
        <v>73.099999999999994</v>
      </c>
    </row>
    <row r="141" spans="1:6" s="12" customFormat="1" x14ac:dyDescent="0.25">
      <c r="A141" s="12" t="s">
        <v>12</v>
      </c>
      <c r="B141" s="13">
        <v>45000</v>
      </c>
      <c r="C141" s="12">
        <f t="shared" si="1"/>
        <v>2023</v>
      </c>
      <c r="E141" s="12" t="s">
        <v>6</v>
      </c>
      <c r="F141" s="12">
        <v>78.099999999999994</v>
      </c>
    </row>
    <row r="142" spans="1:6" s="12" customFormat="1" x14ac:dyDescent="0.25">
      <c r="A142" s="12" t="s">
        <v>12</v>
      </c>
      <c r="B142" s="13">
        <v>45015</v>
      </c>
      <c r="C142" s="12">
        <f t="shared" si="1"/>
        <v>2023</v>
      </c>
      <c r="E142" s="12" t="s">
        <v>6</v>
      </c>
      <c r="F142" s="12">
        <v>84.1</v>
      </c>
    </row>
    <row r="143" spans="1:6" s="12" customFormat="1" x14ac:dyDescent="0.25">
      <c r="A143" s="12" t="s">
        <v>12</v>
      </c>
      <c r="B143" s="13">
        <v>45029</v>
      </c>
      <c r="C143" s="12">
        <f t="shared" si="1"/>
        <v>2023</v>
      </c>
      <c r="E143" s="12" t="s">
        <v>6</v>
      </c>
      <c r="F143" s="12">
        <v>89.9</v>
      </c>
    </row>
    <row r="144" spans="1:6" s="12" customFormat="1" x14ac:dyDescent="0.25">
      <c r="A144" s="12" t="s">
        <v>12</v>
      </c>
      <c r="B144" s="13">
        <v>45041</v>
      </c>
      <c r="C144" s="12">
        <f t="shared" si="1"/>
        <v>2023</v>
      </c>
      <c r="E144" s="12" t="s">
        <v>6</v>
      </c>
      <c r="F144" s="12">
        <v>95.9</v>
      </c>
    </row>
    <row r="145" spans="1:6" s="12" customFormat="1" x14ac:dyDescent="0.25">
      <c r="A145" s="12" t="s">
        <v>12</v>
      </c>
      <c r="B145" s="13">
        <v>45049</v>
      </c>
      <c r="C145" s="12">
        <f t="shared" si="1"/>
        <v>2023</v>
      </c>
      <c r="E145" s="12" t="s">
        <v>6</v>
      </c>
      <c r="F145" s="12">
        <v>97.4</v>
      </c>
    </row>
    <row r="146" spans="1:6" s="12" customFormat="1" x14ac:dyDescent="0.25">
      <c r="A146" s="12" t="s">
        <v>12</v>
      </c>
      <c r="B146" s="13">
        <v>45062</v>
      </c>
      <c r="C146" s="12">
        <f t="shared" si="1"/>
        <v>2023</v>
      </c>
      <c r="E146" s="12" t="s">
        <v>6</v>
      </c>
      <c r="F146" s="12">
        <v>97.8</v>
      </c>
    </row>
    <row r="147" spans="1:6" s="12" customFormat="1" x14ac:dyDescent="0.25">
      <c r="A147" s="12" t="s">
        <v>12</v>
      </c>
      <c r="B147" s="13">
        <v>45076</v>
      </c>
      <c r="C147" s="12">
        <f t="shared" si="1"/>
        <v>2023</v>
      </c>
      <c r="E147" s="12" t="s">
        <v>6</v>
      </c>
      <c r="F147" s="12">
        <v>99.8</v>
      </c>
    </row>
    <row r="148" spans="1:6" s="12" customFormat="1" x14ac:dyDescent="0.25">
      <c r="A148" s="12" t="s">
        <v>12</v>
      </c>
      <c r="B148" s="13">
        <v>45083</v>
      </c>
      <c r="C148" s="12">
        <f t="shared" si="1"/>
        <v>2023</v>
      </c>
      <c r="E148" s="12" t="s">
        <v>6</v>
      </c>
      <c r="F148" s="12">
        <v>109.6</v>
      </c>
    </row>
    <row r="149" spans="1:6" s="12" customFormat="1" x14ac:dyDescent="0.25">
      <c r="A149" s="12" t="s">
        <v>12</v>
      </c>
      <c r="B149" s="13">
        <v>45316</v>
      </c>
      <c r="C149" s="12">
        <f t="shared" si="1"/>
        <v>2024</v>
      </c>
      <c r="E149" s="12" t="s">
        <v>6</v>
      </c>
      <c r="F149" s="12">
        <v>57.1</v>
      </c>
    </row>
    <row r="150" spans="1:6" s="12" customFormat="1" x14ac:dyDescent="0.25">
      <c r="A150" s="12" t="s">
        <v>12</v>
      </c>
      <c r="B150" s="13">
        <v>45337</v>
      </c>
      <c r="C150" s="12">
        <f t="shared" si="1"/>
        <v>2024</v>
      </c>
      <c r="E150" s="12" t="s">
        <v>6</v>
      </c>
      <c r="F150" s="12">
        <v>71.099999999999994</v>
      </c>
    </row>
    <row r="151" spans="1:6" s="12" customFormat="1" x14ac:dyDescent="0.25">
      <c r="A151" s="12" t="s">
        <v>12</v>
      </c>
      <c r="B151" s="13">
        <v>45350</v>
      </c>
      <c r="C151" s="12">
        <f t="shared" si="1"/>
        <v>2024</v>
      </c>
      <c r="E151" s="12" t="s">
        <v>6</v>
      </c>
      <c r="F151" s="12">
        <v>77</v>
      </c>
    </row>
    <row r="152" spans="1:6" s="12" customFormat="1" x14ac:dyDescent="0.25">
      <c r="A152" s="12" t="s">
        <v>12</v>
      </c>
      <c r="B152" s="13">
        <v>45364</v>
      </c>
      <c r="C152" s="12">
        <f t="shared" si="1"/>
        <v>2024</v>
      </c>
      <c r="E152" s="12" t="s">
        <v>6</v>
      </c>
      <c r="F152" s="12">
        <v>83.1</v>
      </c>
    </row>
    <row r="153" spans="1:6" s="12" customFormat="1" x14ac:dyDescent="0.25">
      <c r="A153" s="12" t="s">
        <v>12</v>
      </c>
      <c r="B153" s="13">
        <v>45378</v>
      </c>
      <c r="C153" s="12">
        <f t="shared" si="1"/>
        <v>2024</v>
      </c>
      <c r="E153" s="12" t="s">
        <v>6</v>
      </c>
      <c r="F153" s="12">
        <v>87.3</v>
      </c>
    </row>
    <row r="154" spans="1:6" s="12" customFormat="1" x14ac:dyDescent="0.25">
      <c r="A154" s="12" t="s">
        <v>12</v>
      </c>
      <c r="B154" s="13">
        <v>45393</v>
      </c>
      <c r="C154" s="12">
        <f t="shared" si="1"/>
        <v>2024</v>
      </c>
      <c r="E154" s="12" t="s">
        <v>6</v>
      </c>
      <c r="F154" s="12">
        <v>86.6</v>
      </c>
    </row>
    <row r="155" spans="1:6" s="12" customFormat="1" x14ac:dyDescent="0.25">
      <c r="A155" s="12" t="s">
        <v>12</v>
      </c>
      <c r="B155" s="13">
        <v>45404</v>
      </c>
      <c r="C155" s="12">
        <f t="shared" si="1"/>
        <v>2024</v>
      </c>
      <c r="E155" s="12" t="s">
        <v>6</v>
      </c>
      <c r="F155" s="12">
        <v>90.1</v>
      </c>
    </row>
    <row r="156" spans="1:6" s="12" customFormat="1" x14ac:dyDescent="0.25">
      <c r="A156" s="12" t="s">
        <v>12</v>
      </c>
      <c r="B156" s="13">
        <v>45414</v>
      </c>
      <c r="C156" s="12">
        <f t="shared" si="1"/>
        <v>2024</v>
      </c>
      <c r="E156" s="12" t="s">
        <v>6</v>
      </c>
      <c r="F156" s="12">
        <v>99.7</v>
      </c>
    </row>
    <row r="157" spans="1:6" s="12" customFormat="1" x14ac:dyDescent="0.25">
      <c r="A157" s="12" t="s">
        <v>12</v>
      </c>
      <c r="B157" s="13">
        <v>45425</v>
      </c>
      <c r="C157" s="12">
        <f t="shared" si="1"/>
        <v>2024</v>
      </c>
      <c r="E157" s="12" t="s">
        <v>6</v>
      </c>
      <c r="F157" s="12">
        <v>101.1</v>
      </c>
    </row>
    <row r="158" spans="1:6" s="12" customFormat="1" x14ac:dyDescent="0.25">
      <c r="A158" s="12" t="s">
        <v>12</v>
      </c>
      <c r="B158" s="13">
        <v>45441</v>
      </c>
      <c r="C158" s="12">
        <f t="shared" si="1"/>
        <v>2024</v>
      </c>
      <c r="E158" s="12" t="s">
        <v>6</v>
      </c>
      <c r="F158" s="12">
        <v>100.3</v>
      </c>
    </row>
    <row r="159" spans="1:6" s="12" customFormat="1" x14ac:dyDescent="0.25">
      <c r="A159" s="12" t="s">
        <v>12</v>
      </c>
      <c r="B159" s="13">
        <v>45453</v>
      </c>
      <c r="C159" s="12">
        <f t="shared" si="1"/>
        <v>2024</v>
      </c>
      <c r="E159" s="12" t="s">
        <v>6</v>
      </c>
      <c r="F159" s="12">
        <v>97.4</v>
      </c>
    </row>
    <row r="161" spans="1:6" s="14" customFormat="1" x14ac:dyDescent="0.25">
      <c r="A161" s="14" t="s">
        <v>13</v>
      </c>
      <c r="B161" s="15">
        <v>45316</v>
      </c>
      <c r="C161" s="14">
        <f t="shared" si="1"/>
        <v>2024</v>
      </c>
      <c r="E161" s="14" t="s">
        <v>6</v>
      </c>
      <c r="F161" s="14">
        <v>64.400000000000006</v>
      </c>
    </row>
    <row r="162" spans="1:6" s="14" customFormat="1" x14ac:dyDescent="0.25">
      <c r="A162" s="14" t="s">
        <v>13</v>
      </c>
      <c r="B162" s="15">
        <v>45337</v>
      </c>
      <c r="C162" s="14">
        <f t="shared" si="1"/>
        <v>2024</v>
      </c>
      <c r="E162" s="14" t="s">
        <v>6</v>
      </c>
      <c r="F162" s="14">
        <v>68.599999999999994</v>
      </c>
    </row>
    <row r="163" spans="1:6" s="14" customFormat="1" x14ac:dyDescent="0.25">
      <c r="A163" s="14" t="s">
        <v>13</v>
      </c>
      <c r="B163" s="15">
        <v>45350</v>
      </c>
      <c r="C163" s="14">
        <f t="shared" si="1"/>
        <v>2024</v>
      </c>
      <c r="E163" s="14" t="s">
        <v>6</v>
      </c>
      <c r="F163" s="14">
        <v>86.5</v>
      </c>
    </row>
    <row r="164" spans="1:6" s="14" customFormat="1" x14ac:dyDescent="0.25">
      <c r="A164" s="14" t="s">
        <v>13</v>
      </c>
      <c r="B164" s="15">
        <v>45364</v>
      </c>
      <c r="C164" s="14">
        <f t="shared" si="1"/>
        <v>2024</v>
      </c>
      <c r="E164" s="14" t="s">
        <v>6</v>
      </c>
      <c r="F164" s="14">
        <v>90</v>
      </c>
    </row>
    <row r="165" spans="1:6" s="14" customFormat="1" x14ac:dyDescent="0.25">
      <c r="A165" s="14" t="s">
        <v>13</v>
      </c>
      <c r="B165" s="15">
        <v>45378</v>
      </c>
      <c r="C165" s="14">
        <f t="shared" si="1"/>
        <v>2024</v>
      </c>
      <c r="E165" s="14" t="s">
        <v>6</v>
      </c>
      <c r="F165" s="14">
        <v>98.4</v>
      </c>
    </row>
    <row r="166" spans="1:6" s="14" customFormat="1" x14ac:dyDescent="0.25">
      <c r="A166" s="14" t="s">
        <v>13</v>
      </c>
      <c r="B166" s="15">
        <v>45390</v>
      </c>
      <c r="C166" s="14">
        <f t="shared" si="1"/>
        <v>2024</v>
      </c>
      <c r="E166" s="14" t="s">
        <v>6</v>
      </c>
      <c r="F166" s="14">
        <v>102.7</v>
      </c>
    </row>
    <row r="167" spans="1:6" s="14" customFormat="1" x14ac:dyDescent="0.25">
      <c r="A167" s="14" t="s">
        <v>13</v>
      </c>
      <c r="B167" s="15">
        <v>45407</v>
      </c>
      <c r="C167" s="14">
        <f t="shared" si="1"/>
        <v>2024</v>
      </c>
      <c r="E167" s="14" t="s">
        <v>6</v>
      </c>
      <c r="F167" s="14">
        <v>102.3</v>
      </c>
    </row>
    <row r="168" spans="1:6" s="14" customFormat="1" x14ac:dyDescent="0.25">
      <c r="A168" s="14" t="s">
        <v>13</v>
      </c>
      <c r="B168" s="15">
        <v>45413</v>
      </c>
      <c r="C168" s="14">
        <f t="shared" si="1"/>
        <v>2024</v>
      </c>
      <c r="E168" s="14" t="s">
        <v>6</v>
      </c>
      <c r="F168" s="14">
        <v>103.9</v>
      </c>
    </row>
    <row r="169" spans="1:6" s="14" customFormat="1" x14ac:dyDescent="0.25">
      <c r="A169" s="14" t="s">
        <v>13</v>
      </c>
      <c r="B169" s="15">
        <v>45425</v>
      </c>
      <c r="C169" s="14">
        <f t="shared" si="1"/>
        <v>2024</v>
      </c>
      <c r="E169" s="14" t="s">
        <v>6</v>
      </c>
      <c r="F169" s="14">
        <v>100.2</v>
      </c>
    </row>
    <row r="170" spans="1:6" s="14" customFormat="1" x14ac:dyDescent="0.25">
      <c r="A170" s="14" t="s">
        <v>13</v>
      </c>
      <c r="B170" s="15">
        <v>45439</v>
      </c>
      <c r="C170" s="14">
        <f t="shared" si="1"/>
        <v>2024</v>
      </c>
      <c r="E170" s="14" t="s">
        <v>6</v>
      </c>
      <c r="F170" s="14">
        <v>103</v>
      </c>
    </row>
    <row r="171" spans="1:6" s="14" customFormat="1" x14ac:dyDescent="0.25">
      <c r="A171" s="14" t="s">
        <v>13</v>
      </c>
      <c r="B171" s="15">
        <v>45454</v>
      </c>
      <c r="C171" s="14">
        <f t="shared" si="1"/>
        <v>2024</v>
      </c>
      <c r="E171" s="14" t="s">
        <v>6</v>
      </c>
      <c r="F171" s="14">
        <v>101.2</v>
      </c>
    </row>
    <row r="173" spans="1:6" x14ac:dyDescent="0.25">
      <c r="A173" t="s">
        <v>14</v>
      </c>
      <c r="B173" s="7">
        <v>44603</v>
      </c>
      <c r="C173">
        <v>2022</v>
      </c>
      <c r="D173" s="7"/>
      <c r="E173" t="s">
        <v>6</v>
      </c>
      <c r="F173">
        <v>65.7</v>
      </c>
    </row>
    <row r="174" spans="1:6" x14ac:dyDescent="0.25">
      <c r="A174" t="s">
        <v>14</v>
      </c>
      <c r="B174" s="7">
        <v>44608</v>
      </c>
      <c r="C174">
        <v>2022</v>
      </c>
      <c r="E174" t="s">
        <v>6</v>
      </c>
      <c r="F174">
        <v>77</v>
      </c>
    </row>
    <row r="175" spans="1:6" x14ac:dyDescent="0.25">
      <c r="A175" t="s">
        <v>14</v>
      </c>
      <c r="B175" s="7">
        <v>44622</v>
      </c>
      <c r="C175">
        <v>2022</v>
      </c>
      <c r="E175" t="s">
        <v>6</v>
      </c>
      <c r="F175">
        <v>108.9</v>
      </c>
    </row>
    <row r="176" spans="1:6" x14ac:dyDescent="0.25">
      <c r="A176" t="s">
        <v>14</v>
      </c>
      <c r="B176" s="7">
        <v>44636</v>
      </c>
      <c r="C176">
        <v>2022</v>
      </c>
      <c r="E176" t="s">
        <v>6</v>
      </c>
      <c r="F176">
        <v>87.8</v>
      </c>
    </row>
    <row r="177" spans="1:6" x14ac:dyDescent="0.25">
      <c r="A177" t="s">
        <v>14</v>
      </c>
      <c r="B177" s="7">
        <v>44650</v>
      </c>
      <c r="C177">
        <v>2022</v>
      </c>
      <c r="E177" t="s">
        <v>6</v>
      </c>
      <c r="F177">
        <v>92</v>
      </c>
    </row>
    <row r="178" spans="1:6" x14ac:dyDescent="0.25">
      <c r="A178" t="s">
        <v>14</v>
      </c>
      <c r="B178" s="7">
        <v>44664</v>
      </c>
      <c r="C178">
        <v>2022</v>
      </c>
      <c r="E178" t="s">
        <v>6</v>
      </c>
      <c r="F178">
        <v>100</v>
      </c>
    </row>
    <row r="179" spans="1:6" x14ac:dyDescent="0.25">
      <c r="A179" t="s">
        <v>14</v>
      </c>
      <c r="B179" s="7">
        <v>44672</v>
      </c>
      <c r="C179">
        <v>2022</v>
      </c>
      <c r="E179" t="s">
        <v>6</v>
      </c>
      <c r="F179">
        <v>102.7</v>
      </c>
    </row>
    <row r="180" spans="1:6" x14ac:dyDescent="0.25">
      <c r="A180" t="s">
        <v>14</v>
      </c>
      <c r="B180" s="7">
        <v>44680</v>
      </c>
      <c r="C180">
        <v>2022</v>
      </c>
      <c r="E180" t="s">
        <v>6</v>
      </c>
      <c r="F180">
        <v>102.5</v>
      </c>
    </row>
    <row r="181" spans="1:6" x14ac:dyDescent="0.25">
      <c r="A181" t="s">
        <v>14</v>
      </c>
      <c r="B181" s="7">
        <v>44685</v>
      </c>
      <c r="C181">
        <v>2022</v>
      </c>
      <c r="E181" t="s">
        <v>6</v>
      </c>
      <c r="F181">
        <v>105.9</v>
      </c>
    </row>
    <row r="182" spans="1:6" x14ac:dyDescent="0.25">
      <c r="A182" t="s">
        <v>14</v>
      </c>
      <c r="B182" s="7">
        <v>44699</v>
      </c>
      <c r="C182">
        <v>2022</v>
      </c>
      <c r="E182" t="s">
        <v>6</v>
      </c>
      <c r="F182">
        <v>110.1</v>
      </c>
    </row>
    <row r="183" spans="1:6" x14ac:dyDescent="0.25">
      <c r="A183" t="s">
        <v>14</v>
      </c>
      <c r="B183" s="7">
        <v>44713</v>
      </c>
      <c r="C183">
        <v>2022</v>
      </c>
      <c r="E183" t="s">
        <v>6</v>
      </c>
      <c r="F183">
        <v>108.5</v>
      </c>
    </row>
    <row r="184" spans="1:6" x14ac:dyDescent="0.25">
      <c r="A184" t="s">
        <v>14</v>
      </c>
      <c r="B184" s="7">
        <v>44952</v>
      </c>
      <c r="C184">
        <v>2023</v>
      </c>
      <c r="E184" t="s">
        <v>6</v>
      </c>
      <c r="F184">
        <v>67.400000000000006</v>
      </c>
    </row>
    <row r="185" spans="1:6" x14ac:dyDescent="0.25">
      <c r="A185" t="s">
        <v>14</v>
      </c>
      <c r="B185" s="7">
        <v>44973</v>
      </c>
      <c r="C185">
        <v>2023</v>
      </c>
      <c r="E185" t="s">
        <v>6</v>
      </c>
      <c r="F185">
        <v>75.3</v>
      </c>
    </row>
    <row r="186" spans="1:6" x14ac:dyDescent="0.25">
      <c r="A186" t="s">
        <v>14</v>
      </c>
      <c r="B186" s="7">
        <v>44984</v>
      </c>
      <c r="C186">
        <v>2023</v>
      </c>
      <c r="E186" t="s">
        <v>6</v>
      </c>
      <c r="F186">
        <v>83.9</v>
      </c>
    </row>
    <row r="187" spans="1:6" x14ac:dyDescent="0.25">
      <c r="A187" t="s">
        <v>14</v>
      </c>
      <c r="B187" s="7">
        <v>45000</v>
      </c>
      <c r="C187">
        <v>2023</v>
      </c>
      <c r="E187" t="s">
        <v>6</v>
      </c>
      <c r="F187">
        <v>94.4</v>
      </c>
    </row>
    <row r="188" spans="1:6" x14ac:dyDescent="0.25">
      <c r="A188" t="s">
        <v>14</v>
      </c>
      <c r="B188" s="7">
        <v>45015</v>
      </c>
      <c r="C188">
        <v>2023</v>
      </c>
      <c r="E188" t="s">
        <v>6</v>
      </c>
      <c r="F188">
        <v>100.6</v>
      </c>
    </row>
    <row r="189" spans="1:6" x14ac:dyDescent="0.25">
      <c r="A189" t="s">
        <v>14</v>
      </c>
      <c r="B189" s="7">
        <v>45029</v>
      </c>
      <c r="C189">
        <v>2023</v>
      </c>
      <c r="E189" t="s">
        <v>6</v>
      </c>
      <c r="F189">
        <v>103</v>
      </c>
    </row>
    <row r="190" spans="1:6" x14ac:dyDescent="0.25">
      <c r="A190" t="s">
        <v>14</v>
      </c>
      <c r="B190" s="7">
        <v>45041</v>
      </c>
      <c r="C190">
        <v>2023</v>
      </c>
      <c r="E190" t="s">
        <v>6</v>
      </c>
      <c r="F190">
        <v>110.6</v>
      </c>
    </row>
    <row r="191" spans="1:6" x14ac:dyDescent="0.25">
      <c r="A191" t="s">
        <v>14</v>
      </c>
      <c r="B191" s="7">
        <v>45049</v>
      </c>
      <c r="C191">
        <v>2023</v>
      </c>
      <c r="E191" t="s">
        <v>6</v>
      </c>
      <c r="F191">
        <v>114.6</v>
      </c>
    </row>
    <row r="192" spans="1:6" x14ac:dyDescent="0.25">
      <c r="A192" t="s">
        <v>14</v>
      </c>
      <c r="B192" s="7">
        <v>45062</v>
      </c>
      <c r="C192">
        <v>2023</v>
      </c>
      <c r="E192" t="s">
        <v>6</v>
      </c>
      <c r="F192">
        <v>116.7</v>
      </c>
    </row>
    <row r="193" spans="1:6" x14ac:dyDescent="0.25">
      <c r="A193" t="s">
        <v>14</v>
      </c>
      <c r="B193" s="7">
        <v>45076</v>
      </c>
      <c r="C193">
        <v>2023</v>
      </c>
      <c r="E193" t="s">
        <v>6</v>
      </c>
      <c r="F193">
        <v>118.8</v>
      </c>
    </row>
    <row r="194" spans="1:6" x14ac:dyDescent="0.25">
      <c r="A194" t="s">
        <v>14</v>
      </c>
      <c r="B194" s="7">
        <v>45083</v>
      </c>
      <c r="C194">
        <v>2023</v>
      </c>
      <c r="E194" t="s">
        <v>6</v>
      </c>
      <c r="F194">
        <v>114.3</v>
      </c>
    </row>
    <row r="195" spans="1:6" x14ac:dyDescent="0.25">
      <c r="A195" t="s">
        <v>14</v>
      </c>
      <c r="B195" s="7">
        <v>45316</v>
      </c>
      <c r="C195">
        <v>2024</v>
      </c>
      <c r="E195" t="s">
        <v>6</v>
      </c>
      <c r="F195">
        <v>58</v>
      </c>
    </row>
    <row r="196" spans="1:6" x14ac:dyDescent="0.25">
      <c r="A196" t="s">
        <v>14</v>
      </c>
      <c r="B196" s="7">
        <v>45337</v>
      </c>
      <c r="C196">
        <v>2024</v>
      </c>
      <c r="E196" t="s">
        <v>6</v>
      </c>
      <c r="F196">
        <v>70.2</v>
      </c>
    </row>
    <row r="197" spans="1:6" x14ac:dyDescent="0.25">
      <c r="A197" t="s">
        <v>14</v>
      </c>
      <c r="B197" s="7">
        <v>45350</v>
      </c>
      <c r="C197">
        <v>2024</v>
      </c>
      <c r="E197" t="s">
        <v>6</v>
      </c>
      <c r="F197">
        <v>77.8</v>
      </c>
    </row>
    <row r="198" spans="1:6" x14ac:dyDescent="0.25">
      <c r="A198" t="s">
        <v>14</v>
      </c>
      <c r="B198" s="7">
        <v>45364</v>
      </c>
      <c r="C198">
        <v>2024</v>
      </c>
      <c r="E198" t="s">
        <v>6</v>
      </c>
      <c r="F198">
        <v>83.2</v>
      </c>
    </row>
    <row r="199" spans="1:6" x14ac:dyDescent="0.25">
      <c r="A199" t="s">
        <v>14</v>
      </c>
      <c r="B199" s="7">
        <v>45378</v>
      </c>
      <c r="C199">
        <v>2024</v>
      </c>
      <c r="E199" t="s">
        <v>6</v>
      </c>
      <c r="F199">
        <v>87</v>
      </c>
    </row>
    <row r="200" spans="1:6" x14ac:dyDescent="0.25">
      <c r="A200" t="s">
        <v>14</v>
      </c>
      <c r="B200" s="7">
        <v>45390</v>
      </c>
      <c r="C200">
        <v>2024</v>
      </c>
      <c r="E200" t="s">
        <v>6</v>
      </c>
      <c r="F200">
        <v>83.7</v>
      </c>
    </row>
    <row r="201" spans="1:6" x14ac:dyDescent="0.25">
      <c r="A201" t="s">
        <v>14</v>
      </c>
      <c r="B201" s="7">
        <v>45404</v>
      </c>
      <c r="C201">
        <v>2024</v>
      </c>
      <c r="E201" t="s">
        <v>6</v>
      </c>
      <c r="F201">
        <v>87</v>
      </c>
    </row>
    <row r="202" spans="1:6" x14ac:dyDescent="0.25">
      <c r="A202" t="s">
        <v>14</v>
      </c>
      <c r="B202" s="7">
        <v>45414</v>
      </c>
      <c r="C202">
        <v>2024</v>
      </c>
      <c r="E202" t="s">
        <v>6</v>
      </c>
      <c r="F202">
        <v>93</v>
      </c>
    </row>
    <row r="203" spans="1:6" x14ac:dyDescent="0.25">
      <c r="A203" t="s">
        <v>14</v>
      </c>
      <c r="B203" s="7">
        <v>45425</v>
      </c>
      <c r="C203">
        <v>2024</v>
      </c>
      <c r="E203" t="s">
        <v>6</v>
      </c>
      <c r="F203">
        <v>91</v>
      </c>
    </row>
    <row r="204" spans="1:6" x14ac:dyDescent="0.25">
      <c r="A204" t="s">
        <v>14</v>
      </c>
      <c r="B204" s="7">
        <v>45439</v>
      </c>
      <c r="C204">
        <v>2024</v>
      </c>
      <c r="E204" t="s">
        <v>6</v>
      </c>
      <c r="F204">
        <v>98.4</v>
      </c>
    </row>
    <row r="205" spans="1:6" x14ac:dyDescent="0.25">
      <c r="A205" t="s">
        <v>14</v>
      </c>
      <c r="B205" s="7">
        <v>45454</v>
      </c>
      <c r="C205">
        <v>2024</v>
      </c>
      <c r="E205" t="s">
        <v>6</v>
      </c>
      <c r="F205">
        <v>84.8</v>
      </c>
    </row>
    <row r="206" spans="1:6" x14ac:dyDescent="0.25">
      <c r="A206" t="s">
        <v>14</v>
      </c>
      <c r="B206" s="7">
        <v>44595</v>
      </c>
      <c r="C206">
        <v>2022</v>
      </c>
      <c r="E206" t="s">
        <v>6</v>
      </c>
      <c r="F206">
        <v>82.8</v>
      </c>
    </row>
    <row r="207" spans="1:6" x14ac:dyDescent="0.25">
      <c r="A207" t="s">
        <v>14</v>
      </c>
      <c r="B207" s="7">
        <v>44608</v>
      </c>
      <c r="C207">
        <v>2022</v>
      </c>
      <c r="E207" t="s">
        <v>6</v>
      </c>
      <c r="F207">
        <v>96.5</v>
      </c>
    </row>
    <row r="208" spans="1:6" x14ac:dyDescent="0.25">
      <c r="A208" t="s">
        <v>14</v>
      </c>
      <c r="B208" s="7">
        <v>44622</v>
      </c>
      <c r="C208">
        <v>2022</v>
      </c>
      <c r="E208" t="s">
        <v>6</v>
      </c>
      <c r="F208">
        <v>109</v>
      </c>
    </row>
    <row r="209" spans="1:6" x14ac:dyDescent="0.25">
      <c r="A209" t="s">
        <v>14</v>
      </c>
      <c r="B209" s="7">
        <v>44636</v>
      </c>
      <c r="C209">
        <v>2022</v>
      </c>
      <c r="E209" t="s">
        <v>6</v>
      </c>
      <c r="F209">
        <v>118.6</v>
      </c>
    </row>
    <row r="210" spans="1:6" x14ac:dyDescent="0.25">
      <c r="A210" t="s">
        <v>14</v>
      </c>
      <c r="B210" s="7">
        <v>44650</v>
      </c>
      <c r="C210">
        <v>2022</v>
      </c>
      <c r="E210" t="s">
        <v>6</v>
      </c>
      <c r="F210">
        <v>122</v>
      </c>
    </row>
    <row r="211" spans="1:6" x14ac:dyDescent="0.25">
      <c r="A211" t="s">
        <v>14</v>
      </c>
      <c r="B211" s="7">
        <v>44664</v>
      </c>
      <c r="C211">
        <v>2022</v>
      </c>
      <c r="E211" t="s">
        <v>6</v>
      </c>
      <c r="F211">
        <v>130.69999999999999</v>
      </c>
    </row>
    <row r="212" spans="1:6" x14ac:dyDescent="0.25">
      <c r="A212" t="s">
        <v>14</v>
      </c>
      <c r="B212" s="7">
        <v>44672</v>
      </c>
      <c r="C212">
        <v>2022</v>
      </c>
      <c r="E212" t="s">
        <v>6</v>
      </c>
      <c r="F212">
        <v>130.80000000000001</v>
      </c>
    </row>
    <row r="213" spans="1:6" x14ac:dyDescent="0.25">
      <c r="A213" t="s">
        <v>14</v>
      </c>
      <c r="B213" s="7">
        <v>44680</v>
      </c>
      <c r="C213">
        <v>2022</v>
      </c>
      <c r="E213" t="s">
        <v>6</v>
      </c>
      <c r="F213">
        <v>131.6</v>
      </c>
    </row>
    <row r="214" spans="1:6" x14ac:dyDescent="0.25">
      <c r="A214" t="s">
        <v>14</v>
      </c>
      <c r="B214" s="7">
        <v>44685</v>
      </c>
      <c r="C214">
        <v>2022</v>
      </c>
      <c r="E214" t="s">
        <v>6</v>
      </c>
      <c r="F214">
        <v>134.6</v>
      </c>
    </row>
    <row r="215" spans="1:6" x14ac:dyDescent="0.25">
      <c r="A215" t="s">
        <v>14</v>
      </c>
      <c r="B215" s="7">
        <v>44699</v>
      </c>
      <c r="C215">
        <v>2022</v>
      </c>
      <c r="E215" t="s">
        <v>6</v>
      </c>
      <c r="F215">
        <v>134.80000000000001</v>
      </c>
    </row>
    <row r="216" spans="1:6" x14ac:dyDescent="0.25">
      <c r="A216" t="s">
        <v>14</v>
      </c>
      <c r="B216" s="7">
        <v>44713</v>
      </c>
      <c r="C216">
        <v>2022</v>
      </c>
      <c r="E216" t="s">
        <v>6</v>
      </c>
      <c r="F216">
        <v>134.30000000000001</v>
      </c>
    </row>
    <row r="217" spans="1:6" x14ac:dyDescent="0.25">
      <c r="A217" t="s">
        <v>14</v>
      </c>
      <c r="B217" s="7">
        <v>44952</v>
      </c>
      <c r="C217">
        <v>2023</v>
      </c>
      <c r="E217" t="s">
        <v>6</v>
      </c>
      <c r="F217">
        <v>80</v>
      </c>
    </row>
    <row r="218" spans="1:6" x14ac:dyDescent="0.25">
      <c r="A218" t="s">
        <v>14</v>
      </c>
      <c r="B218" s="7">
        <v>44974</v>
      </c>
      <c r="C218">
        <v>2023</v>
      </c>
      <c r="E218" t="s">
        <v>6</v>
      </c>
      <c r="F218">
        <v>90.7</v>
      </c>
    </row>
    <row r="219" spans="1:6" x14ac:dyDescent="0.25">
      <c r="A219" t="s">
        <v>14</v>
      </c>
      <c r="B219" s="7">
        <v>44984</v>
      </c>
      <c r="C219">
        <v>2023</v>
      </c>
      <c r="E219" t="s">
        <v>6</v>
      </c>
      <c r="F219">
        <v>104.6</v>
      </c>
    </row>
    <row r="220" spans="1:6" x14ac:dyDescent="0.25">
      <c r="A220" t="s">
        <v>14</v>
      </c>
      <c r="B220" s="7">
        <v>45000</v>
      </c>
      <c r="C220">
        <v>2023</v>
      </c>
      <c r="E220" t="s">
        <v>6</v>
      </c>
      <c r="F220">
        <v>119.5</v>
      </c>
    </row>
    <row r="221" spans="1:6" x14ac:dyDescent="0.25">
      <c r="A221" t="s">
        <v>14</v>
      </c>
      <c r="B221" s="7">
        <v>45015</v>
      </c>
      <c r="C221">
        <v>2023</v>
      </c>
      <c r="E221" t="s">
        <v>6</v>
      </c>
      <c r="F221">
        <v>129.5</v>
      </c>
    </row>
    <row r="222" spans="1:6" x14ac:dyDescent="0.25">
      <c r="A222" t="s">
        <v>14</v>
      </c>
      <c r="B222" s="7">
        <v>45029</v>
      </c>
      <c r="C222">
        <v>2023</v>
      </c>
      <c r="E222" t="s">
        <v>6</v>
      </c>
      <c r="F222">
        <v>136.80000000000001</v>
      </c>
    </row>
    <row r="223" spans="1:6" x14ac:dyDescent="0.25">
      <c r="A223" t="s">
        <v>14</v>
      </c>
      <c r="B223" s="7">
        <v>45041</v>
      </c>
      <c r="C223">
        <v>2023</v>
      </c>
      <c r="E223" t="s">
        <v>6</v>
      </c>
      <c r="F223">
        <v>135.19999999999999</v>
      </c>
    </row>
    <row r="224" spans="1:6" x14ac:dyDescent="0.25">
      <c r="A224" t="s">
        <v>14</v>
      </c>
      <c r="B224" s="7">
        <v>45049</v>
      </c>
      <c r="C224">
        <v>2023</v>
      </c>
      <c r="E224" t="s">
        <v>6</v>
      </c>
      <c r="F224">
        <v>141.4</v>
      </c>
    </row>
    <row r="225" spans="1:6" x14ac:dyDescent="0.25">
      <c r="A225" t="s">
        <v>14</v>
      </c>
      <c r="B225" s="7">
        <v>45062</v>
      </c>
      <c r="C225">
        <v>2023</v>
      </c>
      <c r="E225" t="s">
        <v>6</v>
      </c>
      <c r="F225">
        <v>140.5</v>
      </c>
    </row>
    <row r="226" spans="1:6" x14ac:dyDescent="0.25">
      <c r="A226" t="s">
        <v>14</v>
      </c>
      <c r="B226" s="7">
        <v>45077</v>
      </c>
      <c r="C226">
        <v>2023</v>
      </c>
      <c r="E226" t="s">
        <v>6</v>
      </c>
      <c r="F226">
        <v>142.80000000000001</v>
      </c>
    </row>
    <row r="227" spans="1:6" x14ac:dyDescent="0.25">
      <c r="A227" t="s">
        <v>14</v>
      </c>
      <c r="B227" s="7">
        <v>45083</v>
      </c>
      <c r="C227">
        <v>2023</v>
      </c>
      <c r="E227" t="s">
        <v>6</v>
      </c>
      <c r="F227">
        <v>131</v>
      </c>
    </row>
    <row r="228" spans="1:6" x14ac:dyDescent="0.25">
      <c r="A228" t="s">
        <v>14</v>
      </c>
      <c r="B228" s="7">
        <v>44595</v>
      </c>
      <c r="C228">
        <v>2022</v>
      </c>
      <c r="D228" s="7"/>
      <c r="E228" t="s">
        <v>6</v>
      </c>
      <c r="F228">
        <v>73.099999999999994</v>
      </c>
    </row>
    <row r="229" spans="1:6" x14ac:dyDescent="0.25">
      <c r="A229" t="s">
        <v>14</v>
      </c>
      <c r="B229" s="7">
        <v>44608</v>
      </c>
      <c r="C229">
        <v>2022</v>
      </c>
      <c r="E229" t="s">
        <v>6</v>
      </c>
      <c r="F229">
        <v>85.9</v>
      </c>
    </row>
    <row r="230" spans="1:6" x14ac:dyDescent="0.25">
      <c r="A230" t="s">
        <v>14</v>
      </c>
      <c r="B230" s="7">
        <v>44622</v>
      </c>
      <c r="C230">
        <v>2022</v>
      </c>
      <c r="E230" t="s">
        <v>6</v>
      </c>
      <c r="F230">
        <v>91</v>
      </c>
    </row>
    <row r="231" spans="1:6" x14ac:dyDescent="0.25">
      <c r="A231" t="s">
        <v>14</v>
      </c>
      <c r="B231" s="7">
        <v>44636</v>
      </c>
      <c r="C231">
        <v>2022</v>
      </c>
      <c r="E231" t="s">
        <v>6</v>
      </c>
      <c r="F231">
        <v>102.2</v>
      </c>
    </row>
    <row r="232" spans="1:6" x14ac:dyDescent="0.25">
      <c r="A232" t="s">
        <v>14</v>
      </c>
      <c r="B232" s="7">
        <v>44650</v>
      </c>
      <c r="C232">
        <v>2022</v>
      </c>
      <c r="E232" t="s">
        <v>6</v>
      </c>
      <c r="F232">
        <v>107.1</v>
      </c>
    </row>
    <row r="233" spans="1:6" x14ac:dyDescent="0.25">
      <c r="A233" t="s">
        <v>14</v>
      </c>
      <c r="B233" s="7">
        <v>44664</v>
      </c>
      <c r="C233">
        <v>2022</v>
      </c>
      <c r="E233" t="s">
        <v>6</v>
      </c>
      <c r="F233">
        <v>113.7</v>
      </c>
    </row>
    <row r="234" spans="1:6" x14ac:dyDescent="0.25">
      <c r="A234" t="s">
        <v>14</v>
      </c>
      <c r="B234" s="7">
        <v>44673</v>
      </c>
      <c r="C234">
        <v>2022</v>
      </c>
      <c r="E234" t="s">
        <v>6</v>
      </c>
      <c r="F234">
        <v>111.4</v>
      </c>
    </row>
    <row r="235" spans="1:6" x14ac:dyDescent="0.25">
      <c r="A235" t="s">
        <v>14</v>
      </c>
      <c r="B235" s="7">
        <v>44680</v>
      </c>
      <c r="C235">
        <v>2022</v>
      </c>
      <c r="E235" t="s">
        <v>6</v>
      </c>
      <c r="F235">
        <v>118.6</v>
      </c>
    </row>
    <row r="236" spans="1:6" x14ac:dyDescent="0.25">
      <c r="A236" t="s">
        <v>14</v>
      </c>
      <c r="B236" s="7">
        <v>44685</v>
      </c>
      <c r="C236">
        <v>2022</v>
      </c>
      <c r="E236" t="s">
        <v>6</v>
      </c>
      <c r="F236">
        <v>120.7</v>
      </c>
    </row>
    <row r="237" spans="1:6" x14ac:dyDescent="0.25">
      <c r="A237" t="s">
        <v>14</v>
      </c>
      <c r="B237" s="7">
        <v>44699</v>
      </c>
      <c r="C237">
        <v>2022</v>
      </c>
      <c r="E237" t="s">
        <v>6</v>
      </c>
      <c r="F237">
        <v>127</v>
      </c>
    </row>
    <row r="238" spans="1:6" x14ac:dyDescent="0.25">
      <c r="A238" t="s">
        <v>14</v>
      </c>
      <c r="B238" s="7">
        <v>44713</v>
      </c>
      <c r="C238">
        <v>2022</v>
      </c>
      <c r="E238" t="s">
        <v>6</v>
      </c>
      <c r="F238">
        <v>126.8</v>
      </c>
    </row>
    <row r="239" spans="1:6" x14ac:dyDescent="0.25">
      <c r="A239" t="s">
        <v>14</v>
      </c>
      <c r="B239" s="7">
        <v>44952</v>
      </c>
      <c r="C239">
        <v>2023</v>
      </c>
      <c r="E239" t="s">
        <v>6</v>
      </c>
      <c r="F239">
        <v>75.400000000000006</v>
      </c>
    </row>
    <row r="240" spans="1:6" x14ac:dyDescent="0.25">
      <c r="A240" t="s">
        <v>14</v>
      </c>
      <c r="B240" s="7">
        <v>44973</v>
      </c>
      <c r="C240">
        <v>2023</v>
      </c>
      <c r="E240" t="s">
        <v>6</v>
      </c>
      <c r="F240">
        <v>86.8</v>
      </c>
    </row>
    <row r="241" spans="1:6" x14ac:dyDescent="0.25">
      <c r="A241" t="s">
        <v>14</v>
      </c>
      <c r="B241" s="7">
        <v>44987</v>
      </c>
      <c r="C241">
        <v>2023</v>
      </c>
      <c r="E241" t="s">
        <v>6</v>
      </c>
      <c r="F241">
        <v>93.7</v>
      </c>
    </row>
    <row r="242" spans="1:6" x14ac:dyDescent="0.25">
      <c r="A242" t="s">
        <v>14</v>
      </c>
      <c r="B242" s="7">
        <v>45001</v>
      </c>
      <c r="C242">
        <v>2023</v>
      </c>
      <c r="E242" t="s">
        <v>6</v>
      </c>
      <c r="F242">
        <v>104.6</v>
      </c>
    </row>
    <row r="243" spans="1:6" x14ac:dyDescent="0.25">
      <c r="A243" t="s">
        <v>14</v>
      </c>
      <c r="B243" s="7">
        <v>45014</v>
      </c>
      <c r="C243">
        <v>2023</v>
      </c>
      <c r="E243" t="s">
        <v>6</v>
      </c>
      <c r="F243">
        <v>114.6</v>
      </c>
    </row>
    <row r="244" spans="1:6" x14ac:dyDescent="0.25">
      <c r="A244" t="s">
        <v>14</v>
      </c>
      <c r="B244" s="7">
        <v>45029</v>
      </c>
      <c r="C244">
        <v>2023</v>
      </c>
      <c r="E244" t="s">
        <v>6</v>
      </c>
      <c r="F244">
        <v>128.6</v>
      </c>
    </row>
    <row r="245" spans="1:6" x14ac:dyDescent="0.25">
      <c r="A245" t="s">
        <v>14</v>
      </c>
      <c r="B245" s="7">
        <v>45041</v>
      </c>
      <c r="C245">
        <v>2023</v>
      </c>
      <c r="E245" t="s">
        <v>6</v>
      </c>
      <c r="F245">
        <v>129.6</v>
      </c>
    </row>
    <row r="246" spans="1:6" x14ac:dyDescent="0.25">
      <c r="A246" t="s">
        <v>14</v>
      </c>
      <c r="B246" s="7">
        <v>45049</v>
      </c>
      <c r="C246">
        <v>2023</v>
      </c>
      <c r="E246" t="s">
        <v>6</v>
      </c>
      <c r="F246">
        <v>138.69999999999999</v>
      </c>
    </row>
    <row r="247" spans="1:6" x14ac:dyDescent="0.25">
      <c r="A247" t="s">
        <v>14</v>
      </c>
      <c r="B247" s="7">
        <v>45062</v>
      </c>
      <c r="C247">
        <v>2023</v>
      </c>
      <c r="E247" t="s">
        <v>6</v>
      </c>
      <c r="F247">
        <v>136.9</v>
      </c>
    </row>
    <row r="248" spans="1:6" x14ac:dyDescent="0.25">
      <c r="A248" t="s">
        <v>14</v>
      </c>
      <c r="B248" s="7">
        <v>45076</v>
      </c>
      <c r="C248">
        <v>2023</v>
      </c>
      <c r="E248" t="s">
        <v>6</v>
      </c>
      <c r="F248">
        <v>131.5</v>
      </c>
    </row>
    <row r="249" spans="1:6" x14ac:dyDescent="0.25">
      <c r="A249" t="s">
        <v>14</v>
      </c>
      <c r="B249" s="7">
        <v>45083</v>
      </c>
      <c r="C249">
        <v>2023</v>
      </c>
      <c r="E249" t="s">
        <v>6</v>
      </c>
      <c r="F249">
        <v>133</v>
      </c>
    </row>
    <row r="250" spans="1:6" x14ac:dyDescent="0.25">
      <c r="A250" t="s">
        <v>14</v>
      </c>
      <c r="B250" s="7">
        <v>45314</v>
      </c>
      <c r="C250">
        <v>2024</v>
      </c>
      <c r="E250" t="s">
        <v>6</v>
      </c>
      <c r="F250">
        <v>65.2</v>
      </c>
    </row>
    <row r="251" spans="1:6" x14ac:dyDescent="0.25">
      <c r="A251" t="s">
        <v>14</v>
      </c>
      <c r="B251" s="7">
        <v>45337</v>
      </c>
      <c r="C251">
        <v>2024</v>
      </c>
      <c r="E251" t="s">
        <v>6</v>
      </c>
      <c r="F251">
        <v>83.2</v>
      </c>
    </row>
    <row r="252" spans="1:6" x14ac:dyDescent="0.25">
      <c r="A252" t="s">
        <v>14</v>
      </c>
      <c r="B252" s="7">
        <v>45348</v>
      </c>
      <c r="C252">
        <v>2024</v>
      </c>
      <c r="E252" t="s">
        <v>6</v>
      </c>
      <c r="F252">
        <v>84.1</v>
      </c>
    </row>
    <row r="253" spans="1:6" x14ac:dyDescent="0.25">
      <c r="A253" t="s">
        <v>14</v>
      </c>
      <c r="B253" s="7">
        <v>45365</v>
      </c>
      <c r="C253">
        <v>2024</v>
      </c>
      <c r="E253" t="s">
        <v>6</v>
      </c>
      <c r="F253">
        <v>93.8</v>
      </c>
    </row>
    <row r="254" spans="1:6" x14ac:dyDescent="0.25">
      <c r="A254" t="s">
        <v>14</v>
      </c>
      <c r="B254" s="7">
        <v>45379</v>
      </c>
      <c r="C254">
        <v>2024</v>
      </c>
      <c r="E254" t="s">
        <v>6</v>
      </c>
      <c r="F254">
        <v>99.2</v>
      </c>
    </row>
    <row r="255" spans="1:6" x14ac:dyDescent="0.25">
      <c r="A255" t="s">
        <v>14</v>
      </c>
      <c r="B255" s="7">
        <v>45393</v>
      </c>
      <c r="C255">
        <v>2024</v>
      </c>
      <c r="E255" t="s">
        <v>6</v>
      </c>
      <c r="F255">
        <v>103.7</v>
      </c>
    </row>
    <row r="256" spans="1:6" x14ac:dyDescent="0.25">
      <c r="A256" t="s">
        <v>14</v>
      </c>
      <c r="B256" s="7">
        <v>45407</v>
      </c>
      <c r="C256">
        <v>2024</v>
      </c>
      <c r="E256" t="s">
        <v>6</v>
      </c>
      <c r="F256">
        <v>108.9</v>
      </c>
    </row>
    <row r="257" spans="1:6" x14ac:dyDescent="0.25">
      <c r="A257" t="s">
        <v>14</v>
      </c>
      <c r="B257" s="7">
        <v>45414</v>
      </c>
      <c r="C257">
        <v>2024</v>
      </c>
      <c r="E257" t="s">
        <v>6</v>
      </c>
      <c r="F257">
        <v>117.1</v>
      </c>
    </row>
    <row r="258" spans="1:6" x14ac:dyDescent="0.25">
      <c r="A258" t="s">
        <v>14</v>
      </c>
      <c r="B258" s="7">
        <v>45425</v>
      </c>
      <c r="C258">
        <v>2024</v>
      </c>
      <c r="E258" t="s">
        <v>6</v>
      </c>
      <c r="F258">
        <v>113.1</v>
      </c>
    </row>
    <row r="259" spans="1:6" x14ac:dyDescent="0.25">
      <c r="A259" t="s">
        <v>14</v>
      </c>
      <c r="B259" s="7">
        <v>45441</v>
      </c>
      <c r="C259">
        <v>2024</v>
      </c>
      <c r="E259" t="s">
        <v>6</v>
      </c>
      <c r="F259">
        <v>115.1</v>
      </c>
    </row>
    <row r="260" spans="1:6" x14ac:dyDescent="0.25">
      <c r="A260" t="s">
        <v>14</v>
      </c>
      <c r="B260" s="7">
        <v>45453</v>
      </c>
      <c r="C260">
        <v>2024</v>
      </c>
      <c r="E260" t="s">
        <v>6</v>
      </c>
      <c r="F260">
        <v>114.5</v>
      </c>
    </row>
    <row r="261" spans="1:6" x14ac:dyDescent="0.25">
      <c r="A261" t="s">
        <v>14</v>
      </c>
      <c r="B261" s="7">
        <v>44595</v>
      </c>
      <c r="C261">
        <f>YEAR((B261))</f>
        <v>2022</v>
      </c>
      <c r="E261" t="s">
        <v>6</v>
      </c>
      <c r="F261">
        <v>69.599999999999994</v>
      </c>
    </row>
    <row r="262" spans="1:6" x14ac:dyDescent="0.25">
      <c r="A262" t="s">
        <v>14</v>
      </c>
      <c r="B262" s="7">
        <v>44608</v>
      </c>
      <c r="C262">
        <f t="shared" ref="C262:C293" si="2">YEAR((B262))</f>
        <v>2022</v>
      </c>
      <c r="E262" t="s">
        <v>6</v>
      </c>
      <c r="F262">
        <v>80.2</v>
      </c>
    </row>
    <row r="263" spans="1:6" x14ac:dyDescent="0.25">
      <c r="A263" t="s">
        <v>14</v>
      </c>
      <c r="B263" s="7">
        <v>44622</v>
      </c>
      <c r="C263">
        <f t="shared" si="2"/>
        <v>2022</v>
      </c>
      <c r="E263" t="s">
        <v>6</v>
      </c>
      <c r="F263">
        <v>85.8</v>
      </c>
    </row>
    <row r="264" spans="1:6" x14ac:dyDescent="0.25">
      <c r="A264" t="s">
        <v>14</v>
      </c>
      <c r="B264" s="7">
        <v>44636</v>
      </c>
      <c r="C264">
        <f t="shared" si="2"/>
        <v>2022</v>
      </c>
      <c r="E264" t="s">
        <v>6</v>
      </c>
      <c r="F264">
        <v>96.4</v>
      </c>
    </row>
    <row r="265" spans="1:6" x14ac:dyDescent="0.25">
      <c r="A265" t="s">
        <v>14</v>
      </c>
      <c r="B265" s="7">
        <v>44650</v>
      </c>
      <c r="C265">
        <f t="shared" si="2"/>
        <v>2022</v>
      </c>
      <c r="E265" t="s">
        <v>6</v>
      </c>
      <c r="F265">
        <v>106.7</v>
      </c>
    </row>
    <row r="266" spans="1:6" x14ac:dyDescent="0.25">
      <c r="A266" t="s">
        <v>14</v>
      </c>
      <c r="B266" s="7">
        <v>44664</v>
      </c>
      <c r="C266">
        <f t="shared" si="2"/>
        <v>2022</v>
      </c>
      <c r="E266" t="s">
        <v>6</v>
      </c>
      <c r="F266">
        <v>114</v>
      </c>
    </row>
    <row r="267" spans="1:6" x14ac:dyDescent="0.25">
      <c r="A267" t="s">
        <v>14</v>
      </c>
      <c r="B267" s="7">
        <v>44673</v>
      </c>
      <c r="C267">
        <f t="shared" si="2"/>
        <v>2022</v>
      </c>
      <c r="E267" t="s">
        <v>6</v>
      </c>
      <c r="F267">
        <v>111.3</v>
      </c>
    </row>
    <row r="268" spans="1:6" x14ac:dyDescent="0.25">
      <c r="A268" t="s">
        <v>14</v>
      </c>
      <c r="B268" s="7">
        <v>44680</v>
      </c>
      <c r="C268">
        <f t="shared" si="2"/>
        <v>2022</v>
      </c>
      <c r="E268" t="s">
        <v>6</v>
      </c>
      <c r="F268">
        <v>109.8</v>
      </c>
    </row>
    <row r="269" spans="1:6" x14ac:dyDescent="0.25">
      <c r="A269" t="s">
        <v>14</v>
      </c>
      <c r="B269" s="7">
        <v>44685</v>
      </c>
      <c r="C269">
        <f>YEAR((B269))</f>
        <v>2022</v>
      </c>
      <c r="E269" t="s">
        <v>6</v>
      </c>
      <c r="F269">
        <v>112.7</v>
      </c>
    </row>
    <row r="270" spans="1:6" x14ac:dyDescent="0.25">
      <c r="A270" t="s">
        <v>14</v>
      </c>
      <c r="B270" s="7">
        <v>44699</v>
      </c>
      <c r="C270">
        <f t="shared" si="2"/>
        <v>2022</v>
      </c>
      <c r="E270" t="s">
        <v>6</v>
      </c>
      <c r="F270">
        <v>115.6</v>
      </c>
    </row>
    <row r="271" spans="1:6" x14ac:dyDescent="0.25">
      <c r="A271" t="s">
        <v>14</v>
      </c>
      <c r="B271" s="7">
        <v>44713</v>
      </c>
      <c r="C271">
        <f t="shared" si="2"/>
        <v>2022</v>
      </c>
      <c r="E271" t="s">
        <v>6</v>
      </c>
      <c r="F271">
        <v>117.9</v>
      </c>
    </row>
    <row r="272" spans="1:6" x14ac:dyDescent="0.25">
      <c r="A272" t="s">
        <v>14</v>
      </c>
      <c r="B272" s="7">
        <v>44950</v>
      </c>
      <c r="C272">
        <f t="shared" si="2"/>
        <v>2023</v>
      </c>
      <c r="E272" t="s">
        <v>6</v>
      </c>
      <c r="F272">
        <v>63.7</v>
      </c>
    </row>
    <row r="273" spans="1:6" x14ac:dyDescent="0.25">
      <c r="A273" t="s">
        <v>14</v>
      </c>
      <c r="B273" s="7">
        <v>44974</v>
      </c>
      <c r="C273">
        <f t="shared" si="2"/>
        <v>2023</v>
      </c>
      <c r="E273" t="s">
        <v>6</v>
      </c>
      <c r="F273">
        <v>72.7</v>
      </c>
    </row>
    <row r="274" spans="1:6" x14ac:dyDescent="0.25">
      <c r="A274" t="s">
        <v>14</v>
      </c>
      <c r="B274" s="7">
        <v>44987</v>
      </c>
      <c r="C274">
        <f t="shared" si="2"/>
        <v>2023</v>
      </c>
      <c r="E274" t="s">
        <v>6</v>
      </c>
      <c r="F274">
        <v>78.599999999999994</v>
      </c>
    </row>
    <row r="275" spans="1:6" x14ac:dyDescent="0.25">
      <c r="A275" t="s">
        <v>14</v>
      </c>
      <c r="B275" s="7">
        <v>45001</v>
      </c>
      <c r="C275">
        <f t="shared" si="2"/>
        <v>2023</v>
      </c>
      <c r="E275" t="s">
        <v>6</v>
      </c>
      <c r="F275">
        <v>86.5</v>
      </c>
    </row>
    <row r="276" spans="1:6" x14ac:dyDescent="0.25">
      <c r="A276" t="s">
        <v>14</v>
      </c>
      <c r="B276" s="7">
        <v>45014</v>
      </c>
      <c r="C276">
        <f t="shared" si="2"/>
        <v>2023</v>
      </c>
      <c r="E276" t="s">
        <v>6</v>
      </c>
      <c r="F276">
        <v>95.4</v>
      </c>
    </row>
    <row r="277" spans="1:6" x14ac:dyDescent="0.25">
      <c r="A277" t="s">
        <v>14</v>
      </c>
      <c r="B277" s="7">
        <v>45031</v>
      </c>
      <c r="C277">
        <f t="shared" si="2"/>
        <v>2023</v>
      </c>
      <c r="E277" t="s">
        <v>6</v>
      </c>
      <c r="F277">
        <v>101.4</v>
      </c>
    </row>
    <row r="278" spans="1:6" x14ac:dyDescent="0.25">
      <c r="A278" t="s">
        <v>14</v>
      </c>
      <c r="B278" s="7">
        <v>45041</v>
      </c>
      <c r="C278">
        <f t="shared" si="2"/>
        <v>2023</v>
      </c>
      <c r="E278" t="s">
        <v>6</v>
      </c>
      <c r="F278">
        <v>108</v>
      </c>
    </row>
    <row r="279" spans="1:6" x14ac:dyDescent="0.25">
      <c r="A279" t="s">
        <v>14</v>
      </c>
      <c r="B279" s="7">
        <v>45049</v>
      </c>
      <c r="C279">
        <f t="shared" si="2"/>
        <v>2023</v>
      </c>
      <c r="E279" t="s">
        <v>6</v>
      </c>
      <c r="F279">
        <v>112.4</v>
      </c>
    </row>
    <row r="280" spans="1:6" x14ac:dyDescent="0.25">
      <c r="A280" t="s">
        <v>14</v>
      </c>
      <c r="B280" s="7">
        <v>45062</v>
      </c>
      <c r="C280">
        <f t="shared" si="2"/>
        <v>2023</v>
      </c>
      <c r="E280" t="s">
        <v>6</v>
      </c>
      <c r="F280">
        <v>117.5</v>
      </c>
    </row>
    <row r="281" spans="1:6" x14ac:dyDescent="0.25">
      <c r="A281" t="s">
        <v>14</v>
      </c>
      <c r="B281" s="7">
        <v>45077</v>
      </c>
      <c r="C281">
        <f t="shared" si="2"/>
        <v>2023</v>
      </c>
      <c r="E281" t="s">
        <v>6</v>
      </c>
      <c r="F281">
        <v>116.8</v>
      </c>
    </row>
    <row r="282" spans="1:6" x14ac:dyDescent="0.25">
      <c r="A282" t="s">
        <v>14</v>
      </c>
      <c r="B282" s="7">
        <v>45083</v>
      </c>
      <c r="C282">
        <f t="shared" si="2"/>
        <v>2023</v>
      </c>
      <c r="E282" t="s">
        <v>6</v>
      </c>
      <c r="F282">
        <v>113.2</v>
      </c>
    </row>
    <row r="283" spans="1:6" x14ac:dyDescent="0.25">
      <c r="A283" t="s">
        <v>14</v>
      </c>
      <c r="B283" s="7">
        <v>45314</v>
      </c>
      <c r="C283">
        <f t="shared" si="2"/>
        <v>2024</v>
      </c>
      <c r="E283" t="s">
        <v>6</v>
      </c>
      <c r="F283">
        <v>59.9</v>
      </c>
    </row>
    <row r="284" spans="1:6" x14ac:dyDescent="0.25">
      <c r="A284" t="s">
        <v>14</v>
      </c>
      <c r="B284" s="7">
        <v>45336</v>
      </c>
      <c r="C284">
        <f t="shared" si="2"/>
        <v>2024</v>
      </c>
      <c r="E284" t="s">
        <v>6</v>
      </c>
      <c r="F284">
        <v>66.7</v>
      </c>
    </row>
    <row r="285" spans="1:6" x14ac:dyDescent="0.25">
      <c r="A285" t="s">
        <v>14</v>
      </c>
      <c r="B285" s="7">
        <v>45348</v>
      </c>
      <c r="C285">
        <f t="shared" si="2"/>
        <v>2024</v>
      </c>
      <c r="E285" t="s">
        <v>6</v>
      </c>
      <c r="F285">
        <v>74.900000000000006</v>
      </c>
    </row>
    <row r="286" spans="1:6" x14ac:dyDescent="0.25">
      <c r="A286" t="s">
        <v>14</v>
      </c>
      <c r="B286" s="7">
        <v>45365</v>
      </c>
      <c r="C286">
        <f t="shared" si="2"/>
        <v>2024</v>
      </c>
      <c r="E286" t="s">
        <v>6</v>
      </c>
      <c r="F286">
        <v>85.1</v>
      </c>
    </row>
    <row r="287" spans="1:6" x14ac:dyDescent="0.25">
      <c r="A287" t="s">
        <v>14</v>
      </c>
      <c r="B287" s="7">
        <v>45379</v>
      </c>
      <c r="C287">
        <f t="shared" si="2"/>
        <v>2024</v>
      </c>
      <c r="E287" t="s">
        <v>6</v>
      </c>
      <c r="F287">
        <v>90.7</v>
      </c>
    </row>
    <row r="288" spans="1:6" x14ac:dyDescent="0.25">
      <c r="A288" t="s">
        <v>14</v>
      </c>
      <c r="B288" s="7">
        <v>45390</v>
      </c>
      <c r="C288">
        <f t="shared" si="2"/>
        <v>2024</v>
      </c>
      <c r="E288" t="s">
        <v>6</v>
      </c>
      <c r="F288">
        <v>91.8</v>
      </c>
    </row>
    <row r="289" spans="1:6" x14ac:dyDescent="0.25">
      <c r="A289" t="s">
        <v>14</v>
      </c>
      <c r="B289" s="7">
        <v>45404</v>
      </c>
      <c r="C289">
        <f t="shared" si="2"/>
        <v>2024</v>
      </c>
      <c r="E289" t="s">
        <v>6</v>
      </c>
      <c r="F289">
        <v>98.2</v>
      </c>
    </row>
    <row r="290" spans="1:6" x14ac:dyDescent="0.25">
      <c r="A290" t="s">
        <v>14</v>
      </c>
      <c r="B290" s="7">
        <v>45413</v>
      </c>
      <c r="C290">
        <f t="shared" si="2"/>
        <v>2024</v>
      </c>
      <c r="E290" t="s">
        <v>6</v>
      </c>
      <c r="F290">
        <v>101.7</v>
      </c>
    </row>
    <row r="291" spans="1:6" x14ac:dyDescent="0.25">
      <c r="A291" t="s">
        <v>14</v>
      </c>
      <c r="B291" s="7">
        <v>45425</v>
      </c>
      <c r="C291">
        <f t="shared" si="2"/>
        <v>2024</v>
      </c>
      <c r="E291" t="s">
        <v>6</v>
      </c>
      <c r="F291">
        <v>103.3</v>
      </c>
    </row>
    <row r="292" spans="1:6" x14ac:dyDescent="0.25">
      <c r="A292" t="s">
        <v>14</v>
      </c>
      <c r="B292" s="7">
        <v>45441</v>
      </c>
      <c r="C292">
        <f t="shared" si="2"/>
        <v>2024</v>
      </c>
      <c r="E292" t="s">
        <v>6</v>
      </c>
      <c r="F292">
        <v>99.2</v>
      </c>
    </row>
    <row r="293" spans="1:6" x14ac:dyDescent="0.25">
      <c r="A293" t="s">
        <v>14</v>
      </c>
      <c r="B293" s="7">
        <v>45453</v>
      </c>
      <c r="C293">
        <f t="shared" si="2"/>
        <v>2024</v>
      </c>
      <c r="E293" t="s">
        <v>6</v>
      </c>
      <c r="F293">
        <v>99.8</v>
      </c>
    </row>
    <row r="294" spans="1:6" x14ac:dyDescent="0.25">
      <c r="A294" t="s">
        <v>14</v>
      </c>
      <c r="B294" s="7">
        <v>44595</v>
      </c>
      <c r="C294">
        <f>YEAR(B294)</f>
        <v>2022</v>
      </c>
      <c r="E294" t="s">
        <v>6</v>
      </c>
      <c r="F294">
        <v>83.4</v>
      </c>
    </row>
    <row r="295" spans="1:6" x14ac:dyDescent="0.25">
      <c r="A295" t="s">
        <v>14</v>
      </c>
      <c r="B295" s="7">
        <v>44608</v>
      </c>
      <c r="C295">
        <f t="shared" ref="C295:C357" si="3">YEAR(B295)</f>
        <v>2022</v>
      </c>
      <c r="E295" t="s">
        <v>6</v>
      </c>
      <c r="F295">
        <v>94.3</v>
      </c>
    </row>
    <row r="296" spans="1:6" x14ac:dyDescent="0.25">
      <c r="A296" t="s">
        <v>14</v>
      </c>
      <c r="B296" s="7">
        <v>44622</v>
      </c>
      <c r="C296">
        <f t="shared" si="3"/>
        <v>2022</v>
      </c>
      <c r="E296" t="s">
        <v>6</v>
      </c>
      <c r="F296">
        <v>102.9</v>
      </c>
    </row>
    <row r="297" spans="1:6" x14ac:dyDescent="0.25">
      <c r="A297" t="s">
        <v>14</v>
      </c>
      <c r="B297" s="7">
        <v>44636</v>
      </c>
      <c r="C297">
        <f t="shared" si="3"/>
        <v>2022</v>
      </c>
      <c r="E297" t="s">
        <v>6</v>
      </c>
      <c r="F297">
        <v>104</v>
      </c>
    </row>
    <row r="298" spans="1:6" x14ac:dyDescent="0.25">
      <c r="A298" t="s">
        <v>14</v>
      </c>
      <c r="B298" s="7">
        <v>44650</v>
      </c>
      <c r="C298">
        <f t="shared" si="3"/>
        <v>2022</v>
      </c>
      <c r="E298" t="s">
        <v>6</v>
      </c>
      <c r="F298">
        <v>113.4</v>
      </c>
    </row>
    <row r="299" spans="1:6" x14ac:dyDescent="0.25">
      <c r="A299" t="s">
        <v>14</v>
      </c>
      <c r="B299" s="7">
        <v>44664</v>
      </c>
      <c r="C299">
        <f t="shared" si="3"/>
        <v>2022</v>
      </c>
      <c r="E299" t="s">
        <v>6</v>
      </c>
      <c r="F299">
        <v>125.8</v>
      </c>
    </row>
    <row r="300" spans="1:6" x14ac:dyDescent="0.25">
      <c r="A300" t="s">
        <v>14</v>
      </c>
      <c r="B300" s="7">
        <v>44672</v>
      </c>
      <c r="C300">
        <f t="shared" si="3"/>
        <v>2022</v>
      </c>
      <c r="E300" t="s">
        <v>6</v>
      </c>
      <c r="F300">
        <v>132.9</v>
      </c>
    </row>
    <row r="301" spans="1:6" x14ac:dyDescent="0.25">
      <c r="A301" t="s">
        <v>14</v>
      </c>
      <c r="B301" s="7">
        <v>44680</v>
      </c>
      <c r="C301">
        <f t="shared" si="3"/>
        <v>2022</v>
      </c>
      <c r="E301" t="s">
        <v>6</v>
      </c>
      <c r="F301">
        <v>139.80000000000001</v>
      </c>
    </row>
    <row r="302" spans="1:6" x14ac:dyDescent="0.25">
      <c r="A302" t="s">
        <v>14</v>
      </c>
      <c r="B302" s="7">
        <v>44685</v>
      </c>
      <c r="C302">
        <f t="shared" si="3"/>
        <v>2022</v>
      </c>
      <c r="E302" t="s">
        <v>6</v>
      </c>
      <c r="F302">
        <v>135.1</v>
      </c>
    </row>
    <row r="303" spans="1:6" x14ac:dyDescent="0.25">
      <c r="A303" t="s">
        <v>14</v>
      </c>
      <c r="B303" s="7">
        <v>44699</v>
      </c>
      <c r="C303">
        <f t="shared" si="3"/>
        <v>2022</v>
      </c>
      <c r="E303" t="s">
        <v>6</v>
      </c>
      <c r="F303">
        <v>138.1</v>
      </c>
    </row>
    <row r="304" spans="1:6" x14ac:dyDescent="0.25">
      <c r="A304" t="s">
        <v>14</v>
      </c>
      <c r="B304" s="7">
        <v>44713</v>
      </c>
      <c r="C304">
        <f t="shared" si="3"/>
        <v>2022</v>
      </c>
      <c r="E304" t="s">
        <v>6</v>
      </c>
      <c r="F304">
        <v>142</v>
      </c>
    </row>
    <row r="305" spans="1:6" x14ac:dyDescent="0.25">
      <c r="A305" t="s">
        <v>14</v>
      </c>
      <c r="B305" s="7">
        <v>44952</v>
      </c>
      <c r="C305">
        <f t="shared" si="3"/>
        <v>2023</v>
      </c>
      <c r="E305" t="s">
        <v>6</v>
      </c>
      <c r="F305">
        <v>61.4</v>
      </c>
    </row>
    <row r="306" spans="1:6" x14ac:dyDescent="0.25">
      <c r="A306" t="s">
        <v>14</v>
      </c>
      <c r="B306" s="7">
        <v>44974</v>
      </c>
      <c r="C306">
        <f t="shared" si="3"/>
        <v>2023</v>
      </c>
      <c r="E306" t="s">
        <v>6</v>
      </c>
      <c r="F306">
        <v>67.8</v>
      </c>
    </row>
    <row r="307" spans="1:6" x14ac:dyDescent="0.25">
      <c r="A307" t="s">
        <v>14</v>
      </c>
      <c r="B307" s="7">
        <v>44984</v>
      </c>
      <c r="C307">
        <f t="shared" si="3"/>
        <v>2023</v>
      </c>
      <c r="E307" t="s">
        <v>6</v>
      </c>
      <c r="F307">
        <v>73.099999999999994</v>
      </c>
    </row>
    <row r="308" spans="1:6" x14ac:dyDescent="0.25">
      <c r="A308" t="s">
        <v>14</v>
      </c>
      <c r="B308" s="7">
        <v>45000</v>
      </c>
      <c r="C308">
        <f t="shared" si="3"/>
        <v>2023</v>
      </c>
      <c r="E308" t="s">
        <v>6</v>
      </c>
      <c r="F308">
        <v>78.099999999999994</v>
      </c>
    </row>
    <row r="309" spans="1:6" x14ac:dyDescent="0.25">
      <c r="A309" t="s">
        <v>14</v>
      </c>
      <c r="B309" s="7">
        <v>45015</v>
      </c>
      <c r="C309">
        <f t="shared" si="3"/>
        <v>2023</v>
      </c>
      <c r="E309" t="s">
        <v>6</v>
      </c>
      <c r="F309">
        <v>84.1</v>
      </c>
    </row>
    <row r="310" spans="1:6" x14ac:dyDescent="0.25">
      <c r="A310" t="s">
        <v>14</v>
      </c>
      <c r="B310" s="7">
        <v>45029</v>
      </c>
      <c r="C310">
        <f t="shared" si="3"/>
        <v>2023</v>
      </c>
      <c r="E310" t="s">
        <v>6</v>
      </c>
      <c r="F310">
        <v>89.9</v>
      </c>
    </row>
    <row r="311" spans="1:6" x14ac:dyDescent="0.25">
      <c r="A311" t="s">
        <v>14</v>
      </c>
      <c r="B311" s="7">
        <v>45041</v>
      </c>
      <c r="C311">
        <f t="shared" si="3"/>
        <v>2023</v>
      </c>
      <c r="E311" t="s">
        <v>6</v>
      </c>
      <c r="F311">
        <v>95.9</v>
      </c>
    </row>
    <row r="312" spans="1:6" x14ac:dyDescent="0.25">
      <c r="A312" t="s">
        <v>14</v>
      </c>
      <c r="B312" s="7">
        <v>45049</v>
      </c>
      <c r="C312">
        <f t="shared" si="3"/>
        <v>2023</v>
      </c>
      <c r="E312" t="s">
        <v>6</v>
      </c>
      <c r="F312">
        <v>97.4</v>
      </c>
    </row>
    <row r="313" spans="1:6" x14ac:dyDescent="0.25">
      <c r="A313" t="s">
        <v>14</v>
      </c>
      <c r="B313" s="7">
        <v>45062</v>
      </c>
      <c r="C313">
        <f t="shared" si="3"/>
        <v>2023</v>
      </c>
      <c r="E313" t="s">
        <v>6</v>
      </c>
      <c r="F313">
        <v>97.8</v>
      </c>
    </row>
    <row r="314" spans="1:6" x14ac:dyDescent="0.25">
      <c r="A314" t="s">
        <v>14</v>
      </c>
      <c r="B314" s="7">
        <v>45076</v>
      </c>
      <c r="C314">
        <f t="shared" si="3"/>
        <v>2023</v>
      </c>
      <c r="E314" t="s">
        <v>6</v>
      </c>
      <c r="F314">
        <v>99.8</v>
      </c>
    </row>
    <row r="315" spans="1:6" x14ac:dyDescent="0.25">
      <c r="A315" t="s">
        <v>14</v>
      </c>
      <c r="B315" s="7">
        <v>45083</v>
      </c>
      <c r="C315">
        <f t="shared" si="3"/>
        <v>2023</v>
      </c>
      <c r="E315" t="s">
        <v>6</v>
      </c>
      <c r="F315">
        <v>109.6</v>
      </c>
    </row>
    <row r="316" spans="1:6" x14ac:dyDescent="0.25">
      <c r="A316" t="s">
        <v>14</v>
      </c>
      <c r="B316" s="7">
        <v>45316</v>
      </c>
      <c r="C316">
        <f t="shared" si="3"/>
        <v>2024</v>
      </c>
      <c r="E316" t="s">
        <v>6</v>
      </c>
      <c r="F316">
        <v>57.1</v>
      </c>
    </row>
    <row r="317" spans="1:6" x14ac:dyDescent="0.25">
      <c r="A317" t="s">
        <v>14</v>
      </c>
      <c r="B317" s="7">
        <v>45337</v>
      </c>
      <c r="C317">
        <f t="shared" si="3"/>
        <v>2024</v>
      </c>
      <c r="E317" t="s">
        <v>6</v>
      </c>
      <c r="F317">
        <v>71.099999999999994</v>
      </c>
    </row>
    <row r="318" spans="1:6" x14ac:dyDescent="0.25">
      <c r="A318" t="s">
        <v>14</v>
      </c>
      <c r="B318" s="7">
        <v>45350</v>
      </c>
      <c r="C318">
        <f t="shared" si="3"/>
        <v>2024</v>
      </c>
      <c r="E318" t="s">
        <v>6</v>
      </c>
      <c r="F318">
        <v>77</v>
      </c>
    </row>
    <row r="319" spans="1:6" x14ac:dyDescent="0.25">
      <c r="A319" t="s">
        <v>14</v>
      </c>
      <c r="B319" s="7">
        <v>45364</v>
      </c>
      <c r="C319">
        <f t="shared" si="3"/>
        <v>2024</v>
      </c>
      <c r="E319" t="s">
        <v>6</v>
      </c>
      <c r="F319">
        <v>83.1</v>
      </c>
    </row>
    <row r="320" spans="1:6" x14ac:dyDescent="0.25">
      <c r="A320" t="s">
        <v>14</v>
      </c>
      <c r="B320" s="7">
        <v>45378</v>
      </c>
      <c r="C320">
        <f t="shared" si="3"/>
        <v>2024</v>
      </c>
      <c r="E320" t="s">
        <v>6</v>
      </c>
      <c r="F320">
        <v>87.3</v>
      </c>
    </row>
    <row r="321" spans="1:6" x14ac:dyDescent="0.25">
      <c r="A321" t="s">
        <v>14</v>
      </c>
      <c r="B321" s="7">
        <v>45393</v>
      </c>
      <c r="C321">
        <f t="shared" si="3"/>
        <v>2024</v>
      </c>
      <c r="E321" t="s">
        <v>6</v>
      </c>
      <c r="F321">
        <v>86.6</v>
      </c>
    </row>
    <row r="322" spans="1:6" x14ac:dyDescent="0.25">
      <c r="A322" t="s">
        <v>14</v>
      </c>
      <c r="B322" s="7">
        <v>45404</v>
      </c>
      <c r="C322">
        <f t="shared" si="3"/>
        <v>2024</v>
      </c>
      <c r="E322" t="s">
        <v>6</v>
      </c>
      <c r="F322">
        <v>90.1</v>
      </c>
    </row>
    <row r="323" spans="1:6" x14ac:dyDescent="0.25">
      <c r="A323" t="s">
        <v>14</v>
      </c>
      <c r="B323" s="7">
        <v>45414</v>
      </c>
      <c r="C323">
        <f t="shared" si="3"/>
        <v>2024</v>
      </c>
      <c r="E323" t="s">
        <v>6</v>
      </c>
      <c r="F323">
        <v>99.7</v>
      </c>
    </row>
    <row r="324" spans="1:6" x14ac:dyDescent="0.25">
      <c r="A324" t="s">
        <v>14</v>
      </c>
      <c r="B324" s="7">
        <v>45425</v>
      </c>
      <c r="C324">
        <f t="shared" si="3"/>
        <v>2024</v>
      </c>
      <c r="E324" t="s">
        <v>6</v>
      </c>
      <c r="F324">
        <v>101.1</v>
      </c>
    </row>
    <row r="325" spans="1:6" x14ac:dyDescent="0.25">
      <c r="A325" t="s">
        <v>14</v>
      </c>
      <c r="B325" s="7">
        <v>45441</v>
      </c>
      <c r="C325">
        <f t="shared" si="3"/>
        <v>2024</v>
      </c>
      <c r="E325" t="s">
        <v>6</v>
      </c>
      <c r="F325">
        <v>100.3</v>
      </c>
    </row>
    <row r="326" spans="1:6" x14ac:dyDescent="0.25">
      <c r="A326" t="s">
        <v>14</v>
      </c>
      <c r="B326" s="7">
        <v>45453</v>
      </c>
      <c r="C326">
        <f t="shared" si="3"/>
        <v>2024</v>
      </c>
      <c r="E326" t="s">
        <v>6</v>
      </c>
      <c r="F326">
        <v>97.4</v>
      </c>
    </row>
    <row r="327" spans="1:6" x14ac:dyDescent="0.25">
      <c r="A327" t="s">
        <v>14</v>
      </c>
      <c r="B327" s="7">
        <v>45316</v>
      </c>
      <c r="C327">
        <f t="shared" si="3"/>
        <v>2024</v>
      </c>
      <c r="E327" t="s">
        <v>6</v>
      </c>
      <c r="F327">
        <v>64.400000000000006</v>
      </c>
    </row>
    <row r="328" spans="1:6" x14ac:dyDescent="0.25">
      <c r="A328" t="s">
        <v>14</v>
      </c>
      <c r="B328" s="7">
        <v>45337</v>
      </c>
      <c r="C328">
        <f t="shared" si="3"/>
        <v>2024</v>
      </c>
      <c r="E328" t="s">
        <v>6</v>
      </c>
      <c r="F328">
        <v>68.599999999999994</v>
      </c>
    </row>
    <row r="329" spans="1:6" x14ac:dyDescent="0.25">
      <c r="A329" t="s">
        <v>14</v>
      </c>
      <c r="B329" s="7">
        <v>45350</v>
      </c>
      <c r="C329">
        <f t="shared" si="3"/>
        <v>2024</v>
      </c>
      <c r="E329" t="s">
        <v>6</v>
      </c>
      <c r="F329">
        <v>86.5</v>
      </c>
    </row>
    <row r="330" spans="1:6" x14ac:dyDescent="0.25">
      <c r="A330" t="s">
        <v>14</v>
      </c>
      <c r="B330" s="7">
        <v>45364</v>
      </c>
      <c r="C330">
        <f t="shared" si="3"/>
        <v>2024</v>
      </c>
      <c r="E330" t="s">
        <v>6</v>
      </c>
      <c r="F330">
        <v>90</v>
      </c>
    </row>
    <row r="331" spans="1:6" x14ac:dyDescent="0.25">
      <c r="A331" t="s">
        <v>14</v>
      </c>
      <c r="B331" s="7">
        <v>45378</v>
      </c>
      <c r="C331">
        <f t="shared" si="3"/>
        <v>2024</v>
      </c>
      <c r="E331" t="s">
        <v>6</v>
      </c>
      <c r="F331">
        <v>98.4</v>
      </c>
    </row>
    <row r="332" spans="1:6" x14ac:dyDescent="0.25">
      <c r="A332" t="s">
        <v>14</v>
      </c>
      <c r="B332" s="7">
        <v>45390</v>
      </c>
      <c r="C332">
        <f t="shared" si="3"/>
        <v>2024</v>
      </c>
      <c r="E332" t="s">
        <v>6</v>
      </c>
      <c r="F332">
        <v>102.7</v>
      </c>
    </row>
    <row r="333" spans="1:6" x14ac:dyDescent="0.25">
      <c r="A333" t="s">
        <v>14</v>
      </c>
      <c r="B333" s="7">
        <v>45407</v>
      </c>
      <c r="C333">
        <f t="shared" si="3"/>
        <v>2024</v>
      </c>
      <c r="E333" t="s">
        <v>6</v>
      </c>
      <c r="F333">
        <v>102.3</v>
      </c>
    </row>
    <row r="334" spans="1:6" x14ac:dyDescent="0.25">
      <c r="A334" t="s">
        <v>14</v>
      </c>
      <c r="B334" s="7">
        <v>45413</v>
      </c>
      <c r="C334">
        <f t="shared" si="3"/>
        <v>2024</v>
      </c>
      <c r="E334" t="s">
        <v>6</v>
      </c>
      <c r="F334">
        <v>103.9</v>
      </c>
    </row>
    <row r="335" spans="1:6" x14ac:dyDescent="0.25">
      <c r="A335" t="s">
        <v>14</v>
      </c>
      <c r="B335" s="7">
        <v>45425</v>
      </c>
      <c r="C335">
        <f t="shared" si="3"/>
        <v>2024</v>
      </c>
      <c r="E335" t="s">
        <v>6</v>
      </c>
      <c r="F335">
        <v>100.2</v>
      </c>
    </row>
    <row r="336" spans="1:6" x14ac:dyDescent="0.25">
      <c r="A336" t="s">
        <v>14</v>
      </c>
      <c r="B336" s="7">
        <v>45439</v>
      </c>
      <c r="C336">
        <f t="shared" si="3"/>
        <v>2024</v>
      </c>
      <c r="E336" t="s">
        <v>6</v>
      </c>
      <c r="F336">
        <v>103</v>
      </c>
    </row>
    <row r="337" spans="1:6" x14ac:dyDescent="0.25">
      <c r="A337" t="s">
        <v>14</v>
      </c>
      <c r="B337" s="7">
        <v>45454</v>
      </c>
      <c r="C337">
        <f t="shared" si="3"/>
        <v>2024</v>
      </c>
      <c r="E337" t="s">
        <v>6</v>
      </c>
      <c r="F337">
        <v>101.2</v>
      </c>
    </row>
    <row r="338" spans="1:6" x14ac:dyDescent="0.25">
      <c r="A338" t="s">
        <v>14</v>
      </c>
      <c r="B338" s="7">
        <v>42387</v>
      </c>
      <c r="C338">
        <f t="shared" si="3"/>
        <v>2016</v>
      </c>
      <c r="E338" t="s">
        <v>6</v>
      </c>
      <c r="F338">
        <v>59.6</v>
      </c>
    </row>
    <row r="339" spans="1:6" x14ac:dyDescent="0.25">
      <c r="A339" t="s">
        <v>14</v>
      </c>
      <c r="B339" s="7">
        <v>42387</v>
      </c>
      <c r="C339">
        <f t="shared" si="3"/>
        <v>2016</v>
      </c>
      <c r="E339" t="s">
        <v>6</v>
      </c>
      <c r="F339">
        <v>58.3</v>
      </c>
    </row>
    <row r="340" spans="1:6" x14ac:dyDescent="0.25">
      <c r="A340" t="s">
        <v>14</v>
      </c>
      <c r="B340" s="7">
        <v>42423</v>
      </c>
      <c r="C340">
        <f t="shared" si="3"/>
        <v>2016</v>
      </c>
      <c r="E340" t="s">
        <v>6</v>
      </c>
      <c r="F340">
        <v>74.400000000000006</v>
      </c>
    </row>
    <row r="341" spans="1:6" x14ac:dyDescent="0.25">
      <c r="A341" t="s">
        <v>14</v>
      </c>
      <c r="B341" s="7">
        <v>42423</v>
      </c>
      <c r="C341">
        <f t="shared" si="3"/>
        <v>2016</v>
      </c>
      <c r="E341" t="s">
        <v>6</v>
      </c>
      <c r="F341">
        <v>85.7</v>
      </c>
    </row>
    <row r="342" spans="1:6" x14ac:dyDescent="0.25">
      <c r="A342" t="s">
        <v>14</v>
      </c>
      <c r="B342" s="7">
        <v>42437</v>
      </c>
      <c r="C342">
        <f t="shared" si="3"/>
        <v>2016</v>
      </c>
      <c r="E342" t="s">
        <v>6</v>
      </c>
      <c r="F342">
        <v>79.400000000000006</v>
      </c>
    </row>
    <row r="343" spans="1:6" x14ac:dyDescent="0.25">
      <c r="A343" t="s">
        <v>14</v>
      </c>
      <c r="B343" s="7">
        <v>42437</v>
      </c>
      <c r="C343">
        <f t="shared" si="3"/>
        <v>2016</v>
      </c>
      <c r="E343" t="s">
        <v>6</v>
      </c>
      <c r="F343">
        <v>92.4</v>
      </c>
    </row>
    <row r="344" spans="1:6" x14ac:dyDescent="0.25">
      <c r="A344" t="s">
        <v>14</v>
      </c>
      <c r="B344" s="7">
        <v>42451</v>
      </c>
      <c r="C344">
        <f t="shared" si="3"/>
        <v>2016</v>
      </c>
      <c r="E344" t="s">
        <v>6</v>
      </c>
      <c r="F344">
        <v>91.9</v>
      </c>
    </row>
    <row r="345" spans="1:6" x14ac:dyDescent="0.25">
      <c r="A345" t="s">
        <v>14</v>
      </c>
      <c r="B345" s="7">
        <v>42451</v>
      </c>
      <c r="C345">
        <f t="shared" si="3"/>
        <v>2016</v>
      </c>
      <c r="E345" t="s">
        <v>6</v>
      </c>
      <c r="F345">
        <v>101.1</v>
      </c>
    </row>
    <row r="346" spans="1:6" x14ac:dyDescent="0.25">
      <c r="A346" t="s">
        <v>14</v>
      </c>
      <c r="B346" s="7">
        <v>42466</v>
      </c>
      <c r="C346">
        <f t="shared" si="3"/>
        <v>2016</v>
      </c>
      <c r="E346" t="s">
        <v>6</v>
      </c>
      <c r="F346">
        <v>94.9</v>
      </c>
    </row>
    <row r="347" spans="1:6" x14ac:dyDescent="0.25">
      <c r="A347" t="s">
        <v>14</v>
      </c>
      <c r="B347" s="7">
        <v>42467</v>
      </c>
      <c r="C347">
        <f t="shared" si="3"/>
        <v>2016</v>
      </c>
      <c r="E347" t="s">
        <v>6</v>
      </c>
      <c r="F347">
        <v>113.4</v>
      </c>
    </row>
    <row r="348" spans="1:6" x14ac:dyDescent="0.25">
      <c r="A348" t="s">
        <v>14</v>
      </c>
      <c r="B348" s="7">
        <v>42474</v>
      </c>
      <c r="C348">
        <f t="shared" si="3"/>
        <v>2016</v>
      </c>
      <c r="E348" t="s">
        <v>6</v>
      </c>
      <c r="F348">
        <v>115.3</v>
      </c>
    </row>
    <row r="349" spans="1:6" x14ac:dyDescent="0.25">
      <c r="A349" t="s">
        <v>14</v>
      </c>
      <c r="B349" s="7">
        <v>42475</v>
      </c>
      <c r="C349">
        <f t="shared" si="3"/>
        <v>2016</v>
      </c>
      <c r="E349" t="s">
        <v>6</v>
      </c>
      <c r="F349">
        <v>101.2</v>
      </c>
    </row>
    <row r="350" spans="1:6" x14ac:dyDescent="0.25">
      <c r="A350" t="s">
        <v>14</v>
      </c>
      <c r="B350" s="7">
        <v>42482</v>
      </c>
      <c r="C350">
        <f t="shared" si="3"/>
        <v>2016</v>
      </c>
      <c r="E350" t="s">
        <v>6</v>
      </c>
      <c r="F350">
        <v>103.3</v>
      </c>
    </row>
    <row r="351" spans="1:6" x14ac:dyDescent="0.25">
      <c r="A351" t="s">
        <v>14</v>
      </c>
      <c r="B351" s="7">
        <v>42482</v>
      </c>
      <c r="C351">
        <f t="shared" si="3"/>
        <v>2016</v>
      </c>
      <c r="E351" t="s">
        <v>6</v>
      </c>
      <c r="F351">
        <v>119.2</v>
      </c>
    </row>
    <row r="352" spans="1:6" x14ac:dyDescent="0.25">
      <c r="A352" t="s">
        <v>14</v>
      </c>
      <c r="B352" s="7">
        <v>42486</v>
      </c>
      <c r="C352">
        <f t="shared" si="3"/>
        <v>2016</v>
      </c>
      <c r="E352" t="s">
        <v>6</v>
      </c>
      <c r="F352">
        <v>103.4</v>
      </c>
    </row>
    <row r="353" spans="1:6" x14ac:dyDescent="0.25">
      <c r="A353" t="s">
        <v>14</v>
      </c>
      <c r="B353" s="7">
        <v>42486</v>
      </c>
      <c r="C353">
        <f t="shared" si="3"/>
        <v>2016</v>
      </c>
      <c r="E353" t="s">
        <v>6</v>
      </c>
      <c r="F353">
        <v>115.3</v>
      </c>
    </row>
    <row r="354" spans="1:6" x14ac:dyDescent="0.25">
      <c r="A354" t="s">
        <v>14</v>
      </c>
      <c r="B354" s="7">
        <v>42493</v>
      </c>
      <c r="C354">
        <f t="shared" si="3"/>
        <v>2016</v>
      </c>
      <c r="E354" t="s">
        <v>6</v>
      </c>
      <c r="F354">
        <v>105.7</v>
      </c>
    </row>
    <row r="355" spans="1:6" x14ac:dyDescent="0.25">
      <c r="A355" t="s">
        <v>14</v>
      </c>
      <c r="B355" s="7">
        <v>42493</v>
      </c>
      <c r="C355">
        <f t="shared" si="3"/>
        <v>2016</v>
      </c>
      <c r="E355" t="s">
        <v>6</v>
      </c>
      <c r="F355">
        <v>122.2</v>
      </c>
    </row>
    <row r="356" spans="1:6" x14ac:dyDescent="0.25">
      <c r="A356" t="s">
        <v>14</v>
      </c>
      <c r="B356" s="7">
        <v>42510</v>
      </c>
      <c r="C356">
        <f t="shared" si="3"/>
        <v>2016</v>
      </c>
      <c r="E356" t="s">
        <v>6</v>
      </c>
      <c r="F356">
        <v>106.7</v>
      </c>
    </row>
    <row r="357" spans="1:6" x14ac:dyDescent="0.25">
      <c r="A357" t="s">
        <v>14</v>
      </c>
      <c r="B357" s="7">
        <v>42510</v>
      </c>
      <c r="C357">
        <f t="shared" si="3"/>
        <v>2016</v>
      </c>
      <c r="E357" t="s">
        <v>6</v>
      </c>
      <c r="F357">
        <v>123.3</v>
      </c>
    </row>
    <row r="358" spans="1:6" x14ac:dyDescent="0.25">
      <c r="A358" t="s">
        <v>14</v>
      </c>
      <c r="B358" s="7">
        <v>42521</v>
      </c>
      <c r="C358">
        <f t="shared" ref="C358:C420" si="4">YEAR(B358)</f>
        <v>2016</v>
      </c>
      <c r="E358" t="s">
        <v>6</v>
      </c>
      <c r="F358">
        <v>103.3</v>
      </c>
    </row>
    <row r="359" spans="1:6" x14ac:dyDescent="0.25">
      <c r="A359" t="s">
        <v>14</v>
      </c>
      <c r="B359" s="7">
        <v>42521</v>
      </c>
      <c r="C359">
        <f t="shared" si="4"/>
        <v>2016</v>
      </c>
      <c r="E359" t="s">
        <v>6</v>
      </c>
      <c r="F359">
        <v>122.6</v>
      </c>
    </row>
    <row r="360" spans="1:6" x14ac:dyDescent="0.25">
      <c r="A360" t="s">
        <v>14</v>
      </c>
      <c r="B360" s="7">
        <v>42535</v>
      </c>
      <c r="C360">
        <f t="shared" si="4"/>
        <v>2016</v>
      </c>
      <c r="E360" t="s">
        <v>6</v>
      </c>
      <c r="F360">
        <v>106.7</v>
      </c>
    </row>
    <row r="361" spans="1:6" x14ac:dyDescent="0.25">
      <c r="A361" t="s">
        <v>14</v>
      </c>
      <c r="B361" s="7">
        <v>42535</v>
      </c>
      <c r="C361">
        <f t="shared" si="4"/>
        <v>2016</v>
      </c>
      <c r="E361" t="s">
        <v>6</v>
      </c>
      <c r="F361">
        <v>118.4</v>
      </c>
    </row>
    <row r="362" spans="1:6" x14ac:dyDescent="0.25">
      <c r="A362" t="s">
        <v>14</v>
      </c>
      <c r="B362" s="7">
        <v>42752</v>
      </c>
      <c r="C362">
        <f t="shared" si="4"/>
        <v>2017</v>
      </c>
      <c r="E362" t="s">
        <v>6</v>
      </c>
      <c r="F362">
        <v>64.3</v>
      </c>
    </row>
    <row r="363" spans="1:6" x14ac:dyDescent="0.25">
      <c r="A363" t="s">
        <v>14</v>
      </c>
      <c r="B363" s="7">
        <v>42752</v>
      </c>
      <c r="C363">
        <f t="shared" si="4"/>
        <v>2017</v>
      </c>
      <c r="E363" t="s">
        <v>6</v>
      </c>
      <c r="F363">
        <v>54.6</v>
      </c>
    </row>
    <row r="364" spans="1:6" x14ac:dyDescent="0.25">
      <c r="A364" t="s">
        <v>14</v>
      </c>
      <c r="B364" s="7">
        <v>42787</v>
      </c>
      <c r="C364">
        <f t="shared" si="4"/>
        <v>2017</v>
      </c>
      <c r="E364" t="s">
        <v>6</v>
      </c>
      <c r="F364">
        <v>86</v>
      </c>
    </row>
    <row r="365" spans="1:6" x14ac:dyDescent="0.25">
      <c r="A365" t="s">
        <v>14</v>
      </c>
      <c r="B365" s="7">
        <v>42787</v>
      </c>
      <c r="C365">
        <f t="shared" si="4"/>
        <v>2017</v>
      </c>
      <c r="E365" t="s">
        <v>6</v>
      </c>
      <c r="F365">
        <v>82.6</v>
      </c>
    </row>
    <row r="366" spans="1:6" x14ac:dyDescent="0.25">
      <c r="A366" t="s">
        <v>14</v>
      </c>
      <c r="B366" s="7">
        <v>42801</v>
      </c>
      <c r="C366">
        <f t="shared" si="4"/>
        <v>2017</v>
      </c>
      <c r="E366" t="s">
        <v>6</v>
      </c>
      <c r="F366">
        <v>96.5</v>
      </c>
    </row>
    <row r="367" spans="1:6" x14ac:dyDescent="0.25">
      <c r="A367" t="s">
        <v>14</v>
      </c>
      <c r="B367" s="7">
        <v>42801</v>
      </c>
      <c r="C367">
        <f t="shared" si="4"/>
        <v>2017</v>
      </c>
      <c r="E367" t="s">
        <v>6</v>
      </c>
      <c r="F367">
        <v>88.4</v>
      </c>
    </row>
    <row r="368" spans="1:6" x14ac:dyDescent="0.25">
      <c r="A368" t="s">
        <v>14</v>
      </c>
      <c r="B368" s="7">
        <v>42815</v>
      </c>
      <c r="C368">
        <f t="shared" si="4"/>
        <v>2017</v>
      </c>
      <c r="E368" t="s">
        <v>6</v>
      </c>
      <c r="F368">
        <v>102.8</v>
      </c>
    </row>
    <row r="369" spans="1:6" x14ac:dyDescent="0.25">
      <c r="A369" t="s">
        <v>14</v>
      </c>
      <c r="B369" s="7">
        <v>42815</v>
      </c>
      <c r="C369">
        <f t="shared" si="4"/>
        <v>2017</v>
      </c>
      <c r="E369" t="s">
        <v>6</v>
      </c>
      <c r="F369">
        <v>93.6</v>
      </c>
    </row>
    <row r="370" spans="1:6" x14ac:dyDescent="0.25">
      <c r="A370" t="s">
        <v>14</v>
      </c>
      <c r="B370" s="7">
        <v>42829</v>
      </c>
      <c r="C370">
        <f t="shared" si="4"/>
        <v>2017</v>
      </c>
      <c r="E370" t="s">
        <v>6</v>
      </c>
      <c r="F370">
        <v>117.4</v>
      </c>
    </row>
    <row r="371" spans="1:6" x14ac:dyDescent="0.25">
      <c r="A371" t="s">
        <v>14</v>
      </c>
      <c r="B371" s="7">
        <v>42829</v>
      </c>
      <c r="C371">
        <f t="shared" si="4"/>
        <v>2017</v>
      </c>
      <c r="E371" t="s">
        <v>6</v>
      </c>
      <c r="F371">
        <v>103.2</v>
      </c>
    </row>
    <row r="372" spans="1:6" x14ac:dyDescent="0.25">
      <c r="A372" t="s">
        <v>14</v>
      </c>
      <c r="B372" s="7">
        <v>42839</v>
      </c>
      <c r="C372">
        <f t="shared" si="4"/>
        <v>2017</v>
      </c>
      <c r="E372" t="s">
        <v>6</v>
      </c>
      <c r="F372">
        <v>114.5</v>
      </c>
    </row>
    <row r="373" spans="1:6" x14ac:dyDescent="0.25">
      <c r="A373" t="s">
        <v>14</v>
      </c>
      <c r="B373" s="7">
        <v>42839</v>
      </c>
      <c r="C373">
        <f t="shared" si="4"/>
        <v>2017</v>
      </c>
      <c r="E373" t="s">
        <v>6</v>
      </c>
      <c r="F373">
        <v>108.9</v>
      </c>
    </row>
    <row r="374" spans="1:6" x14ac:dyDescent="0.25">
      <c r="A374" t="s">
        <v>14</v>
      </c>
      <c r="B374" s="7">
        <v>42844</v>
      </c>
      <c r="C374">
        <f t="shared" si="4"/>
        <v>2017</v>
      </c>
      <c r="E374" t="s">
        <v>6</v>
      </c>
      <c r="F374">
        <v>118.9</v>
      </c>
    </row>
    <row r="375" spans="1:6" x14ac:dyDescent="0.25">
      <c r="A375" t="s">
        <v>14</v>
      </c>
      <c r="B375" s="7">
        <v>42844</v>
      </c>
      <c r="C375">
        <f t="shared" si="4"/>
        <v>2017</v>
      </c>
      <c r="E375" t="s">
        <v>6</v>
      </c>
      <c r="F375">
        <v>111.8</v>
      </c>
    </row>
    <row r="376" spans="1:6" x14ac:dyDescent="0.25">
      <c r="A376" t="s">
        <v>14</v>
      </c>
      <c r="B376" s="7">
        <v>42850</v>
      </c>
      <c r="C376">
        <f t="shared" si="4"/>
        <v>2017</v>
      </c>
      <c r="E376" t="s">
        <v>6</v>
      </c>
      <c r="F376">
        <v>110.2</v>
      </c>
    </row>
    <row r="377" spans="1:6" x14ac:dyDescent="0.25">
      <c r="A377" t="s">
        <v>14</v>
      </c>
      <c r="B377" s="7">
        <v>42853</v>
      </c>
      <c r="C377">
        <f t="shared" si="4"/>
        <v>2017</v>
      </c>
      <c r="E377" t="s">
        <v>6</v>
      </c>
      <c r="F377">
        <v>124.6</v>
      </c>
    </row>
    <row r="378" spans="1:6" x14ac:dyDescent="0.25">
      <c r="A378" t="s">
        <v>14</v>
      </c>
      <c r="B378" s="7">
        <v>42858</v>
      </c>
      <c r="C378">
        <f t="shared" si="4"/>
        <v>2017</v>
      </c>
      <c r="E378" t="s">
        <v>6</v>
      </c>
      <c r="F378">
        <v>120.5</v>
      </c>
    </row>
    <row r="379" spans="1:6" x14ac:dyDescent="0.25">
      <c r="A379" t="s">
        <v>14</v>
      </c>
      <c r="B379" s="7">
        <v>42858</v>
      </c>
      <c r="C379">
        <f t="shared" si="4"/>
        <v>2017</v>
      </c>
      <c r="E379" t="s">
        <v>6</v>
      </c>
      <c r="F379">
        <v>109.1</v>
      </c>
    </row>
    <row r="380" spans="1:6" x14ac:dyDescent="0.25">
      <c r="A380" t="s">
        <v>14</v>
      </c>
      <c r="B380" s="7">
        <v>42871</v>
      </c>
      <c r="C380">
        <f t="shared" si="4"/>
        <v>2017</v>
      </c>
      <c r="E380" t="s">
        <v>6</v>
      </c>
      <c r="F380">
        <v>123.6</v>
      </c>
    </row>
    <row r="381" spans="1:6" x14ac:dyDescent="0.25">
      <c r="A381" t="s">
        <v>14</v>
      </c>
      <c r="B381" s="7">
        <v>42871</v>
      </c>
      <c r="C381">
        <f t="shared" si="4"/>
        <v>2017</v>
      </c>
      <c r="E381" t="s">
        <v>6</v>
      </c>
      <c r="F381">
        <v>117.7</v>
      </c>
    </row>
    <row r="382" spans="1:6" x14ac:dyDescent="0.25">
      <c r="A382" t="s">
        <v>14</v>
      </c>
      <c r="B382" s="7">
        <v>42885</v>
      </c>
      <c r="C382">
        <f t="shared" si="4"/>
        <v>2017</v>
      </c>
      <c r="E382" t="s">
        <v>6</v>
      </c>
      <c r="F382">
        <v>121.5</v>
      </c>
    </row>
    <row r="383" spans="1:6" x14ac:dyDescent="0.25">
      <c r="A383" t="s">
        <v>14</v>
      </c>
      <c r="B383" s="7">
        <v>42885</v>
      </c>
      <c r="C383">
        <f t="shared" si="4"/>
        <v>2017</v>
      </c>
      <c r="E383" t="s">
        <v>6</v>
      </c>
      <c r="F383">
        <v>118.8</v>
      </c>
    </row>
    <row r="384" spans="1:6" x14ac:dyDescent="0.25">
      <c r="A384" t="s">
        <v>14</v>
      </c>
      <c r="B384" s="7">
        <v>42893</v>
      </c>
      <c r="C384">
        <f t="shared" si="4"/>
        <v>2017</v>
      </c>
      <c r="E384" t="s">
        <v>6</v>
      </c>
      <c r="F384">
        <v>122.4</v>
      </c>
    </row>
    <row r="385" spans="1:6" x14ac:dyDescent="0.25">
      <c r="A385" t="s">
        <v>14</v>
      </c>
      <c r="B385" s="7">
        <v>42893</v>
      </c>
      <c r="C385">
        <f t="shared" si="4"/>
        <v>2017</v>
      </c>
      <c r="E385" t="s">
        <v>6</v>
      </c>
      <c r="F385">
        <v>113</v>
      </c>
    </row>
    <row r="386" spans="1:6" x14ac:dyDescent="0.25">
      <c r="A386" t="s">
        <v>14</v>
      </c>
      <c r="B386" s="7">
        <v>42907</v>
      </c>
      <c r="C386">
        <f t="shared" si="4"/>
        <v>2017</v>
      </c>
      <c r="E386" t="s">
        <v>6</v>
      </c>
      <c r="F386">
        <v>115.9</v>
      </c>
    </row>
    <row r="387" spans="1:6" x14ac:dyDescent="0.25">
      <c r="A387" t="s">
        <v>14</v>
      </c>
      <c r="B387" s="7">
        <v>42907</v>
      </c>
      <c r="C387">
        <f t="shared" si="4"/>
        <v>2017</v>
      </c>
      <c r="E387" t="s">
        <v>6</v>
      </c>
      <c r="F387">
        <v>117.7</v>
      </c>
    </row>
    <row r="388" spans="1:6" x14ac:dyDescent="0.25">
      <c r="A388" t="s">
        <v>14</v>
      </c>
      <c r="B388" s="7">
        <v>43116</v>
      </c>
      <c r="C388">
        <f t="shared" si="4"/>
        <v>2018</v>
      </c>
      <c r="E388" t="s">
        <v>6</v>
      </c>
      <c r="F388">
        <v>62.4</v>
      </c>
    </row>
    <row r="389" spans="1:6" x14ac:dyDescent="0.25">
      <c r="A389" t="s">
        <v>14</v>
      </c>
      <c r="B389" s="7">
        <v>43116</v>
      </c>
      <c r="C389">
        <f t="shared" si="4"/>
        <v>2018</v>
      </c>
      <c r="E389" t="s">
        <v>6</v>
      </c>
      <c r="F389">
        <v>57.1</v>
      </c>
    </row>
    <row r="390" spans="1:6" x14ac:dyDescent="0.25">
      <c r="A390" t="s">
        <v>14</v>
      </c>
      <c r="B390" s="7">
        <v>43151</v>
      </c>
      <c r="C390">
        <f t="shared" si="4"/>
        <v>2018</v>
      </c>
      <c r="E390" t="s">
        <v>6</v>
      </c>
      <c r="F390">
        <v>82.1</v>
      </c>
    </row>
    <row r="391" spans="1:6" x14ac:dyDescent="0.25">
      <c r="A391" t="s">
        <v>14</v>
      </c>
      <c r="B391" s="7">
        <v>43151</v>
      </c>
      <c r="C391">
        <f t="shared" si="4"/>
        <v>2018</v>
      </c>
      <c r="E391" t="s">
        <v>6</v>
      </c>
      <c r="F391">
        <v>79.7</v>
      </c>
    </row>
    <row r="392" spans="1:6" x14ac:dyDescent="0.25">
      <c r="A392" t="s">
        <v>14</v>
      </c>
      <c r="B392" s="7">
        <v>43165</v>
      </c>
      <c r="C392">
        <f t="shared" si="4"/>
        <v>2018</v>
      </c>
      <c r="E392" t="s">
        <v>6</v>
      </c>
      <c r="F392">
        <v>89.9</v>
      </c>
    </row>
    <row r="393" spans="1:6" x14ac:dyDescent="0.25">
      <c r="A393" t="s">
        <v>14</v>
      </c>
      <c r="B393" s="7">
        <v>43165</v>
      </c>
      <c r="C393">
        <f t="shared" si="4"/>
        <v>2018</v>
      </c>
      <c r="E393" t="s">
        <v>6</v>
      </c>
      <c r="F393">
        <v>87.6</v>
      </c>
    </row>
    <row r="394" spans="1:6" x14ac:dyDescent="0.25">
      <c r="A394" t="s">
        <v>14</v>
      </c>
      <c r="B394" s="7">
        <v>43179</v>
      </c>
      <c r="C394">
        <f t="shared" si="4"/>
        <v>2018</v>
      </c>
      <c r="E394" t="s">
        <v>6</v>
      </c>
      <c r="F394">
        <v>93.2</v>
      </c>
    </row>
    <row r="395" spans="1:6" x14ac:dyDescent="0.25">
      <c r="A395" t="s">
        <v>14</v>
      </c>
      <c r="B395" s="7">
        <v>43179</v>
      </c>
      <c r="C395">
        <f t="shared" si="4"/>
        <v>2018</v>
      </c>
      <c r="E395" t="s">
        <v>6</v>
      </c>
      <c r="F395">
        <v>90.1</v>
      </c>
    </row>
    <row r="396" spans="1:6" x14ac:dyDescent="0.25">
      <c r="A396" t="s">
        <v>14</v>
      </c>
      <c r="B396" s="7">
        <v>43195</v>
      </c>
      <c r="C396">
        <f t="shared" si="4"/>
        <v>2018</v>
      </c>
      <c r="E396" t="s">
        <v>6</v>
      </c>
      <c r="F396">
        <v>102.3</v>
      </c>
    </row>
    <row r="397" spans="1:6" x14ac:dyDescent="0.25">
      <c r="A397" t="s">
        <v>14</v>
      </c>
      <c r="B397" s="7">
        <v>43195</v>
      </c>
      <c r="C397">
        <f t="shared" si="4"/>
        <v>2018</v>
      </c>
      <c r="E397" t="s">
        <v>6</v>
      </c>
      <c r="F397">
        <v>98.2</v>
      </c>
    </row>
    <row r="398" spans="1:6" x14ac:dyDescent="0.25">
      <c r="A398" t="s">
        <v>14</v>
      </c>
      <c r="B398" s="7">
        <v>43201</v>
      </c>
      <c r="C398">
        <f t="shared" si="4"/>
        <v>2018</v>
      </c>
      <c r="E398" t="s">
        <v>6</v>
      </c>
      <c r="F398">
        <v>105.5</v>
      </c>
    </row>
    <row r="399" spans="1:6" x14ac:dyDescent="0.25">
      <c r="A399" t="s">
        <v>14</v>
      </c>
      <c r="B399" s="7">
        <v>43201</v>
      </c>
      <c r="C399">
        <f t="shared" si="4"/>
        <v>2018</v>
      </c>
      <c r="E399" t="s">
        <v>6</v>
      </c>
      <c r="F399">
        <v>98.8</v>
      </c>
    </row>
    <row r="400" spans="1:6" x14ac:dyDescent="0.25">
      <c r="A400" t="s">
        <v>14</v>
      </c>
      <c r="B400" s="7">
        <v>43209</v>
      </c>
      <c r="C400">
        <f t="shared" si="4"/>
        <v>2018</v>
      </c>
      <c r="E400" t="s">
        <v>6</v>
      </c>
      <c r="F400">
        <v>110</v>
      </c>
    </row>
    <row r="401" spans="1:6" x14ac:dyDescent="0.25">
      <c r="A401" t="s">
        <v>14</v>
      </c>
      <c r="B401" s="7">
        <v>43209</v>
      </c>
      <c r="C401">
        <f t="shared" si="4"/>
        <v>2018</v>
      </c>
      <c r="E401" t="s">
        <v>6</v>
      </c>
      <c r="F401">
        <v>99.3</v>
      </c>
    </row>
    <row r="402" spans="1:6" x14ac:dyDescent="0.25">
      <c r="A402" t="s">
        <v>14</v>
      </c>
      <c r="B402" s="7">
        <v>43215</v>
      </c>
      <c r="C402">
        <f t="shared" si="4"/>
        <v>2018</v>
      </c>
      <c r="E402" t="s">
        <v>6</v>
      </c>
      <c r="F402">
        <v>113.2</v>
      </c>
    </row>
    <row r="403" spans="1:6" x14ac:dyDescent="0.25">
      <c r="A403" t="s">
        <v>14</v>
      </c>
      <c r="B403" s="7">
        <v>43215</v>
      </c>
      <c r="C403">
        <f t="shared" si="4"/>
        <v>2018</v>
      </c>
      <c r="E403" t="s">
        <v>6</v>
      </c>
      <c r="F403">
        <v>106.4</v>
      </c>
    </row>
    <row r="404" spans="1:6" x14ac:dyDescent="0.25">
      <c r="A404" t="s">
        <v>14</v>
      </c>
      <c r="B404" s="7">
        <v>43221</v>
      </c>
      <c r="C404">
        <f t="shared" si="4"/>
        <v>2018</v>
      </c>
      <c r="E404" t="s">
        <v>6</v>
      </c>
      <c r="F404">
        <v>117.6</v>
      </c>
    </row>
    <row r="405" spans="1:6" x14ac:dyDescent="0.25">
      <c r="A405" t="s">
        <v>14</v>
      </c>
      <c r="B405" s="7">
        <v>43221</v>
      </c>
      <c r="C405">
        <f t="shared" si="4"/>
        <v>2018</v>
      </c>
      <c r="E405" t="s">
        <v>6</v>
      </c>
      <c r="F405">
        <v>109</v>
      </c>
    </row>
    <row r="406" spans="1:6" x14ac:dyDescent="0.25">
      <c r="A406" t="s">
        <v>14</v>
      </c>
      <c r="B406" s="7">
        <v>43235</v>
      </c>
      <c r="C406">
        <f t="shared" si="4"/>
        <v>2018</v>
      </c>
      <c r="E406" t="s">
        <v>6</v>
      </c>
      <c r="F406">
        <v>115.1</v>
      </c>
    </row>
    <row r="407" spans="1:6" x14ac:dyDescent="0.25">
      <c r="A407" t="s">
        <v>14</v>
      </c>
      <c r="B407" s="7">
        <v>43235</v>
      </c>
      <c r="C407">
        <f t="shared" si="4"/>
        <v>2018</v>
      </c>
      <c r="E407" t="s">
        <v>6</v>
      </c>
      <c r="F407">
        <v>108.3</v>
      </c>
    </row>
    <row r="408" spans="1:6" x14ac:dyDescent="0.25">
      <c r="A408" t="s">
        <v>14</v>
      </c>
      <c r="B408" s="7">
        <v>43249</v>
      </c>
      <c r="C408">
        <f t="shared" si="4"/>
        <v>2018</v>
      </c>
      <c r="E408" t="s">
        <v>6</v>
      </c>
      <c r="F408">
        <v>114.4</v>
      </c>
    </row>
    <row r="409" spans="1:6" x14ac:dyDescent="0.25">
      <c r="A409" t="s">
        <v>14</v>
      </c>
      <c r="B409" s="7">
        <v>43249</v>
      </c>
      <c r="C409">
        <f t="shared" si="4"/>
        <v>2018</v>
      </c>
      <c r="E409" t="s">
        <v>6</v>
      </c>
      <c r="F409">
        <v>105.5</v>
      </c>
    </row>
    <row r="410" spans="1:6" x14ac:dyDescent="0.25">
      <c r="A410" t="s">
        <v>14</v>
      </c>
      <c r="B410" s="7">
        <v>43479</v>
      </c>
      <c r="C410">
        <f t="shared" si="4"/>
        <v>2019</v>
      </c>
      <c r="E410" t="s">
        <v>6</v>
      </c>
      <c r="F410">
        <v>52.3</v>
      </c>
    </row>
    <row r="411" spans="1:6" x14ac:dyDescent="0.25">
      <c r="A411" t="s">
        <v>14</v>
      </c>
      <c r="B411" s="7">
        <v>43515</v>
      </c>
      <c r="C411">
        <f t="shared" si="4"/>
        <v>2019</v>
      </c>
      <c r="E411" t="s">
        <v>6</v>
      </c>
      <c r="F411">
        <v>72.099999999999994</v>
      </c>
    </row>
    <row r="412" spans="1:6" x14ac:dyDescent="0.25">
      <c r="A412" t="s">
        <v>14</v>
      </c>
      <c r="B412" s="7">
        <v>43529</v>
      </c>
      <c r="C412">
        <f t="shared" si="4"/>
        <v>2019</v>
      </c>
      <c r="E412" t="s">
        <v>6</v>
      </c>
      <c r="F412">
        <v>78.900000000000006</v>
      </c>
    </row>
    <row r="413" spans="1:6" x14ac:dyDescent="0.25">
      <c r="A413" t="s">
        <v>14</v>
      </c>
      <c r="B413" s="7">
        <v>43543</v>
      </c>
      <c r="C413">
        <f t="shared" si="4"/>
        <v>2019</v>
      </c>
      <c r="E413" t="s">
        <v>6</v>
      </c>
      <c r="F413">
        <v>90.7</v>
      </c>
    </row>
    <row r="414" spans="1:6" x14ac:dyDescent="0.25">
      <c r="A414" t="s">
        <v>14</v>
      </c>
      <c r="B414" s="7">
        <v>43557</v>
      </c>
      <c r="C414">
        <f t="shared" si="4"/>
        <v>2019</v>
      </c>
      <c r="E414" t="s">
        <v>6</v>
      </c>
      <c r="F414">
        <v>98</v>
      </c>
    </row>
    <row r="415" spans="1:6" x14ac:dyDescent="0.25">
      <c r="A415" t="s">
        <v>14</v>
      </c>
      <c r="B415" s="7">
        <v>43564</v>
      </c>
      <c r="C415">
        <f t="shared" si="4"/>
        <v>2019</v>
      </c>
      <c r="E415" t="s">
        <v>6</v>
      </c>
      <c r="F415">
        <v>100.2</v>
      </c>
    </row>
    <row r="416" spans="1:6" x14ac:dyDescent="0.25">
      <c r="A416" t="s">
        <v>14</v>
      </c>
      <c r="B416" s="7">
        <v>43570</v>
      </c>
      <c r="C416">
        <f t="shared" si="4"/>
        <v>2019</v>
      </c>
      <c r="E416" t="s">
        <v>6</v>
      </c>
      <c r="F416">
        <v>104.2</v>
      </c>
    </row>
    <row r="417" spans="1:6" x14ac:dyDescent="0.25">
      <c r="A417" t="s">
        <v>14</v>
      </c>
      <c r="B417" s="7">
        <v>43577</v>
      </c>
      <c r="C417">
        <f t="shared" si="4"/>
        <v>2019</v>
      </c>
      <c r="E417" t="s">
        <v>6</v>
      </c>
      <c r="F417">
        <v>100.3</v>
      </c>
    </row>
    <row r="418" spans="1:6" x14ac:dyDescent="0.25">
      <c r="A418" t="s">
        <v>14</v>
      </c>
      <c r="B418" s="7">
        <v>43584</v>
      </c>
      <c r="C418">
        <f t="shared" si="4"/>
        <v>2019</v>
      </c>
      <c r="E418" t="s">
        <v>6</v>
      </c>
      <c r="F418">
        <v>93.8</v>
      </c>
    </row>
    <row r="419" spans="1:6" x14ac:dyDescent="0.25">
      <c r="A419" t="s">
        <v>14</v>
      </c>
      <c r="B419" s="7">
        <v>43613</v>
      </c>
      <c r="C419">
        <f t="shared" si="4"/>
        <v>2019</v>
      </c>
      <c r="E419" t="s">
        <v>6</v>
      </c>
      <c r="F419">
        <v>105.9</v>
      </c>
    </row>
    <row r="420" spans="1:6" x14ac:dyDescent="0.25">
      <c r="A420" t="s">
        <v>14</v>
      </c>
      <c r="B420" s="7">
        <v>43850</v>
      </c>
      <c r="C420">
        <f t="shared" si="4"/>
        <v>2020</v>
      </c>
      <c r="E420" t="s">
        <v>6</v>
      </c>
      <c r="F420">
        <v>58.7</v>
      </c>
    </row>
    <row r="421" spans="1:6" x14ac:dyDescent="0.25">
      <c r="A421" t="s">
        <v>14</v>
      </c>
      <c r="B421" s="7">
        <v>43880</v>
      </c>
      <c r="C421">
        <f t="shared" ref="C421:C483" si="5">YEAR(B421)</f>
        <v>2020</v>
      </c>
      <c r="E421" t="s">
        <v>6</v>
      </c>
      <c r="F421">
        <v>79.599999999999994</v>
      </c>
    </row>
    <row r="422" spans="1:6" x14ac:dyDescent="0.25">
      <c r="A422" t="s">
        <v>14</v>
      </c>
      <c r="B422" s="7">
        <v>43892</v>
      </c>
      <c r="C422">
        <f t="shared" si="5"/>
        <v>2020</v>
      </c>
      <c r="E422" t="s">
        <v>6</v>
      </c>
      <c r="F422">
        <v>77.900000000000006</v>
      </c>
    </row>
    <row r="423" spans="1:6" x14ac:dyDescent="0.25">
      <c r="A423" t="s">
        <v>14</v>
      </c>
      <c r="B423" s="7">
        <v>43906</v>
      </c>
      <c r="C423">
        <f t="shared" si="5"/>
        <v>2020</v>
      </c>
      <c r="E423" t="s">
        <v>6</v>
      </c>
      <c r="F423">
        <v>88</v>
      </c>
    </row>
    <row r="424" spans="1:6" x14ac:dyDescent="0.25">
      <c r="A424" t="s">
        <v>14</v>
      </c>
      <c r="B424" s="7">
        <v>43950</v>
      </c>
      <c r="C424">
        <f t="shared" si="5"/>
        <v>2020</v>
      </c>
      <c r="E424" t="s">
        <v>6</v>
      </c>
      <c r="F424">
        <v>104.6</v>
      </c>
    </row>
    <row r="425" spans="1:6" x14ac:dyDescent="0.25">
      <c r="A425" t="s">
        <v>14</v>
      </c>
      <c r="B425" s="7">
        <v>43963</v>
      </c>
      <c r="C425">
        <f t="shared" si="5"/>
        <v>2020</v>
      </c>
      <c r="E425" t="s">
        <v>6</v>
      </c>
      <c r="F425">
        <v>103.2</v>
      </c>
    </row>
    <row r="426" spans="1:6" x14ac:dyDescent="0.25">
      <c r="A426" t="s">
        <v>14</v>
      </c>
      <c r="B426" s="7">
        <v>43977</v>
      </c>
      <c r="C426">
        <f t="shared" si="5"/>
        <v>2020</v>
      </c>
      <c r="E426" t="s">
        <v>6</v>
      </c>
      <c r="F426">
        <v>101.2</v>
      </c>
    </row>
    <row r="427" spans="1:6" x14ac:dyDescent="0.25">
      <c r="A427" t="s">
        <v>14</v>
      </c>
      <c r="B427" s="7">
        <v>44223</v>
      </c>
      <c r="C427">
        <f t="shared" si="5"/>
        <v>2021</v>
      </c>
      <c r="E427" t="s">
        <v>6</v>
      </c>
      <c r="F427">
        <v>70.474939759999998</v>
      </c>
    </row>
    <row r="428" spans="1:6" x14ac:dyDescent="0.25">
      <c r="A428" t="s">
        <v>14</v>
      </c>
      <c r="B428" s="7">
        <v>44244</v>
      </c>
      <c r="C428">
        <f t="shared" si="5"/>
        <v>2021</v>
      </c>
      <c r="E428" t="s">
        <v>6</v>
      </c>
      <c r="F428">
        <v>78.175444440000007</v>
      </c>
    </row>
    <row r="429" spans="1:6" x14ac:dyDescent="0.25">
      <c r="A429" t="s">
        <v>14</v>
      </c>
      <c r="B429" s="7">
        <v>44258</v>
      </c>
      <c r="C429">
        <f t="shared" si="5"/>
        <v>2021</v>
      </c>
      <c r="E429" t="s">
        <v>6</v>
      </c>
      <c r="F429">
        <v>89.277777779999994</v>
      </c>
    </row>
    <row r="430" spans="1:6" x14ac:dyDescent="0.25">
      <c r="A430" t="s">
        <v>14</v>
      </c>
      <c r="B430" s="7">
        <v>44272</v>
      </c>
      <c r="C430">
        <f t="shared" si="5"/>
        <v>2021</v>
      </c>
      <c r="E430" t="s">
        <v>6</v>
      </c>
      <c r="F430">
        <v>96.960333329999997</v>
      </c>
    </row>
    <row r="431" spans="1:6" x14ac:dyDescent="0.25">
      <c r="A431" t="s">
        <v>14</v>
      </c>
      <c r="B431" s="7">
        <v>44286</v>
      </c>
      <c r="C431">
        <f t="shared" si="5"/>
        <v>2021</v>
      </c>
      <c r="E431" t="s">
        <v>6</v>
      </c>
      <c r="F431">
        <v>105.0482222</v>
      </c>
    </row>
    <row r="432" spans="1:6" x14ac:dyDescent="0.25">
      <c r="A432" t="s">
        <v>14</v>
      </c>
      <c r="B432" s="7">
        <v>44300</v>
      </c>
      <c r="C432">
        <f t="shared" si="5"/>
        <v>2021</v>
      </c>
      <c r="E432" t="s">
        <v>6</v>
      </c>
      <c r="F432">
        <v>110.81411110000001</v>
      </c>
    </row>
    <row r="433" spans="1:6" x14ac:dyDescent="0.25">
      <c r="A433" t="s">
        <v>14</v>
      </c>
      <c r="B433" s="7">
        <v>44307</v>
      </c>
      <c r="C433">
        <f t="shared" si="5"/>
        <v>2021</v>
      </c>
      <c r="E433" t="s">
        <v>6</v>
      </c>
      <c r="F433">
        <v>112.8977778</v>
      </c>
    </row>
    <row r="434" spans="1:6" x14ac:dyDescent="0.25">
      <c r="A434" t="s">
        <v>14</v>
      </c>
      <c r="B434" s="7">
        <v>44315</v>
      </c>
      <c r="C434">
        <f t="shared" si="5"/>
        <v>2021</v>
      </c>
      <c r="E434" t="s">
        <v>6</v>
      </c>
      <c r="F434">
        <v>114.4113333</v>
      </c>
    </row>
    <row r="435" spans="1:6" x14ac:dyDescent="0.25">
      <c r="A435" t="s">
        <v>14</v>
      </c>
      <c r="B435" s="7">
        <v>44321</v>
      </c>
      <c r="C435">
        <f t="shared" si="5"/>
        <v>2021</v>
      </c>
      <c r="E435" t="s">
        <v>6</v>
      </c>
      <c r="F435">
        <v>119.33077780000001</v>
      </c>
    </row>
    <row r="436" spans="1:6" x14ac:dyDescent="0.25">
      <c r="A436" t="s">
        <v>14</v>
      </c>
      <c r="B436" s="7">
        <v>44335</v>
      </c>
      <c r="C436">
        <f t="shared" si="5"/>
        <v>2021</v>
      </c>
      <c r="E436" t="s">
        <v>6</v>
      </c>
      <c r="F436">
        <v>119.8372222</v>
      </c>
    </row>
    <row r="437" spans="1:6" x14ac:dyDescent="0.25">
      <c r="A437" t="s">
        <v>14</v>
      </c>
      <c r="B437" s="7">
        <v>44348</v>
      </c>
      <c r="C437">
        <f t="shared" si="5"/>
        <v>2021</v>
      </c>
      <c r="E437" t="s">
        <v>6</v>
      </c>
      <c r="F437">
        <v>121.1773333</v>
      </c>
    </row>
    <row r="438" spans="1:6" x14ac:dyDescent="0.25">
      <c r="A438" t="s">
        <v>14</v>
      </c>
      <c r="B438" s="7">
        <v>42386</v>
      </c>
      <c r="C438">
        <f t="shared" si="5"/>
        <v>2016</v>
      </c>
      <c r="E438" t="s">
        <v>6</v>
      </c>
      <c r="F438">
        <v>56.9</v>
      </c>
    </row>
    <row r="439" spans="1:6" x14ac:dyDescent="0.25">
      <c r="A439" t="s">
        <v>14</v>
      </c>
      <c r="B439" s="7">
        <v>42424</v>
      </c>
      <c r="C439">
        <f t="shared" si="5"/>
        <v>2016</v>
      </c>
      <c r="E439" t="s">
        <v>6</v>
      </c>
      <c r="F439">
        <v>81.2</v>
      </c>
    </row>
    <row r="440" spans="1:6" x14ac:dyDescent="0.25">
      <c r="A440" t="s">
        <v>14</v>
      </c>
      <c r="B440" s="7">
        <v>42439</v>
      </c>
      <c r="C440">
        <f t="shared" si="5"/>
        <v>2016</v>
      </c>
      <c r="E440" t="s">
        <v>6</v>
      </c>
      <c r="F440">
        <v>94.7</v>
      </c>
    </row>
    <row r="441" spans="1:6" x14ac:dyDescent="0.25">
      <c r="A441" t="s">
        <v>14</v>
      </c>
      <c r="B441" s="7">
        <v>42452</v>
      </c>
      <c r="C441">
        <f t="shared" si="5"/>
        <v>2016</v>
      </c>
      <c r="E441" t="s">
        <v>6</v>
      </c>
      <c r="F441">
        <v>97.8</v>
      </c>
    </row>
    <row r="442" spans="1:6" x14ac:dyDescent="0.25">
      <c r="A442" t="s">
        <v>14</v>
      </c>
      <c r="B442" s="7">
        <v>42467</v>
      </c>
      <c r="C442">
        <f t="shared" si="5"/>
        <v>2016</v>
      </c>
      <c r="E442" t="s">
        <v>6</v>
      </c>
      <c r="F442">
        <v>109.2</v>
      </c>
    </row>
    <row r="443" spans="1:6" x14ac:dyDescent="0.25">
      <c r="A443" t="s">
        <v>14</v>
      </c>
      <c r="B443" s="7">
        <v>42474</v>
      </c>
      <c r="C443">
        <f t="shared" si="5"/>
        <v>2016</v>
      </c>
      <c r="E443" t="s">
        <v>6</v>
      </c>
      <c r="F443">
        <v>107.3</v>
      </c>
    </row>
    <row r="444" spans="1:6" x14ac:dyDescent="0.25">
      <c r="A444" t="s">
        <v>14</v>
      </c>
      <c r="B444" s="7">
        <v>42482</v>
      </c>
      <c r="C444">
        <f t="shared" si="5"/>
        <v>2016</v>
      </c>
      <c r="E444" t="s">
        <v>6</v>
      </c>
      <c r="F444">
        <v>112.8</v>
      </c>
    </row>
    <row r="445" spans="1:6" x14ac:dyDescent="0.25">
      <c r="A445" t="s">
        <v>14</v>
      </c>
      <c r="B445" s="7">
        <v>42489</v>
      </c>
      <c r="C445">
        <f t="shared" si="5"/>
        <v>2016</v>
      </c>
      <c r="E445" t="s">
        <v>6</v>
      </c>
      <c r="F445">
        <v>110.8</v>
      </c>
    </row>
    <row r="446" spans="1:6" x14ac:dyDescent="0.25">
      <c r="A446" t="s">
        <v>14</v>
      </c>
      <c r="B446" s="7">
        <v>42496</v>
      </c>
      <c r="C446">
        <f t="shared" si="5"/>
        <v>2016</v>
      </c>
      <c r="E446" t="s">
        <v>6</v>
      </c>
      <c r="F446">
        <v>115.6</v>
      </c>
    </row>
    <row r="447" spans="1:6" x14ac:dyDescent="0.25">
      <c r="A447" t="s">
        <v>14</v>
      </c>
      <c r="B447" s="7">
        <v>42510</v>
      </c>
      <c r="C447">
        <f t="shared" si="5"/>
        <v>2016</v>
      </c>
      <c r="E447" t="s">
        <v>6</v>
      </c>
      <c r="F447">
        <v>114.4</v>
      </c>
    </row>
    <row r="448" spans="1:6" x14ac:dyDescent="0.25">
      <c r="A448" t="s">
        <v>14</v>
      </c>
      <c r="B448" s="7">
        <v>42523</v>
      </c>
      <c r="C448">
        <f t="shared" si="5"/>
        <v>2016</v>
      </c>
      <c r="E448" t="s">
        <v>6</v>
      </c>
      <c r="F448">
        <v>113.8</v>
      </c>
    </row>
    <row r="449" spans="1:6" x14ac:dyDescent="0.25">
      <c r="A449" t="s">
        <v>14</v>
      </c>
      <c r="B449" s="7">
        <v>42535</v>
      </c>
      <c r="C449">
        <f t="shared" si="5"/>
        <v>2016</v>
      </c>
      <c r="E449" t="s">
        <v>6</v>
      </c>
      <c r="F449">
        <v>119.1</v>
      </c>
    </row>
    <row r="450" spans="1:6" x14ac:dyDescent="0.25">
      <c r="A450" t="s">
        <v>14</v>
      </c>
      <c r="B450" s="7">
        <v>42753</v>
      </c>
      <c r="C450">
        <f t="shared" si="5"/>
        <v>2017</v>
      </c>
      <c r="E450" t="s">
        <v>6</v>
      </c>
      <c r="F450">
        <v>63.8</v>
      </c>
    </row>
    <row r="451" spans="1:6" x14ac:dyDescent="0.25">
      <c r="A451" t="s">
        <v>14</v>
      </c>
      <c r="B451" s="7">
        <v>42789</v>
      </c>
      <c r="C451">
        <f t="shared" si="5"/>
        <v>2017</v>
      </c>
      <c r="E451" t="s">
        <v>6</v>
      </c>
      <c r="F451">
        <v>92.9</v>
      </c>
    </row>
    <row r="452" spans="1:6" x14ac:dyDescent="0.25">
      <c r="A452" t="s">
        <v>14</v>
      </c>
      <c r="B452" s="7">
        <v>42804</v>
      </c>
      <c r="C452">
        <f t="shared" si="5"/>
        <v>2017</v>
      </c>
      <c r="E452" t="s">
        <v>6</v>
      </c>
      <c r="F452">
        <v>102.8</v>
      </c>
    </row>
    <row r="453" spans="1:6" x14ac:dyDescent="0.25">
      <c r="A453" t="s">
        <v>14</v>
      </c>
      <c r="B453" s="7">
        <v>42817</v>
      </c>
      <c r="C453">
        <f t="shared" si="5"/>
        <v>2017</v>
      </c>
      <c r="E453" t="s">
        <v>6</v>
      </c>
      <c r="F453">
        <v>112.2</v>
      </c>
    </row>
    <row r="454" spans="1:6" x14ac:dyDescent="0.25">
      <c r="A454" t="s">
        <v>14</v>
      </c>
      <c r="B454" s="7">
        <v>42832</v>
      </c>
      <c r="C454">
        <f t="shared" si="5"/>
        <v>2017</v>
      </c>
      <c r="E454" t="s">
        <v>6</v>
      </c>
      <c r="F454">
        <v>123.8</v>
      </c>
    </row>
    <row r="455" spans="1:6" x14ac:dyDescent="0.25">
      <c r="A455" t="s">
        <v>14</v>
      </c>
      <c r="B455" s="7">
        <v>42838</v>
      </c>
      <c r="C455">
        <f t="shared" si="5"/>
        <v>2017</v>
      </c>
      <c r="E455" t="s">
        <v>6</v>
      </c>
      <c r="F455">
        <v>125.9</v>
      </c>
    </row>
    <row r="456" spans="1:6" x14ac:dyDescent="0.25">
      <c r="A456" t="s">
        <v>14</v>
      </c>
      <c r="B456" s="7">
        <v>42845</v>
      </c>
      <c r="C456">
        <f t="shared" si="5"/>
        <v>2017</v>
      </c>
      <c r="E456" t="s">
        <v>6</v>
      </c>
      <c r="F456">
        <v>129.1</v>
      </c>
    </row>
    <row r="457" spans="1:6" x14ac:dyDescent="0.25">
      <c r="A457" t="s">
        <v>14</v>
      </c>
      <c r="B457" s="7">
        <v>42853</v>
      </c>
      <c r="C457">
        <f t="shared" si="5"/>
        <v>2017</v>
      </c>
      <c r="E457" t="s">
        <v>6</v>
      </c>
      <c r="F457">
        <v>132.1</v>
      </c>
    </row>
    <row r="458" spans="1:6" x14ac:dyDescent="0.25">
      <c r="A458" t="s">
        <v>14</v>
      </c>
      <c r="B458" s="7">
        <v>42859</v>
      </c>
      <c r="C458">
        <f t="shared" si="5"/>
        <v>2017</v>
      </c>
      <c r="E458" t="s">
        <v>6</v>
      </c>
      <c r="F458">
        <v>131.9</v>
      </c>
    </row>
    <row r="459" spans="1:6" x14ac:dyDescent="0.25">
      <c r="A459" t="s">
        <v>14</v>
      </c>
      <c r="B459" s="7">
        <v>42873</v>
      </c>
      <c r="C459">
        <f t="shared" si="5"/>
        <v>2017</v>
      </c>
      <c r="E459" t="s">
        <v>6</v>
      </c>
      <c r="F459">
        <v>134.6</v>
      </c>
    </row>
    <row r="460" spans="1:6" x14ac:dyDescent="0.25">
      <c r="A460" t="s">
        <v>14</v>
      </c>
      <c r="B460" s="7">
        <v>42887</v>
      </c>
      <c r="C460">
        <f t="shared" si="5"/>
        <v>2017</v>
      </c>
      <c r="E460" t="s">
        <v>6</v>
      </c>
      <c r="F460">
        <v>134.80000000000001</v>
      </c>
    </row>
    <row r="461" spans="1:6" x14ac:dyDescent="0.25">
      <c r="A461" t="s">
        <v>14</v>
      </c>
      <c r="B461" s="7">
        <v>42894</v>
      </c>
      <c r="C461">
        <f t="shared" si="5"/>
        <v>2017</v>
      </c>
      <c r="E461" t="s">
        <v>6</v>
      </c>
      <c r="F461">
        <v>130.9</v>
      </c>
    </row>
    <row r="462" spans="1:6" x14ac:dyDescent="0.25">
      <c r="A462" t="s">
        <v>14</v>
      </c>
      <c r="B462" s="7">
        <v>42908</v>
      </c>
      <c r="C462">
        <f t="shared" si="5"/>
        <v>2017</v>
      </c>
      <c r="E462" t="s">
        <v>6</v>
      </c>
      <c r="F462">
        <v>127.7</v>
      </c>
    </row>
    <row r="463" spans="1:6" x14ac:dyDescent="0.25">
      <c r="A463" t="s">
        <v>14</v>
      </c>
      <c r="B463" s="7">
        <v>43116</v>
      </c>
      <c r="C463">
        <f t="shared" si="5"/>
        <v>2018</v>
      </c>
      <c r="E463" t="s">
        <v>6</v>
      </c>
      <c r="F463">
        <v>61.5</v>
      </c>
    </row>
    <row r="464" spans="1:6" x14ac:dyDescent="0.25">
      <c r="A464" t="s">
        <v>14</v>
      </c>
      <c r="B464" s="7">
        <v>43151</v>
      </c>
      <c r="C464">
        <f t="shared" si="5"/>
        <v>2018</v>
      </c>
      <c r="E464" t="s">
        <v>6</v>
      </c>
      <c r="F464">
        <v>82.5</v>
      </c>
    </row>
    <row r="465" spans="1:6" x14ac:dyDescent="0.25">
      <c r="A465" t="s">
        <v>14</v>
      </c>
      <c r="B465" s="7">
        <v>43165</v>
      </c>
      <c r="C465">
        <f t="shared" si="5"/>
        <v>2018</v>
      </c>
      <c r="E465" t="s">
        <v>6</v>
      </c>
      <c r="F465">
        <v>93.7</v>
      </c>
    </row>
    <row r="466" spans="1:6" x14ac:dyDescent="0.25">
      <c r="A466" t="s">
        <v>14</v>
      </c>
      <c r="B466" s="7">
        <v>43179</v>
      </c>
      <c r="C466">
        <f t="shared" si="5"/>
        <v>2018</v>
      </c>
      <c r="E466" t="s">
        <v>6</v>
      </c>
      <c r="F466">
        <v>95.8</v>
      </c>
    </row>
    <row r="467" spans="1:6" x14ac:dyDescent="0.25">
      <c r="A467" t="s">
        <v>14</v>
      </c>
      <c r="B467" s="7">
        <v>43194</v>
      </c>
      <c r="C467">
        <f t="shared" si="5"/>
        <v>2018</v>
      </c>
      <c r="E467" t="s">
        <v>6</v>
      </c>
      <c r="F467">
        <v>105.4</v>
      </c>
    </row>
    <row r="468" spans="1:6" x14ac:dyDescent="0.25">
      <c r="A468" t="s">
        <v>14</v>
      </c>
      <c r="B468" s="7">
        <v>43201</v>
      </c>
      <c r="C468">
        <f t="shared" si="5"/>
        <v>2018</v>
      </c>
      <c r="E468" t="s">
        <v>6</v>
      </c>
      <c r="F468">
        <v>106.4</v>
      </c>
    </row>
    <row r="469" spans="1:6" x14ac:dyDescent="0.25">
      <c r="A469" t="s">
        <v>14</v>
      </c>
      <c r="B469" s="7">
        <v>43209</v>
      </c>
      <c r="C469">
        <f t="shared" si="5"/>
        <v>2018</v>
      </c>
      <c r="E469" t="s">
        <v>6</v>
      </c>
      <c r="F469">
        <v>108.9</v>
      </c>
    </row>
    <row r="470" spans="1:6" x14ac:dyDescent="0.25">
      <c r="A470" t="s">
        <v>14</v>
      </c>
      <c r="B470" s="7">
        <v>43215</v>
      </c>
      <c r="C470">
        <f t="shared" si="5"/>
        <v>2018</v>
      </c>
      <c r="E470" t="s">
        <v>6</v>
      </c>
      <c r="F470">
        <v>112.6</v>
      </c>
    </row>
    <row r="471" spans="1:6" x14ac:dyDescent="0.25">
      <c r="A471" t="s">
        <v>14</v>
      </c>
      <c r="B471" s="7">
        <v>43221</v>
      </c>
      <c r="C471">
        <f t="shared" si="5"/>
        <v>2018</v>
      </c>
      <c r="E471" t="s">
        <v>6</v>
      </c>
      <c r="F471">
        <v>116.3</v>
      </c>
    </row>
    <row r="472" spans="1:6" x14ac:dyDescent="0.25">
      <c r="A472" t="s">
        <v>14</v>
      </c>
      <c r="B472" s="7">
        <v>43235</v>
      </c>
      <c r="C472">
        <f t="shared" si="5"/>
        <v>2018</v>
      </c>
      <c r="E472" t="s">
        <v>6</v>
      </c>
      <c r="F472">
        <v>115.2</v>
      </c>
    </row>
    <row r="473" spans="1:6" x14ac:dyDescent="0.25">
      <c r="A473" t="s">
        <v>14</v>
      </c>
      <c r="B473" s="7">
        <v>43249</v>
      </c>
      <c r="C473">
        <f t="shared" si="5"/>
        <v>2018</v>
      </c>
      <c r="E473" t="s">
        <v>6</v>
      </c>
      <c r="F473">
        <v>115.4</v>
      </c>
    </row>
    <row r="474" spans="1:6" x14ac:dyDescent="0.25">
      <c r="A474" t="s">
        <v>14</v>
      </c>
      <c r="B474" s="7">
        <v>43479</v>
      </c>
      <c r="C474">
        <f t="shared" si="5"/>
        <v>2019</v>
      </c>
      <c r="E474" t="s">
        <v>6</v>
      </c>
      <c r="F474">
        <v>56.6</v>
      </c>
    </row>
    <row r="475" spans="1:6" x14ac:dyDescent="0.25">
      <c r="A475" t="s">
        <v>14</v>
      </c>
      <c r="B475" s="7">
        <v>43515</v>
      </c>
      <c r="C475">
        <f t="shared" si="5"/>
        <v>2019</v>
      </c>
      <c r="E475" t="s">
        <v>6</v>
      </c>
      <c r="F475">
        <v>75.3</v>
      </c>
    </row>
    <row r="476" spans="1:6" x14ac:dyDescent="0.25">
      <c r="A476" t="s">
        <v>14</v>
      </c>
      <c r="B476" s="7">
        <v>43529</v>
      </c>
      <c r="C476">
        <f t="shared" si="5"/>
        <v>2019</v>
      </c>
      <c r="E476" t="s">
        <v>6</v>
      </c>
      <c r="F476">
        <v>82.6</v>
      </c>
    </row>
    <row r="477" spans="1:6" x14ac:dyDescent="0.25">
      <c r="A477" t="s">
        <v>14</v>
      </c>
      <c r="B477" s="7">
        <v>43543</v>
      </c>
      <c r="C477">
        <f t="shared" si="5"/>
        <v>2019</v>
      </c>
      <c r="E477" t="s">
        <v>6</v>
      </c>
      <c r="F477">
        <v>92.1</v>
      </c>
    </row>
    <row r="478" spans="1:6" x14ac:dyDescent="0.25">
      <c r="A478" t="s">
        <v>14</v>
      </c>
      <c r="B478" s="7">
        <v>43557</v>
      </c>
      <c r="C478">
        <f t="shared" si="5"/>
        <v>2019</v>
      </c>
      <c r="E478" t="s">
        <v>6</v>
      </c>
      <c r="F478">
        <v>104</v>
      </c>
    </row>
    <row r="479" spans="1:6" x14ac:dyDescent="0.25">
      <c r="A479" t="s">
        <v>14</v>
      </c>
      <c r="B479" s="7">
        <v>43564</v>
      </c>
      <c r="C479">
        <f t="shared" si="5"/>
        <v>2019</v>
      </c>
      <c r="E479" t="s">
        <v>6</v>
      </c>
      <c r="F479">
        <v>100.7</v>
      </c>
    </row>
    <row r="480" spans="1:6" x14ac:dyDescent="0.25">
      <c r="A480" t="s">
        <v>14</v>
      </c>
      <c r="B480" s="7">
        <v>43570</v>
      </c>
      <c r="C480">
        <f t="shared" si="5"/>
        <v>2019</v>
      </c>
      <c r="E480" t="s">
        <v>6</v>
      </c>
      <c r="F480">
        <v>100.9</v>
      </c>
    </row>
    <row r="481" spans="1:6" x14ac:dyDescent="0.25">
      <c r="A481" t="s">
        <v>14</v>
      </c>
      <c r="B481" s="7">
        <v>43577</v>
      </c>
      <c r="C481">
        <f t="shared" si="5"/>
        <v>2019</v>
      </c>
      <c r="E481" t="s">
        <v>6</v>
      </c>
      <c r="F481">
        <v>105.2</v>
      </c>
    </row>
    <row r="482" spans="1:6" x14ac:dyDescent="0.25">
      <c r="A482" t="s">
        <v>14</v>
      </c>
      <c r="B482" s="7">
        <v>43584</v>
      </c>
      <c r="C482">
        <f t="shared" si="5"/>
        <v>2019</v>
      </c>
      <c r="E482" t="s">
        <v>6</v>
      </c>
      <c r="F482">
        <v>93.4</v>
      </c>
    </row>
    <row r="483" spans="1:6" x14ac:dyDescent="0.25">
      <c r="A483" t="s">
        <v>14</v>
      </c>
      <c r="B483" s="7">
        <v>43613</v>
      </c>
      <c r="C483">
        <f t="shared" si="5"/>
        <v>2019</v>
      </c>
      <c r="E483" t="s">
        <v>6</v>
      </c>
      <c r="F483">
        <v>109.8</v>
      </c>
    </row>
    <row r="484" spans="1:6" x14ac:dyDescent="0.25">
      <c r="A484" t="s">
        <v>14</v>
      </c>
      <c r="B484" s="7">
        <v>43851</v>
      </c>
      <c r="C484">
        <f t="shared" ref="C484:C546" si="6">YEAR(B484)</f>
        <v>2020</v>
      </c>
      <c r="E484" t="s">
        <v>6</v>
      </c>
      <c r="F484">
        <v>61.3</v>
      </c>
    </row>
    <row r="485" spans="1:6" x14ac:dyDescent="0.25">
      <c r="A485" t="s">
        <v>14</v>
      </c>
      <c r="B485" s="7">
        <v>43880</v>
      </c>
      <c r="C485">
        <f t="shared" si="6"/>
        <v>2020</v>
      </c>
      <c r="E485" t="s">
        <v>6</v>
      </c>
      <c r="F485">
        <v>85.2</v>
      </c>
    </row>
    <row r="486" spans="1:6" x14ac:dyDescent="0.25">
      <c r="A486" t="s">
        <v>14</v>
      </c>
      <c r="B486" s="7">
        <v>43894</v>
      </c>
      <c r="C486">
        <f t="shared" si="6"/>
        <v>2020</v>
      </c>
      <c r="E486" t="s">
        <v>6</v>
      </c>
      <c r="F486">
        <v>82.7</v>
      </c>
    </row>
    <row r="487" spans="1:6" x14ac:dyDescent="0.25">
      <c r="A487" t="s">
        <v>14</v>
      </c>
      <c r="B487" s="7">
        <v>43907</v>
      </c>
      <c r="C487">
        <f t="shared" si="6"/>
        <v>2020</v>
      </c>
      <c r="E487" t="s">
        <v>6</v>
      </c>
      <c r="F487">
        <v>93</v>
      </c>
    </row>
    <row r="488" spans="1:6" x14ac:dyDescent="0.25">
      <c r="A488" t="s">
        <v>14</v>
      </c>
      <c r="B488" s="7">
        <v>43951</v>
      </c>
      <c r="C488">
        <f t="shared" si="6"/>
        <v>2020</v>
      </c>
      <c r="E488" t="s">
        <v>6</v>
      </c>
      <c r="F488">
        <v>108</v>
      </c>
    </row>
    <row r="489" spans="1:6" x14ac:dyDescent="0.25">
      <c r="A489" t="s">
        <v>14</v>
      </c>
      <c r="B489" s="7">
        <v>43963</v>
      </c>
      <c r="C489">
        <f t="shared" si="6"/>
        <v>2020</v>
      </c>
      <c r="E489" t="s">
        <v>6</v>
      </c>
      <c r="F489">
        <v>107.8</v>
      </c>
    </row>
    <row r="490" spans="1:6" x14ac:dyDescent="0.25">
      <c r="A490" t="s">
        <v>14</v>
      </c>
      <c r="B490" s="7">
        <v>43979</v>
      </c>
      <c r="C490">
        <f t="shared" si="6"/>
        <v>2020</v>
      </c>
      <c r="E490" t="s">
        <v>6</v>
      </c>
      <c r="F490">
        <v>107.9</v>
      </c>
    </row>
    <row r="491" spans="1:6" x14ac:dyDescent="0.25">
      <c r="A491" t="s">
        <v>14</v>
      </c>
      <c r="B491" s="7">
        <v>44223</v>
      </c>
      <c r="C491">
        <f t="shared" si="6"/>
        <v>2021</v>
      </c>
      <c r="E491" t="s">
        <v>6</v>
      </c>
      <c r="F491">
        <v>68.09566667</v>
      </c>
    </row>
    <row r="492" spans="1:6" x14ac:dyDescent="0.25">
      <c r="A492" t="s">
        <v>14</v>
      </c>
      <c r="B492" s="7">
        <v>44244</v>
      </c>
      <c r="C492">
        <f t="shared" si="6"/>
        <v>2021</v>
      </c>
      <c r="E492" t="s">
        <v>6</v>
      </c>
      <c r="F492">
        <v>71.866777780000007</v>
      </c>
    </row>
    <row r="493" spans="1:6" x14ac:dyDescent="0.25">
      <c r="A493" t="s">
        <v>14</v>
      </c>
      <c r="B493" s="7">
        <v>44258</v>
      </c>
      <c r="C493">
        <f t="shared" si="6"/>
        <v>2021</v>
      </c>
      <c r="E493" t="s">
        <v>6</v>
      </c>
      <c r="F493">
        <v>88.180795450000005</v>
      </c>
    </row>
    <row r="494" spans="1:6" x14ac:dyDescent="0.25">
      <c r="A494" t="s">
        <v>14</v>
      </c>
      <c r="B494" s="7">
        <v>44272</v>
      </c>
      <c r="C494">
        <f t="shared" si="6"/>
        <v>2021</v>
      </c>
      <c r="E494" t="s">
        <v>6</v>
      </c>
      <c r="F494">
        <v>97.313999999999993</v>
      </c>
    </row>
    <row r="495" spans="1:6" x14ac:dyDescent="0.25">
      <c r="A495" t="s">
        <v>14</v>
      </c>
      <c r="B495" s="7">
        <v>44286</v>
      </c>
      <c r="C495">
        <f t="shared" si="6"/>
        <v>2021</v>
      </c>
      <c r="E495" t="s">
        <v>6</v>
      </c>
      <c r="F495">
        <v>100.2647778</v>
      </c>
    </row>
    <row r="496" spans="1:6" x14ac:dyDescent="0.25">
      <c r="A496" t="s">
        <v>14</v>
      </c>
      <c r="B496" s="7">
        <v>44300</v>
      </c>
      <c r="C496">
        <f t="shared" si="6"/>
        <v>2021</v>
      </c>
      <c r="E496" t="s">
        <v>6</v>
      </c>
      <c r="F496">
        <v>104.94333330000001</v>
      </c>
    </row>
    <row r="497" spans="1:6" x14ac:dyDescent="0.25">
      <c r="A497" t="s">
        <v>14</v>
      </c>
      <c r="B497" s="7">
        <v>44307</v>
      </c>
      <c r="C497">
        <f t="shared" si="6"/>
        <v>2021</v>
      </c>
      <c r="E497" t="s">
        <v>6</v>
      </c>
      <c r="F497">
        <v>104.7833333</v>
      </c>
    </row>
    <row r="498" spans="1:6" x14ac:dyDescent="0.25">
      <c r="A498" t="s">
        <v>14</v>
      </c>
      <c r="B498" s="7">
        <v>44315</v>
      </c>
      <c r="C498">
        <f t="shared" si="6"/>
        <v>2021</v>
      </c>
      <c r="E498" t="s">
        <v>6</v>
      </c>
      <c r="F498">
        <v>107.1852222</v>
      </c>
    </row>
    <row r="499" spans="1:6" x14ac:dyDescent="0.25">
      <c r="A499" t="s">
        <v>14</v>
      </c>
      <c r="B499" s="7">
        <v>44321</v>
      </c>
      <c r="C499">
        <f t="shared" si="6"/>
        <v>2021</v>
      </c>
      <c r="E499" t="s">
        <v>6</v>
      </c>
      <c r="F499">
        <v>97.25755556</v>
      </c>
    </row>
    <row r="500" spans="1:6" x14ac:dyDescent="0.25">
      <c r="A500" t="s">
        <v>14</v>
      </c>
      <c r="B500" s="7">
        <v>44335</v>
      </c>
      <c r="C500">
        <f t="shared" si="6"/>
        <v>2021</v>
      </c>
      <c r="E500" t="s">
        <v>6</v>
      </c>
      <c r="F500">
        <v>110.47156630000001</v>
      </c>
    </row>
    <row r="501" spans="1:6" x14ac:dyDescent="0.25">
      <c r="A501" t="s">
        <v>14</v>
      </c>
      <c r="B501" s="7">
        <v>44348</v>
      </c>
      <c r="C501">
        <f t="shared" si="6"/>
        <v>2021</v>
      </c>
      <c r="E501" t="s">
        <v>6</v>
      </c>
      <c r="F501">
        <v>104.2146667</v>
      </c>
    </row>
    <row r="502" spans="1:6" x14ac:dyDescent="0.25">
      <c r="A502" t="s">
        <v>14</v>
      </c>
      <c r="B502" s="7">
        <v>42386</v>
      </c>
      <c r="C502">
        <f t="shared" si="6"/>
        <v>2016</v>
      </c>
      <c r="E502" t="s">
        <v>6</v>
      </c>
      <c r="F502">
        <v>65.2</v>
      </c>
    </row>
    <row r="503" spans="1:6" x14ac:dyDescent="0.25">
      <c r="A503" t="s">
        <v>14</v>
      </c>
      <c r="B503" s="7">
        <v>42386</v>
      </c>
      <c r="C503">
        <f t="shared" si="6"/>
        <v>2016</v>
      </c>
      <c r="E503" t="s">
        <v>6</v>
      </c>
      <c r="F503">
        <v>62.3</v>
      </c>
    </row>
    <row r="504" spans="1:6" x14ac:dyDescent="0.25">
      <c r="A504" t="s">
        <v>14</v>
      </c>
      <c r="B504" s="7">
        <v>42386</v>
      </c>
      <c r="C504">
        <f t="shared" si="6"/>
        <v>2016</v>
      </c>
      <c r="E504" t="s">
        <v>6</v>
      </c>
      <c r="F504">
        <v>61.2</v>
      </c>
    </row>
    <row r="505" spans="1:6" x14ac:dyDescent="0.25">
      <c r="A505" t="s">
        <v>14</v>
      </c>
      <c r="B505" s="7">
        <v>42389</v>
      </c>
      <c r="C505">
        <f t="shared" si="6"/>
        <v>2016</v>
      </c>
      <c r="E505" t="s">
        <v>6</v>
      </c>
      <c r="F505">
        <v>61</v>
      </c>
    </row>
    <row r="506" spans="1:6" x14ac:dyDescent="0.25">
      <c r="A506" t="s">
        <v>14</v>
      </c>
      <c r="B506" s="7">
        <v>42424</v>
      </c>
      <c r="C506">
        <f t="shared" si="6"/>
        <v>2016</v>
      </c>
      <c r="E506" t="s">
        <v>6</v>
      </c>
      <c r="F506">
        <v>91.7</v>
      </c>
    </row>
    <row r="507" spans="1:6" x14ac:dyDescent="0.25">
      <c r="A507" t="s">
        <v>14</v>
      </c>
      <c r="B507" s="7">
        <v>42424</v>
      </c>
      <c r="C507">
        <f t="shared" si="6"/>
        <v>2016</v>
      </c>
      <c r="E507" t="s">
        <v>6</v>
      </c>
      <c r="F507">
        <v>88.5</v>
      </c>
    </row>
    <row r="508" spans="1:6" x14ac:dyDescent="0.25">
      <c r="A508" t="s">
        <v>14</v>
      </c>
      <c r="B508" s="7">
        <v>42424</v>
      </c>
      <c r="C508">
        <f t="shared" si="6"/>
        <v>2016</v>
      </c>
      <c r="E508" t="s">
        <v>6</v>
      </c>
      <c r="F508">
        <v>81.3</v>
      </c>
    </row>
    <row r="509" spans="1:6" x14ac:dyDescent="0.25">
      <c r="A509" t="s">
        <v>14</v>
      </c>
      <c r="B509" s="7">
        <v>42424</v>
      </c>
      <c r="C509">
        <f t="shared" si="6"/>
        <v>2016</v>
      </c>
      <c r="E509" t="s">
        <v>6</v>
      </c>
      <c r="F509">
        <v>78.599999999999994</v>
      </c>
    </row>
    <row r="510" spans="1:6" x14ac:dyDescent="0.25">
      <c r="A510" t="s">
        <v>14</v>
      </c>
      <c r="B510" s="7">
        <v>42438</v>
      </c>
      <c r="C510">
        <f t="shared" si="6"/>
        <v>2016</v>
      </c>
      <c r="E510" t="s">
        <v>6</v>
      </c>
      <c r="F510">
        <v>85.2</v>
      </c>
    </row>
    <row r="511" spans="1:6" x14ac:dyDescent="0.25">
      <c r="A511" t="s">
        <v>14</v>
      </c>
      <c r="B511" s="7">
        <v>42439</v>
      </c>
      <c r="C511">
        <f t="shared" si="6"/>
        <v>2016</v>
      </c>
      <c r="E511" t="s">
        <v>6</v>
      </c>
      <c r="F511">
        <v>100.6</v>
      </c>
    </row>
    <row r="512" spans="1:6" x14ac:dyDescent="0.25">
      <c r="A512" t="s">
        <v>14</v>
      </c>
      <c r="B512" s="7">
        <v>42439</v>
      </c>
      <c r="C512">
        <f t="shared" si="6"/>
        <v>2016</v>
      </c>
      <c r="E512" t="s">
        <v>6</v>
      </c>
      <c r="F512">
        <v>99.5</v>
      </c>
    </row>
    <row r="513" spans="1:6" x14ac:dyDescent="0.25">
      <c r="A513" t="s">
        <v>14</v>
      </c>
      <c r="B513" s="7">
        <v>42439</v>
      </c>
      <c r="C513">
        <f t="shared" si="6"/>
        <v>2016</v>
      </c>
      <c r="E513" t="s">
        <v>6</v>
      </c>
      <c r="F513">
        <v>85.7</v>
      </c>
    </row>
    <row r="514" spans="1:6" x14ac:dyDescent="0.25">
      <c r="A514" t="s">
        <v>14</v>
      </c>
      <c r="B514" s="7">
        <v>42452</v>
      </c>
      <c r="C514">
        <f t="shared" si="6"/>
        <v>2016</v>
      </c>
      <c r="E514" t="s">
        <v>6</v>
      </c>
      <c r="F514">
        <v>109.5</v>
      </c>
    </row>
    <row r="515" spans="1:6" x14ac:dyDescent="0.25">
      <c r="A515" t="s">
        <v>14</v>
      </c>
      <c r="B515" s="7">
        <v>42452</v>
      </c>
      <c r="C515">
        <f t="shared" si="6"/>
        <v>2016</v>
      </c>
      <c r="E515" t="s">
        <v>6</v>
      </c>
      <c r="F515">
        <v>103.6</v>
      </c>
    </row>
    <row r="516" spans="1:6" x14ac:dyDescent="0.25">
      <c r="A516" t="s">
        <v>14</v>
      </c>
      <c r="B516" s="7">
        <v>42452</v>
      </c>
      <c r="C516">
        <f t="shared" si="6"/>
        <v>2016</v>
      </c>
      <c r="E516" t="s">
        <v>6</v>
      </c>
      <c r="F516">
        <v>93.8</v>
      </c>
    </row>
    <row r="517" spans="1:6" x14ac:dyDescent="0.25">
      <c r="A517" t="s">
        <v>14</v>
      </c>
      <c r="B517" s="7">
        <v>42452</v>
      </c>
      <c r="C517">
        <f t="shared" si="6"/>
        <v>2016</v>
      </c>
      <c r="E517" t="s">
        <v>6</v>
      </c>
      <c r="F517">
        <v>91.6</v>
      </c>
    </row>
    <row r="518" spans="1:6" x14ac:dyDescent="0.25">
      <c r="A518" t="s">
        <v>14</v>
      </c>
      <c r="B518" s="7">
        <v>42467</v>
      </c>
      <c r="C518">
        <f t="shared" si="6"/>
        <v>2016</v>
      </c>
      <c r="E518" t="s">
        <v>6</v>
      </c>
      <c r="F518">
        <v>118.7</v>
      </c>
    </row>
    <row r="519" spans="1:6" x14ac:dyDescent="0.25">
      <c r="A519" t="s">
        <v>14</v>
      </c>
      <c r="B519" s="7">
        <v>42467</v>
      </c>
      <c r="C519">
        <f t="shared" si="6"/>
        <v>2016</v>
      </c>
      <c r="E519" t="s">
        <v>6</v>
      </c>
      <c r="F519">
        <v>113.1</v>
      </c>
    </row>
    <row r="520" spans="1:6" x14ac:dyDescent="0.25">
      <c r="A520" t="s">
        <v>14</v>
      </c>
      <c r="B520" s="7">
        <v>42467</v>
      </c>
      <c r="C520">
        <f t="shared" si="6"/>
        <v>2016</v>
      </c>
      <c r="E520" t="s">
        <v>6</v>
      </c>
      <c r="F520">
        <v>102</v>
      </c>
    </row>
    <row r="521" spans="1:6" x14ac:dyDescent="0.25">
      <c r="A521" t="s">
        <v>14</v>
      </c>
      <c r="B521" s="7">
        <v>42467</v>
      </c>
      <c r="C521">
        <f t="shared" si="6"/>
        <v>2016</v>
      </c>
      <c r="E521" t="s">
        <v>6</v>
      </c>
      <c r="F521">
        <v>99.5</v>
      </c>
    </row>
    <row r="522" spans="1:6" x14ac:dyDescent="0.25">
      <c r="A522" t="s">
        <v>14</v>
      </c>
      <c r="B522" s="7">
        <v>42474</v>
      </c>
      <c r="C522">
        <f t="shared" si="6"/>
        <v>2016</v>
      </c>
      <c r="E522" t="s">
        <v>6</v>
      </c>
      <c r="F522">
        <v>101.5</v>
      </c>
    </row>
    <row r="523" spans="1:6" x14ac:dyDescent="0.25">
      <c r="A523" t="s">
        <v>14</v>
      </c>
      <c r="B523" s="7">
        <v>42475</v>
      </c>
      <c r="C523">
        <f t="shared" si="6"/>
        <v>2016</v>
      </c>
      <c r="E523" t="s">
        <v>6</v>
      </c>
      <c r="F523">
        <v>118.9</v>
      </c>
    </row>
    <row r="524" spans="1:6" x14ac:dyDescent="0.25">
      <c r="A524" t="s">
        <v>14</v>
      </c>
      <c r="B524" s="7">
        <v>42475</v>
      </c>
      <c r="C524">
        <f t="shared" si="6"/>
        <v>2016</v>
      </c>
      <c r="E524" t="s">
        <v>6</v>
      </c>
      <c r="F524">
        <v>112.3</v>
      </c>
    </row>
    <row r="525" spans="1:6" x14ac:dyDescent="0.25">
      <c r="A525" t="s">
        <v>14</v>
      </c>
      <c r="B525" s="7">
        <v>42475</v>
      </c>
      <c r="C525">
        <f t="shared" si="6"/>
        <v>2016</v>
      </c>
      <c r="E525" t="s">
        <v>6</v>
      </c>
      <c r="F525">
        <v>104.3</v>
      </c>
    </row>
    <row r="526" spans="1:6" x14ac:dyDescent="0.25">
      <c r="A526" t="s">
        <v>14</v>
      </c>
      <c r="B526" s="7">
        <v>42482</v>
      </c>
      <c r="C526">
        <f t="shared" si="6"/>
        <v>2016</v>
      </c>
      <c r="E526" t="s">
        <v>6</v>
      </c>
      <c r="F526">
        <v>120.9</v>
      </c>
    </row>
    <row r="527" spans="1:6" x14ac:dyDescent="0.25">
      <c r="A527" t="s">
        <v>14</v>
      </c>
      <c r="B527" s="7">
        <v>42482</v>
      </c>
      <c r="C527">
        <f t="shared" si="6"/>
        <v>2016</v>
      </c>
      <c r="E527" t="s">
        <v>6</v>
      </c>
      <c r="F527">
        <v>114.2</v>
      </c>
    </row>
    <row r="528" spans="1:6" x14ac:dyDescent="0.25">
      <c r="A528" t="s">
        <v>14</v>
      </c>
      <c r="B528" s="7">
        <v>42482</v>
      </c>
      <c r="C528">
        <f t="shared" si="6"/>
        <v>2016</v>
      </c>
      <c r="E528" t="s">
        <v>6</v>
      </c>
      <c r="F528">
        <v>102.6</v>
      </c>
    </row>
    <row r="529" spans="1:6" x14ac:dyDescent="0.25">
      <c r="A529" t="s">
        <v>14</v>
      </c>
      <c r="B529" s="7">
        <v>42482</v>
      </c>
      <c r="C529">
        <f t="shared" si="6"/>
        <v>2016</v>
      </c>
      <c r="E529" t="s">
        <v>6</v>
      </c>
      <c r="F529">
        <v>101</v>
      </c>
    </row>
    <row r="530" spans="1:6" x14ac:dyDescent="0.25">
      <c r="A530" t="s">
        <v>14</v>
      </c>
      <c r="B530" s="7">
        <v>42489</v>
      </c>
      <c r="C530">
        <f t="shared" si="6"/>
        <v>2016</v>
      </c>
      <c r="E530" t="s">
        <v>6</v>
      </c>
      <c r="F530">
        <v>122.8</v>
      </c>
    </row>
    <row r="531" spans="1:6" x14ac:dyDescent="0.25">
      <c r="A531" t="s">
        <v>14</v>
      </c>
      <c r="B531" s="7">
        <v>42489</v>
      </c>
      <c r="C531">
        <f t="shared" si="6"/>
        <v>2016</v>
      </c>
      <c r="E531" t="s">
        <v>6</v>
      </c>
      <c r="F531">
        <v>117.3</v>
      </c>
    </row>
    <row r="532" spans="1:6" x14ac:dyDescent="0.25">
      <c r="A532" t="s">
        <v>14</v>
      </c>
      <c r="B532" s="7">
        <v>42489</v>
      </c>
      <c r="C532">
        <f t="shared" si="6"/>
        <v>2016</v>
      </c>
      <c r="E532" t="s">
        <v>6</v>
      </c>
      <c r="F532">
        <v>103.3</v>
      </c>
    </row>
    <row r="533" spans="1:6" x14ac:dyDescent="0.25">
      <c r="A533" t="s">
        <v>14</v>
      </c>
      <c r="B533" s="7">
        <v>42489</v>
      </c>
      <c r="C533">
        <f t="shared" si="6"/>
        <v>2016</v>
      </c>
      <c r="E533" t="s">
        <v>6</v>
      </c>
      <c r="F533">
        <v>104.8</v>
      </c>
    </row>
    <row r="534" spans="1:6" x14ac:dyDescent="0.25">
      <c r="A534" t="s">
        <v>14</v>
      </c>
      <c r="B534" s="7">
        <v>42494</v>
      </c>
      <c r="C534">
        <f t="shared" si="6"/>
        <v>2016</v>
      </c>
      <c r="E534" t="s">
        <v>6</v>
      </c>
      <c r="F534">
        <v>108.8</v>
      </c>
    </row>
    <row r="535" spans="1:6" x14ac:dyDescent="0.25">
      <c r="A535" t="s">
        <v>14</v>
      </c>
      <c r="B535" s="7">
        <v>42496</v>
      </c>
      <c r="C535">
        <f t="shared" si="6"/>
        <v>2016</v>
      </c>
      <c r="E535" t="s">
        <v>6</v>
      </c>
      <c r="F535">
        <v>122</v>
      </c>
    </row>
    <row r="536" spans="1:6" x14ac:dyDescent="0.25">
      <c r="A536" t="s">
        <v>14</v>
      </c>
      <c r="B536" s="7">
        <v>42496</v>
      </c>
      <c r="C536">
        <f t="shared" si="6"/>
        <v>2016</v>
      </c>
      <c r="E536" t="s">
        <v>6</v>
      </c>
      <c r="F536">
        <v>123.2</v>
      </c>
    </row>
    <row r="537" spans="1:6" x14ac:dyDescent="0.25">
      <c r="A537" t="s">
        <v>14</v>
      </c>
      <c r="B537" s="7">
        <v>42496</v>
      </c>
      <c r="C537">
        <f t="shared" si="6"/>
        <v>2016</v>
      </c>
      <c r="E537" t="s">
        <v>6</v>
      </c>
      <c r="F537">
        <v>104.9</v>
      </c>
    </row>
    <row r="538" spans="1:6" x14ac:dyDescent="0.25">
      <c r="A538" t="s">
        <v>14</v>
      </c>
      <c r="B538" s="7">
        <v>42509</v>
      </c>
      <c r="C538">
        <f t="shared" si="6"/>
        <v>2016</v>
      </c>
      <c r="E538" t="s">
        <v>6</v>
      </c>
      <c r="F538">
        <v>122.6</v>
      </c>
    </row>
    <row r="539" spans="1:6" x14ac:dyDescent="0.25">
      <c r="A539" t="s">
        <v>14</v>
      </c>
      <c r="B539" s="7">
        <v>42509</v>
      </c>
      <c r="C539">
        <f t="shared" si="6"/>
        <v>2016</v>
      </c>
      <c r="E539" t="s">
        <v>6</v>
      </c>
      <c r="F539">
        <v>110.8</v>
      </c>
    </row>
    <row r="540" spans="1:6" x14ac:dyDescent="0.25">
      <c r="A540" t="s">
        <v>14</v>
      </c>
      <c r="B540" s="7">
        <v>42509</v>
      </c>
      <c r="C540">
        <f t="shared" si="6"/>
        <v>2016</v>
      </c>
      <c r="E540" t="s">
        <v>6</v>
      </c>
      <c r="F540">
        <v>110</v>
      </c>
    </row>
    <row r="541" spans="1:6" x14ac:dyDescent="0.25">
      <c r="A541" t="s">
        <v>14</v>
      </c>
      <c r="B541" s="7">
        <v>42510</v>
      </c>
      <c r="C541">
        <f t="shared" si="6"/>
        <v>2016</v>
      </c>
      <c r="E541" t="s">
        <v>6</v>
      </c>
      <c r="F541">
        <v>121.7</v>
      </c>
    </row>
    <row r="542" spans="1:6" x14ac:dyDescent="0.25">
      <c r="A542" t="s">
        <v>14</v>
      </c>
      <c r="B542" s="7">
        <v>42522</v>
      </c>
      <c r="C542">
        <f t="shared" si="6"/>
        <v>2016</v>
      </c>
      <c r="E542" t="s">
        <v>6</v>
      </c>
      <c r="F542">
        <v>109</v>
      </c>
    </row>
    <row r="543" spans="1:6" x14ac:dyDescent="0.25">
      <c r="A543" t="s">
        <v>14</v>
      </c>
      <c r="B543" s="7">
        <v>42523</v>
      </c>
      <c r="C543">
        <f t="shared" si="6"/>
        <v>2016</v>
      </c>
      <c r="E543" t="s">
        <v>6</v>
      </c>
      <c r="F543">
        <v>121.5</v>
      </c>
    </row>
    <row r="544" spans="1:6" x14ac:dyDescent="0.25">
      <c r="A544" t="s">
        <v>14</v>
      </c>
      <c r="B544" s="7">
        <v>42523</v>
      </c>
      <c r="C544">
        <f t="shared" si="6"/>
        <v>2016</v>
      </c>
      <c r="E544" t="s">
        <v>6</v>
      </c>
      <c r="F544">
        <v>121.1</v>
      </c>
    </row>
    <row r="545" spans="1:6" x14ac:dyDescent="0.25">
      <c r="A545" t="s">
        <v>14</v>
      </c>
      <c r="B545" s="7">
        <v>42523</v>
      </c>
      <c r="C545">
        <f t="shared" si="6"/>
        <v>2016</v>
      </c>
      <c r="E545" t="s">
        <v>6</v>
      </c>
      <c r="F545">
        <v>108.4</v>
      </c>
    </row>
    <row r="546" spans="1:6" x14ac:dyDescent="0.25">
      <c r="A546" t="s">
        <v>14</v>
      </c>
      <c r="B546" s="7">
        <v>42531</v>
      </c>
      <c r="C546">
        <f t="shared" si="6"/>
        <v>2016</v>
      </c>
      <c r="E546" t="s">
        <v>6</v>
      </c>
      <c r="F546">
        <v>124</v>
      </c>
    </row>
    <row r="547" spans="1:6" x14ac:dyDescent="0.25">
      <c r="A547" t="s">
        <v>14</v>
      </c>
      <c r="B547" s="7">
        <v>42535</v>
      </c>
      <c r="C547">
        <f t="shared" ref="C547:C610" si="7">YEAR(B547)</f>
        <v>2016</v>
      </c>
      <c r="E547" t="s">
        <v>6</v>
      </c>
      <c r="F547">
        <v>123.9</v>
      </c>
    </row>
    <row r="548" spans="1:6" x14ac:dyDescent="0.25">
      <c r="A548" t="s">
        <v>14</v>
      </c>
      <c r="B548" s="7">
        <v>42535</v>
      </c>
      <c r="C548">
        <f t="shared" si="7"/>
        <v>2016</v>
      </c>
      <c r="E548" t="s">
        <v>6</v>
      </c>
      <c r="F548">
        <v>114.6</v>
      </c>
    </row>
    <row r="549" spans="1:6" x14ac:dyDescent="0.25">
      <c r="A549" t="s">
        <v>14</v>
      </c>
      <c r="B549" s="7">
        <v>42753</v>
      </c>
      <c r="C549">
        <f t="shared" si="7"/>
        <v>2017</v>
      </c>
      <c r="E549" t="s">
        <v>6</v>
      </c>
      <c r="F549">
        <v>63.7</v>
      </c>
    </row>
    <row r="550" spans="1:6" x14ac:dyDescent="0.25">
      <c r="A550" t="s">
        <v>14</v>
      </c>
      <c r="B550" s="7">
        <v>42753</v>
      </c>
      <c r="C550">
        <f t="shared" si="7"/>
        <v>2017</v>
      </c>
      <c r="E550" t="s">
        <v>6</v>
      </c>
      <c r="F550">
        <v>64.7</v>
      </c>
    </row>
    <row r="551" spans="1:6" x14ac:dyDescent="0.25">
      <c r="A551" t="s">
        <v>14</v>
      </c>
      <c r="B551" s="7">
        <v>42753</v>
      </c>
      <c r="C551">
        <f t="shared" si="7"/>
        <v>2017</v>
      </c>
      <c r="E551" t="s">
        <v>6</v>
      </c>
      <c r="F551">
        <v>67.099999999999994</v>
      </c>
    </row>
    <row r="552" spans="1:6" x14ac:dyDescent="0.25">
      <c r="A552" t="s">
        <v>14</v>
      </c>
      <c r="B552" s="7">
        <v>42753</v>
      </c>
      <c r="C552">
        <f t="shared" si="7"/>
        <v>2017</v>
      </c>
      <c r="E552" t="s">
        <v>6</v>
      </c>
      <c r="F552">
        <v>70.2</v>
      </c>
    </row>
    <row r="553" spans="1:6" x14ac:dyDescent="0.25">
      <c r="A553" t="s">
        <v>14</v>
      </c>
      <c r="B553" s="7">
        <v>42788</v>
      </c>
      <c r="C553">
        <f t="shared" si="7"/>
        <v>2017</v>
      </c>
      <c r="E553" t="s">
        <v>6</v>
      </c>
      <c r="F553">
        <v>93.9</v>
      </c>
    </row>
    <row r="554" spans="1:6" x14ac:dyDescent="0.25">
      <c r="A554" t="s">
        <v>14</v>
      </c>
      <c r="B554" s="7">
        <v>42789</v>
      </c>
      <c r="C554">
        <f t="shared" si="7"/>
        <v>2017</v>
      </c>
      <c r="E554" t="s">
        <v>6</v>
      </c>
      <c r="F554">
        <v>84.1</v>
      </c>
    </row>
    <row r="555" spans="1:6" x14ac:dyDescent="0.25">
      <c r="A555" t="s">
        <v>14</v>
      </c>
      <c r="B555" s="7">
        <v>42789</v>
      </c>
      <c r="C555">
        <f t="shared" si="7"/>
        <v>2017</v>
      </c>
      <c r="E555" t="s">
        <v>6</v>
      </c>
      <c r="F555">
        <v>96</v>
      </c>
    </row>
    <row r="556" spans="1:6" x14ac:dyDescent="0.25">
      <c r="A556" t="s">
        <v>14</v>
      </c>
      <c r="B556" s="7">
        <v>42789</v>
      </c>
      <c r="C556">
        <f t="shared" si="7"/>
        <v>2017</v>
      </c>
      <c r="E556" t="s">
        <v>6</v>
      </c>
      <c r="F556">
        <v>85.8</v>
      </c>
    </row>
    <row r="557" spans="1:6" x14ac:dyDescent="0.25">
      <c r="A557" t="s">
        <v>14</v>
      </c>
      <c r="B557" s="7">
        <v>42803</v>
      </c>
      <c r="C557">
        <f t="shared" si="7"/>
        <v>2017</v>
      </c>
      <c r="E557" t="s">
        <v>6</v>
      </c>
      <c r="F557">
        <v>107.9</v>
      </c>
    </row>
    <row r="558" spans="1:6" x14ac:dyDescent="0.25">
      <c r="A558" t="s">
        <v>14</v>
      </c>
      <c r="B558" s="7">
        <v>42803</v>
      </c>
      <c r="C558">
        <f t="shared" si="7"/>
        <v>2017</v>
      </c>
      <c r="E558" t="s">
        <v>6</v>
      </c>
      <c r="F558">
        <v>102.9</v>
      </c>
    </row>
    <row r="559" spans="1:6" x14ac:dyDescent="0.25">
      <c r="A559" t="s">
        <v>14</v>
      </c>
      <c r="B559" s="7">
        <v>42804</v>
      </c>
      <c r="C559">
        <f t="shared" si="7"/>
        <v>2017</v>
      </c>
      <c r="E559" t="s">
        <v>6</v>
      </c>
      <c r="F559">
        <v>94.6</v>
      </c>
    </row>
    <row r="560" spans="1:6" x14ac:dyDescent="0.25">
      <c r="A560" t="s">
        <v>14</v>
      </c>
      <c r="B560" s="7">
        <v>42804</v>
      </c>
      <c r="C560">
        <f t="shared" si="7"/>
        <v>2017</v>
      </c>
      <c r="E560" t="s">
        <v>6</v>
      </c>
      <c r="F560">
        <v>98.9</v>
      </c>
    </row>
    <row r="561" spans="1:6" x14ac:dyDescent="0.25">
      <c r="A561" t="s">
        <v>14</v>
      </c>
      <c r="B561" s="7">
        <v>42816</v>
      </c>
      <c r="C561">
        <f t="shared" si="7"/>
        <v>2017</v>
      </c>
      <c r="E561" t="s">
        <v>6</v>
      </c>
      <c r="F561">
        <v>110.9</v>
      </c>
    </row>
    <row r="562" spans="1:6" x14ac:dyDescent="0.25">
      <c r="A562" t="s">
        <v>14</v>
      </c>
      <c r="B562" s="7">
        <v>42817</v>
      </c>
      <c r="C562">
        <f t="shared" si="7"/>
        <v>2017</v>
      </c>
      <c r="E562" t="s">
        <v>6</v>
      </c>
      <c r="F562">
        <v>101.5</v>
      </c>
    </row>
    <row r="563" spans="1:6" x14ac:dyDescent="0.25">
      <c r="A563" t="s">
        <v>14</v>
      </c>
      <c r="B563" s="7">
        <v>42817</v>
      </c>
      <c r="C563">
        <f t="shared" si="7"/>
        <v>2017</v>
      </c>
      <c r="E563" t="s">
        <v>6</v>
      </c>
      <c r="F563">
        <v>112.1</v>
      </c>
    </row>
    <row r="564" spans="1:6" x14ac:dyDescent="0.25">
      <c r="A564" t="s">
        <v>14</v>
      </c>
      <c r="B564" s="7">
        <v>42817</v>
      </c>
      <c r="C564">
        <f t="shared" si="7"/>
        <v>2017</v>
      </c>
      <c r="E564" t="s">
        <v>6</v>
      </c>
      <c r="F564">
        <v>105.8</v>
      </c>
    </row>
    <row r="565" spans="1:6" x14ac:dyDescent="0.25">
      <c r="A565" t="s">
        <v>14</v>
      </c>
      <c r="B565" s="7">
        <v>42831</v>
      </c>
      <c r="C565">
        <f t="shared" si="7"/>
        <v>2017</v>
      </c>
      <c r="E565" t="s">
        <v>6</v>
      </c>
      <c r="F565">
        <v>126.1</v>
      </c>
    </row>
    <row r="566" spans="1:6" x14ac:dyDescent="0.25">
      <c r="A566" t="s">
        <v>14</v>
      </c>
      <c r="B566" s="7">
        <v>42832</v>
      </c>
      <c r="C566">
        <f t="shared" si="7"/>
        <v>2017</v>
      </c>
      <c r="E566" t="s">
        <v>6</v>
      </c>
      <c r="F566">
        <v>109.7</v>
      </c>
    </row>
    <row r="567" spans="1:6" x14ac:dyDescent="0.25">
      <c r="A567" t="s">
        <v>14</v>
      </c>
      <c r="B567" s="7">
        <v>42832</v>
      </c>
      <c r="C567">
        <f t="shared" si="7"/>
        <v>2017</v>
      </c>
      <c r="E567" t="s">
        <v>6</v>
      </c>
      <c r="F567">
        <v>123.2</v>
      </c>
    </row>
    <row r="568" spans="1:6" x14ac:dyDescent="0.25">
      <c r="A568" t="s">
        <v>14</v>
      </c>
      <c r="B568" s="7">
        <v>42832</v>
      </c>
      <c r="C568">
        <f t="shared" si="7"/>
        <v>2017</v>
      </c>
      <c r="E568" t="s">
        <v>6</v>
      </c>
      <c r="F568">
        <v>116.9</v>
      </c>
    </row>
    <row r="569" spans="1:6" x14ac:dyDescent="0.25">
      <c r="A569" t="s">
        <v>14</v>
      </c>
      <c r="B569" s="7">
        <v>42837</v>
      </c>
      <c r="C569">
        <f t="shared" si="7"/>
        <v>2017</v>
      </c>
      <c r="E569" t="s">
        <v>6</v>
      </c>
      <c r="F569">
        <v>128.69999999999999</v>
      </c>
    </row>
    <row r="570" spans="1:6" x14ac:dyDescent="0.25">
      <c r="A570" t="s">
        <v>14</v>
      </c>
      <c r="B570" s="7">
        <v>42838</v>
      </c>
      <c r="C570">
        <f t="shared" si="7"/>
        <v>2017</v>
      </c>
      <c r="E570" t="s">
        <v>6</v>
      </c>
      <c r="F570">
        <v>115.1</v>
      </c>
    </row>
    <row r="571" spans="1:6" x14ac:dyDescent="0.25">
      <c r="A571" t="s">
        <v>14</v>
      </c>
      <c r="B571" s="7">
        <v>42838</v>
      </c>
      <c r="C571">
        <f t="shared" si="7"/>
        <v>2017</v>
      </c>
      <c r="E571" t="s">
        <v>6</v>
      </c>
      <c r="F571">
        <v>127.2</v>
      </c>
    </row>
    <row r="572" spans="1:6" x14ac:dyDescent="0.25">
      <c r="A572" t="s">
        <v>14</v>
      </c>
      <c r="B572" s="7">
        <v>42838</v>
      </c>
      <c r="C572">
        <f t="shared" si="7"/>
        <v>2017</v>
      </c>
      <c r="E572" t="s">
        <v>6</v>
      </c>
      <c r="F572">
        <v>119.1</v>
      </c>
    </row>
    <row r="573" spans="1:6" x14ac:dyDescent="0.25">
      <c r="A573" t="s">
        <v>14</v>
      </c>
      <c r="B573" s="7">
        <v>42844</v>
      </c>
      <c r="C573">
        <f t="shared" si="7"/>
        <v>2017</v>
      </c>
      <c r="E573" t="s">
        <v>6</v>
      </c>
      <c r="F573">
        <v>131.69999999999999</v>
      </c>
    </row>
    <row r="574" spans="1:6" x14ac:dyDescent="0.25">
      <c r="A574" t="s">
        <v>14</v>
      </c>
      <c r="B574" s="7">
        <v>42845</v>
      </c>
      <c r="C574">
        <f t="shared" si="7"/>
        <v>2017</v>
      </c>
      <c r="E574" t="s">
        <v>6</v>
      </c>
      <c r="F574">
        <v>116</v>
      </c>
    </row>
    <row r="575" spans="1:6" x14ac:dyDescent="0.25">
      <c r="A575" t="s">
        <v>14</v>
      </c>
      <c r="B575" s="7">
        <v>42845</v>
      </c>
      <c r="C575">
        <f t="shared" si="7"/>
        <v>2017</v>
      </c>
      <c r="E575" t="s">
        <v>6</v>
      </c>
      <c r="F575">
        <v>125.3</v>
      </c>
    </row>
    <row r="576" spans="1:6" x14ac:dyDescent="0.25">
      <c r="A576" t="s">
        <v>14</v>
      </c>
      <c r="B576" s="7">
        <v>42845</v>
      </c>
      <c r="C576">
        <f t="shared" si="7"/>
        <v>2017</v>
      </c>
      <c r="E576" t="s">
        <v>6</v>
      </c>
      <c r="F576">
        <v>120.2</v>
      </c>
    </row>
    <row r="577" spans="1:6" x14ac:dyDescent="0.25">
      <c r="A577" t="s">
        <v>14</v>
      </c>
      <c r="B577" s="7">
        <v>42853</v>
      </c>
      <c r="C577">
        <f t="shared" si="7"/>
        <v>2017</v>
      </c>
      <c r="E577" t="s">
        <v>6</v>
      </c>
      <c r="F577">
        <v>114.2</v>
      </c>
    </row>
    <row r="578" spans="1:6" x14ac:dyDescent="0.25">
      <c r="A578" t="s">
        <v>14</v>
      </c>
      <c r="B578" s="7">
        <v>42853</v>
      </c>
      <c r="C578">
        <f t="shared" si="7"/>
        <v>2017</v>
      </c>
      <c r="E578" t="s">
        <v>6</v>
      </c>
      <c r="F578">
        <v>125.6</v>
      </c>
    </row>
    <row r="579" spans="1:6" x14ac:dyDescent="0.25">
      <c r="A579" t="s">
        <v>14</v>
      </c>
      <c r="B579" s="7">
        <v>42853</v>
      </c>
      <c r="C579">
        <f t="shared" si="7"/>
        <v>2017</v>
      </c>
      <c r="E579" t="s">
        <v>6</v>
      </c>
      <c r="F579">
        <v>120.9</v>
      </c>
    </row>
    <row r="580" spans="1:6" x14ac:dyDescent="0.25">
      <c r="A580" t="s">
        <v>14</v>
      </c>
      <c r="B580" s="7">
        <v>42853</v>
      </c>
      <c r="C580">
        <f t="shared" si="7"/>
        <v>2017</v>
      </c>
      <c r="E580" t="s">
        <v>6</v>
      </c>
      <c r="F580">
        <v>130.30000000000001</v>
      </c>
    </row>
    <row r="581" spans="1:6" x14ac:dyDescent="0.25">
      <c r="A581" t="s">
        <v>14</v>
      </c>
      <c r="B581" s="7">
        <v>42858</v>
      </c>
      <c r="C581">
        <f t="shared" si="7"/>
        <v>2017</v>
      </c>
      <c r="E581" t="s">
        <v>6</v>
      </c>
      <c r="F581">
        <v>135.9</v>
      </c>
    </row>
    <row r="582" spans="1:6" x14ac:dyDescent="0.25">
      <c r="A582" t="s">
        <v>14</v>
      </c>
      <c r="B582" s="7">
        <v>42859</v>
      </c>
      <c r="C582">
        <f t="shared" si="7"/>
        <v>2017</v>
      </c>
      <c r="E582" t="s">
        <v>6</v>
      </c>
      <c r="F582">
        <v>128.4</v>
      </c>
    </row>
    <row r="583" spans="1:6" x14ac:dyDescent="0.25">
      <c r="A583" t="s">
        <v>14</v>
      </c>
      <c r="B583" s="7">
        <v>42860</v>
      </c>
      <c r="C583">
        <f t="shared" si="7"/>
        <v>2017</v>
      </c>
      <c r="E583" t="s">
        <v>6</v>
      </c>
      <c r="F583">
        <v>116</v>
      </c>
    </row>
    <row r="584" spans="1:6" x14ac:dyDescent="0.25">
      <c r="A584" t="s">
        <v>14</v>
      </c>
      <c r="B584" s="7">
        <v>42860</v>
      </c>
      <c r="C584">
        <f t="shared" si="7"/>
        <v>2017</v>
      </c>
      <c r="E584" t="s">
        <v>6</v>
      </c>
      <c r="F584">
        <v>121.5</v>
      </c>
    </row>
    <row r="585" spans="1:6" x14ac:dyDescent="0.25">
      <c r="A585" t="s">
        <v>14</v>
      </c>
      <c r="B585" s="7">
        <v>42872</v>
      </c>
      <c r="C585">
        <f t="shared" si="7"/>
        <v>2017</v>
      </c>
      <c r="E585" t="s">
        <v>6</v>
      </c>
      <c r="F585">
        <v>130.30000000000001</v>
      </c>
    </row>
    <row r="586" spans="1:6" x14ac:dyDescent="0.25">
      <c r="A586" t="s">
        <v>14</v>
      </c>
      <c r="B586" s="7">
        <v>42873</v>
      </c>
      <c r="C586">
        <f t="shared" si="7"/>
        <v>2017</v>
      </c>
      <c r="E586" t="s">
        <v>6</v>
      </c>
      <c r="F586">
        <v>121.6</v>
      </c>
    </row>
    <row r="587" spans="1:6" x14ac:dyDescent="0.25">
      <c r="A587" t="s">
        <v>14</v>
      </c>
      <c r="B587" s="7">
        <v>42873</v>
      </c>
      <c r="C587">
        <f t="shared" si="7"/>
        <v>2017</v>
      </c>
      <c r="E587" t="s">
        <v>6</v>
      </c>
      <c r="F587">
        <v>131.6</v>
      </c>
    </row>
    <row r="588" spans="1:6" x14ac:dyDescent="0.25">
      <c r="A588" t="s">
        <v>14</v>
      </c>
      <c r="B588" s="7">
        <v>42873</v>
      </c>
      <c r="C588">
        <f t="shared" si="7"/>
        <v>2017</v>
      </c>
      <c r="E588" t="s">
        <v>6</v>
      </c>
      <c r="F588">
        <v>123</v>
      </c>
    </row>
    <row r="589" spans="1:6" x14ac:dyDescent="0.25">
      <c r="A589" t="s">
        <v>14</v>
      </c>
      <c r="B589" s="7">
        <v>42886</v>
      </c>
      <c r="C589">
        <f t="shared" si="7"/>
        <v>2017</v>
      </c>
      <c r="E589" t="s">
        <v>6</v>
      </c>
      <c r="F589">
        <v>133.1</v>
      </c>
    </row>
    <row r="590" spans="1:6" x14ac:dyDescent="0.25">
      <c r="A590" t="s">
        <v>14</v>
      </c>
      <c r="B590" s="7">
        <v>42887</v>
      </c>
      <c r="C590">
        <f t="shared" si="7"/>
        <v>2017</v>
      </c>
      <c r="E590" t="s">
        <v>6</v>
      </c>
      <c r="F590">
        <v>116.4</v>
      </c>
    </row>
    <row r="591" spans="1:6" x14ac:dyDescent="0.25">
      <c r="A591" t="s">
        <v>14</v>
      </c>
      <c r="B591" s="7">
        <v>42887</v>
      </c>
      <c r="C591">
        <f t="shared" si="7"/>
        <v>2017</v>
      </c>
      <c r="E591" t="s">
        <v>6</v>
      </c>
      <c r="F591">
        <v>131.9</v>
      </c>
    </row>
    <row r="592" spans="1:6" x14ac:dyDescent="0.25">
      <c r="A592" t="s">
        <v>14</v>
      </c>
      <c r="B592" s="7">
        <v>42887</v>
      </c>
      <c r="C592">
        <f t="shared" si="7"/>
        <v>2017</v>
      </c>
      <c r="E592" t="s">
        <v>6</v>
      </c>
      <c r="F592">
        <v>124.7</v>
      </c>
    </row>
    <row r="593" spans="1:6" x14ac:dyDescent="0.25">
      <c r="A593" t="s">
        <v>14</v>
      </c>
      <c r="B593" s="7">
        <v>42893</v>
      </c>
      <c r="C593">
        <f t="shared" si="7"/>
        <v>2017</v>
      </c>
      <c r="E593" t="s">
        <v>6</v>
      </c>
      <c r="F593">
        <v>119</v>
      </c>
    </row>
    <row r="594" spans="1:6" x14ac:dyDescent="0.25">
      <c r="A594" t="s">
        <v>14</v>
      </c>
      <c r="B594" s="7">
        <v>42893</v>
      </c>
      <c r="C594">
        <f t="shared" si="7"/>
        <v>2017</v>
      </c>
      <c r="E594" t="s">
        <v>6</v>
      </c>
      <c r="F594">
        <v>121.2</v>
      </c>
    </row>
    <row r="595" spans="1:6" x14ac:dyDescent="0.25">
      <c r="A595" t="s">
        <v>14</v>
      </c>
      <c r="B595" s="7">
        <v>42894</v>
      </c>
      <c r="C595">
        <f t="shared" si="7"/>
        <v>2017</v>
      </c>
      <c r="E595" t="s">
        <v>6</v>
      </c>
      <c r="F595">
        <v>132.6</v>
      </c>
    </row>
    <row r="596" spans="1:6" x14ac:dyDescent="0.25">
      <c r="A596" t="s">
        <v>14</v>
      </c>
      <c r="B596" s="7">
        <v>42907</v>
      </c>
      <c r="C596">
        <f t="shared" si="7"/>
        <v>2017</v>
      </c>
      <c r="E596" t="s">
        <v>6</v>
      </c>
      <c r="F596">
        <v>117.5</v>
      </c>
    </row>
    <row r="597" spans="1:6" x14ac:dyDescent="0.25">
      <c r="A597" t="s">
        <v>14</v>
      </c>
      <c r="B597" s="7">
        <v>42907</v>
      </c>
      <c r="C597">
        <f t="shared" si="7"/>
        <v>2017</v>
      </c>
      <c r="E597" t="s">
        <v>6</v>
      </c>
      <c r="F597">
        <v>121.7</v>
      </c>
    </row>
    <row r="598" spans="1:6" x14ac:dyDescent="0.25">
      <c r="A598" t="s">
        <v>14</v>
      </c>
      <c r="B598" s="7">
        <v>42908</v>
      </c>
      <c r="C598">
        <f t="shared" si="7"/>
        <v>2017</v>
      </c>
      <c r="E598" t="s">
        <v>6</v>
      </c>
      <c r="F598">
        <v>130.1</v>
      </c>
    </row>
    <row r="599" spans="1:6" x14ac:dyDescent="0.25">
      <c r="A599" t="s">
        <v>14</v>
      </c>
      <c r="B599" s="7">
        <v>43115</v>
      </c>
      <c r="C599">
        <f t="shared" si="7"/>
        <v>2018</v>
      </c>
      <c r="E599" t="s">
        <v>6</v>
      </c>
      <c r="F599">
        <v>59.6</v>
      </c>
    </row>
    <row r="600" spans="1:6" x14ac:dyDescent="0.25">
      <c r="A600" t="s">
        <v>14</v>
      </c>
      <c r="B600" s="7">
        <v>43115</v>
      </c>
      <c r="C600">
        <f t="shared" si="7"/>
        <v>2018</v>
      </c>
      <c r="E600" t="s">
        <v>6</v>
      </c>
      <c r="F600">
        <v>67.7</v>
      </c>
    </row>
    <row r="601" spans="1:6" x14ac:dyDescent="0.25">
      <c r="A601" t="s">
        <v>14</v>
      </c>
      <c r="B601" s="7">
        <v>43116</v>
      </c>
      <c r="C601">
        <f t="shared" si="7"/>
        <v>2018</v>
      </c>
      <c r="E601" t="s">
        <v>6</v>
      </c>
      <c r="F601">
        <v>63.1</v>
      </c>
    </row>
    <row r="602" spans="1:6" x14ac:dyDescent="0.25">
      <c r="A602" t="s">
        <v>14</v>
      </c>
      <c r="B602" s="7">
        <v>43116</v>
      </c>
      <c r="C602">
        <f t="shared" si="7"/>
        <v>2018</v>
      </c>
      <c r="E602" t="s">
        <v>6</v>
      </c>
      <c r="F602">
        <v>68.400000000000006</v>
      </c>
    </row>
    <row r="603" spans="1:6" x14ac:dyDescent="0.25">
      <c r="A603" t="s">
        <v>14</v>
      </c>
      <c r="B603" s="7">
        <v>43150</v>
      </c>
      <c r="C603">
        <f t="shared" si="7"/>
        <v>2018</v>
      </c>
      <c r="E603" t="s">
        <v>6</v>
      </c>
      <c r="F603">
        <v>81.5</v>
      </c>
    </row>
    <row r="604" spans="1:6" x14ac:dyDescent="0.25">
      <c r="A604" t="s">
        <v>14</v>
      </c>
      <c r="B604" s="7">
        <v>43150</v>
      </c>
      <c r="C604">
        <f t="shared" si="7"/>
        <v>2018</v>
      </c>
      <c r="E604" t="s">
        <v>6</v>
      </c>
      <c r="F604">
        <v>88</v>
      </c>
    </row>
    <row r="605" spans="1:6" x14ac:dyDescent="0.25">
      <c r="A605" t="s">
        <v>14</v>
      </c>
      <c r="B605" s="7">
        <v>43151</v>
      </c>
      <c r="C605">
        <f t="shared" si="7"/>
        <v>2018</v>
      </c>
      <c r="E605" t="s">
        <v>6</v>
      </c>
      <c r="F605">
        <v>77.2</v>
      </c>
    </row>
    <row r="606" spans="1:6" x14ac:dyDescent="0.25">
      <c r="A606" t="s">
        <v>14</v>
      </c>
      <c r="B606" s="7">
        <v>43151</v>
      </c>
      <c r="C606">
        <f t="shared" si="7"/>
        <v>2018</v>
      </c>
      <c r="E606" t="s">
        <v>6</v>
      </c>
      <c r="F606">
        <v>84.2</v>
      </c>
    </row>
    <row r="607" spans="1:6" x14ac:dyDescent="0.25">
      <c r="A607" t="s">
        <v>14</v>
      </c>
      <c r="B607" s="7">
        <v>43164</v>
      </c>
      <c r="C607">
        <f t="shared" si="7"/>
        <v>2018</v>
      </c>
      <c r="E607" t="s">
        <v>6</v>
      </c>
      <c r="F607">
        <v>88.9</v>
      </c>
    </row>
    <row r="608" spans="1:6" x14ac:dyDescent="0.25">
      <c r="A608" t="s">
        <v>14</v>
      </c>
      <c r="B608" s="7">
        <v>43164</v>
      </c>
      <c r="C608">
        <f t="shared" si="7"/>
        <v>2018</v>
      </c>
      <c r="E608" t="s">
        <v>6</v>
      </c>
      <c r="F608">
        <v>93.5</v>
      </c>
    </row>
    <row r="609" spans="1:6" x14ac:dyDescent="0.25">
      <c r="A609" t="s">
        <v>14</v>
      </c>
      <c r="B609" s="7">
        <v>43165</v>
      </c>
      <c r="C609">
        <f t="shared" si="7"/>
        <v>2018</v>
      </c>
      <c r="E609" t="s">
        <v>6</v>
      </c>
      <c r="F609">
        <v>88.1</v>
      </c>
    </row>
    <row r="610" spans="1:6" x14ac:dyDescent="0.25">
      <c r="A610" t="s">
        <v>14</v>
      </c>
      <c r="B610" s="7">
        <v>43165</v>
      </c>
      <c r="C610">
        <f t="shared" si="7"/>
        <v>2018</v>
      </c>
      <c r="E610" t="s">
        <v>6</v>
      </c>
      <c r="F610">
        <v>94.7</v>
      </c>
    </row>
    <row r="611" spans="1:6" x14ac:dyDescent="0.25">
      <c r="A611" t="s">
        <v>14</v>
      </c>
      <c r="B611" s="7">
        <v>43178</v>
      </c>
      <c r="C611">
        <f t="shared" ref="C611:C674" si="8">YEAR(B611)</f>
        <v>2018</v>
      </c>
      <c r="E611" t="s">
        <v>6</v>
      </c>
      <c r="F611">
        <v>92.8</v>
      </c>
    </row>
    <row r="612" spans="1:6" x14ac:dyDescent="0.25">
      <c r="A612" t="s">
        <v>14</v>
      </c>
      <c r="B612" s="7">
        <v>43178</v>
      </c>
      <c r="C612">
        <f t="shared" si="8"/>
        <v>2018</v>
      </c>
      <c r="E612" t="s">
        <v>6</v>
      </c>
      <c r="F612">
        <v>100.4</v>
      </c>
    </row>
    <row r="613" spans="1:6" x14ac:dyDescent="0.25">
      <c r="A613" t="s">
        <v>14</v>
      </c>
      <c r="B613" s="7">
        <v>43179</v>
      </c>
      <c r="C613">
        <f t="shared" si="8"/>
        <v>2018</v>
      </c>
      <c r="E613" t="s">
        <v>6</v>
      </c>
      <c r="F613">
        <v>93.1</v>
      </c>
    </row>
    <row r="614" spans="1:6" x14ac:dyDescent="0.25">
      <c r="A614" t="s">
        <v>14</v>
      </c>
      <c r="B614" s="7">
        <v>43179</v>
      </c>
      <c r="C614">
        <f t="shared" si="8"/>
        <v>2018</v>
      </c>
      <c r="E614" t="s">
        <v>6</v>
      </c>
      <c r="F614">
        <v>96.3</v>
      </c>
    </row>
    <row r="615" spans="1:6" x14ac:dyDescent="0.25">
      <c r="A615" t="s">
        <v>14</v>
      </c>
      <c r="B615" s="7">
        <v>43194</v>
      </c>
      <c r="C615">
        <f t="shared" si="8"/>
        <v>2018</v>
      </c>
      <c r="E615" t="s">
        <v>6</v>
      </c>
      <c r="F615">
        <v>102.6</v>
      </c>
    </row>
    <row r="616" spans="1:6" x14ac:dyDescent="0.25">
      <c r="A616" t="s">
        <v>14</v>
      </c>
      <c r="B616" s="7">
        <v>43194</v>
      </c>
      <c r="C616">
        <f t="shared" si="8"/>
        <v>2018</v>
      </c>
      <c r="E616" t="s">
        <v>6</v>
      </c>
      <c r="F616">
        <v>110.1</v>
      </c>
    </row>
    <row r="617" spans="1:6" x14ac:dyDescent="0.25">
      <c r="A617" t="s">
        <v>14</v>
      </c>
      <c r="B617" s="7">
        <v>43195</v>
      </c>
      <c r="C617">
        <f t="shared" si="8"/>
        <v>2018</v>
      </c>
      <c r="E617" t="s">
        <v>6</v>
      </c>
      <c r="F617">
        <v>98.9</v>
      </c>
    </row>
    <row r="618" spans="1:6" x14ac:dyDescent="0.25">
      <c r="A618" t="s">
        <v>14</v>
      </c>
      <c r="B618" s="7">
        <v>43195</v>
      </c>
      <c r="C618">
        <f t="shared" si="8"/>
        <v>2018</v>
      </c>
      <c r="E618" t="s">
        <v>6</v>
      </c>
      <c r="F618">
        <v>105.7</v>
      </c>
    </row>
    <row r="619" spans="1:6" x14ac:dyDescent="0.25">
      <c r="A619" t="s">
        <v>14</v>
      </c>
      <c r="B619" s="7">
        <v>43200</v>
      </c>
      <c r="C619">
        <f t="shared" si="8"/>
        <v>2018</v>
      </c>
      <c r="E619" t="s">
        <v>6</v>
      </c>
      <c r="F619">
        <v>100.4</v>
      </c>
    </row>
    <row r="620" spans="1:6" x14ac:dyDescent="0.25">
      <c r="A620" t="s">
        <v>14</v>
      </c>
      <c r="B620" s="7">
        <v>43200</v>
      </c>
      <c r="C620">
        <f t="shared" si="8"/>
        <v>2018</v>
      </c>
      <c r="E620" t="s">
        <v>6</v>
      </c>
      <c r="F620">
        <v>111.8</v>
      </c>
    </row>
    <row r="621" spans="1:6" x14ac:dyDescent="0.25">
      <c r="A621" t="s">
        <v>14</v>
      </c>
      <c r="B621" s="7">
        <v>43201</v>
      </c>
      <c r="C621">
        <f t="shared" si="8"/>
        <v>2018</v>
      </c>
      <c r="E621" t="s">
        <v>6</v>
      </c>
      <c r="F621">
        <v>100.7</v>
      </c>
    </row>
    <row r="622" spans="1:6" x14ac:dyDescent="0.25">
      <c r="A622" t="s">
        <v>14</v>
      </c>
      <c r="B622" s="7">
        <v>43201</v>
      </c>
      <c r="C622">
        <f t="shared" si="8"/>
        <v>2018</v>
      </c>
      <c r="E622" t="s">
        <v>6</v>
      </c>
      <c r="F622">
        <v>109.4</v>
      </c>
    </row>
    <row r="623" spans="1:6" x14ac:dyDescent="0.25">
      <c r="A623" t="s">
        <v>14</v>
      </c>
      <c r="B623" s="7">
        <v>43206</v>
      </c>
      <c r="C623">
        <f t="shared" si="8"/>
        <v>2018</v>
      </c>
      <c r="E623" t="s">
        <v>6</v>
      </c>
      <c r="F623">
        <v>102.3</v>
      </c>
    </row>
    <row r="624" spans="1:6" x14ac:dyDescent="0.25">
      <c r="A624" t="s">
        <v>14</v>
      </c>
      <c r="B624" s="7">
        <v>43206</v>
      </c>
      <c r="C624">
        <f t="shared" si="8"/>
        <v>2018</v>
      </c>
      <c r="E624" t="s">
        <v>6</v>
      </c>
      <c r="F624">
        <v>111.2</v>
      </c>
    </row>
    <row r="625" spans="1:6" x14ac:dyDescent="0.25">
      <c r="A625" t="s">
        <v>14</v>
      </c>
      <c r="B625" s="7">
        <v>43209</v>
      </c>
      <c r="C625">
        <f t="shared" si="8"/>
        <v>2018</v>
      </c>
      <c r="E625" t="s">
        <v>6</v>
      </c>
      <c r="F625">
        <v>103.4</v>
      </c>
    </row>
    <row r="626" spans="1:6" x14ac:dyDescent="0.25">
      <c r="A626" t="s">
        <v>14</v>
      </c>
      <c r="B626" s="7">
        <v>43209</v>
      </c>
      <c r="C626">
        <f t="shared" si="8"/>
        <v>2018</v>
      </c>
      <c r="E626" t="s">
        <v>6</v>
      </c>
      <c r="F626">
        <v>114.4</v>
      </c>
    </row>
    <row r="627" spans="1:6" x14ac:dyDescent="0.25">
      <c r="A627" t="s">
        <v>14</v>
      </c>
      <c r="B627" s="7">
        <v>43215</v>
      </c>
      <c r="C627">
        <f t="shared" si="8"/>
        <v>2018</v>
      </c>
      <c r="E627" t="s">
        <v>6</v>
      </c>
      <c r="F627">
        <v>100.7</v>
      </c>
    </row>
    <row r="628" spans="1:6" x14ac:dyDescent="0.25">
      <c r="A628" t="s">
        <v>14</v>
      </c>
      <c r="B628" s="7">
        <v>43215</v>
      </c>
      <c r="C628">
        <f t="shared" si="8"/>
        <v>2018</v>
      </c>
      <c r="E628" t="s">
        <v>6</v>
      </c>
      <c r="F628">
        <v>106.2</v>
      </c>
    </row>
    <row r="629" spans="1:6" x14ac:dyDescent="0.25">
      <c r="A629" t="s">
        <v>14</v>
      </c>
      <c r="B629" s="7">
        <v>43215</v>
      </c>
      <c r="C629">
        <f t="shared" si="8"/>
        <v>2018</v>
      </c>
      <c r="E629" t="s">
        <v>6</v>
      </c>
      <c r="F629">
        <v>118.2</v>
      </c>
    </row>
    <row r="630" spans="1:6" x14ac:dyDescent="0.25">
      <c r="A630" t="s">
        <v>14</v>
      </c>
      <c r="B630" s="7">
        <v>43215</v>
      </c>
      <c r="C630">
        <f t="shared" si="8"/>
        <v>2018</v>
      </c>
      <c r="E630" t="s">
        <v>6</v>
      </c>
      <c r="F630">
        <v>114.1</v>
      </c>
    </row>
    <row r="631" spans="1:6" x14ac:dyDescent="0.25">
      <c r="A631" t="s">
        <v>14</v>
      </c>
      <c r="B631" s="7">
        <v>43221</v>
      </c>
      <c r="C631">
        <f t="shared" si="8"/>
        <v>2018</v>
      </c>
      <c r="E631" t="s">
        <v>6</v>
      </c>
      <c r="F631">
        <v>109.9</v>
      </c>
    </row>
    <row r="632" spans="1:6" x14ac:dyDescent="0.25">
      <c r="A632" t="s">
        <v>14</v>
      </c>
      <c r="B632" s="7">
        <v>43221</v>
      </c>
      <c r="C632">
        <f t="shared" si="8"/>
        <v>2018</v>
      </c>
      <c r="E632" t="s">
        <v>6</v>
      </c>
      <c r="F632">
        <v>114.4</v>
      </c>
    </row>
    <row r="633" spans="1:6" x14ac:dyDescent="0.25">
      <c r="A633" t="s">
        <v>14</v>
      </c>
      <c r="B633" s="7">
        <v>43221</v>
      </c>
      <c r="C633">
        <f t="shared" si="8"/>
        <v>2018</v>
      </c>
      <c r="E633" t="s">
        <v>6</v>
      </c>
      <c r="F633">
        <v>118.9</v>
      </c>
    </row>
    <row r="634" spans="1:6" x14ac:dyDescent="0.25">
      <c r="A634" t="s">
        <v>14</v>
      </c>
      <c r="B634" s="7">
        <v>43221</v>
      </c>
      <c r="C634">
        <f t="shared" si="8"/>
        <v>2018</v>
      </c>
      <c r="E634" t="s">
        <v>6</v>
      </c>
      <c r="F634">
        <v>120.6</v>
      </c>
    </row>
    <row r="635" spans="1:6" x14ac:dyDescent="0.25">
      <c r="A635" t="s">
        <v>14</v>
      </c>
      <c r="B635" s="7">
        <v>43234</v>
      </c>
      <c r="C635">
        <f t="shared" si="8"/>
        <v>2018</v>
      </c>
      <c r="E635" t="s">
        <v>6</v>
      </c>
      <c r="F635">
        <v>109.5</v>
      </c>
    </row>
    <row r="636" spans="1:6" x14ac:dyDescent="0.25">
      <c r="A636" t="s">
        <v>14</v>
      </c>
      <c r="B636" s="7">
        <v>43234</v>
      </c>
      <c r="C636">
        <f t="shared" si="8"/>
        <v>2018</v>
      </c>
      <c r="E636" t="s">
        <v>6</v>
      </c>
      <c r="F636">
        <v>118.4</v>
      </c>
    </row>
    <row r="637" spans="1:6" x14ac:dyDescent="0.25">
      <c r="A637" t="s">
        <v>14</v>
      </c>
      <c r="B637" s="7">
        <v>43235</v>
      </c>
      <c r="C637">
        <f t="shared" si="8"/>
        <v>2018</v>
      </c>
      <c r="E637" t="s">
        <v>6</v>
      </c>
      <c r="F637">
        <v>107</v>
      </c>
    </row>
    <row r="638" spans="1:6" x14ac:dyDescent="0.25">
      <c r="A638" t="s">
        <v>14</v>
      </c>
      <c r="B638" s="7">
        <v>43235</v>
      </c>
      <c r="C638">
        <f t="shared" si="8"/>
        <v>2018</v>
      </c>
      <c r="E638" t="s">
        <v>6</v>
      </c>
      <c r="F638">
        <v>116.6</v>
      </c>
    </row>
    <row r="639" spans="1:6" x14ac:dyDescent="0.25">
      <c r="A639" t="s">
        <v>14</v>
      </c>
      <c r="B639" s="7">
        <v>43248</v>
      </c>
      <c r="C639">
        <f t="shared" si="8"/>
        <v>2018</v>
      </c>
      <c r="E639" t="s">
        <v>6</v>
      </c>
      <c r="F639">
        <v>112.9</v>
      </c>
    </row>
    <row r="640" spans="1:6" x14ac:dyDescent="0.25">
      <c r="A640" t="s">
        <v>14</v>
      </c>
      <c r="B640" s="7">
        <v>43248</v>
      </c>
      <c r="C640">
        <f t="shared" si="8"/>
        <v>2018</v>
      </c>
      <c r="E640" t="s">
        <v>6</v>
      </c>
      <c r="F640">
        <v>118.1</v>
      </c>
    </row>
    <row r="641" spans="1:6" x14ac:dyDescent="0.25">
      <c r="A641" t="s">
        <v>14</v>
      </c>
      <c r="B641" s="7">
        <v>43249</v>
      </c>
      <c r="C641">
        <f t="shared" si="8"/>
        <v>2018</v>
      </c>
      <c r="E641" t="s">
        <v>6</v>
      </c>
      <c r="F641">
        <v>104.3</v>
      </c>
    </row>
    <row r="642" spans="1:6" x14ac:dyDescent="0.25">
      <c r="A642" t="s">
        <v>14</v>
      </c>
      <c r="B642" s="7">
        <v>43249</v>
      </c>
      <c r="C642">
        <f t="shared" si="8"/>
        <v>2018</v>
      </c>
      <c r="E642" t="s">
        <v>6</v>
      </c>
      <c r="F642">
        <v>118.2</v>
      </c>
    </row>
    <row r="643" spans="1:6" x14ac:dyDescent="0.25">
      <c r="A643" t="s">
        <v>14</v>
      </c>
      <c r="B643" s="7">
        <v>43479</v>
      </c>
      <c r="C643">
        <f t="shared" si="8"/>
        <v>2019</v>
      </c>
      <c r="E643" t="s">
        <v>6</v>
      </c>
      <c r="F643">
        <v>58.2</v>
      </c>
    </row>
    <row r="644" spans="1:6" x14ac:dyDescent="0.25">
      <c r="A644" t="s">
        <v>14</v>
      </c>
      <c r="B644" s="7">
        <v>43479</v>
      </c>
      <c r="C644">
        <f t="shared" si="8"/>
        <v>2019</v>
      </c>
      <c r="E644" t="s">
        <v>6</v>
      </c>
      <c r="F644">
        <v>57.8</v>
      </c>
    </row>
    <row r="645" spans="1:6" x14ac:dyDescent="0.25">
      <c r="A645" t="s">
        <v>14</v>
      </c>
      <c r="B645" s="7">
        <v>43479</v>
      </c>
      <c r="C645">
        <f t="shared" si="8"/>
        <v>2019</v>
      </c>
      <c r="E645" t="s">
        <v>6</v>
      </c>
      <c r="F645">
        <v>64.400000000000006</v>
      </c>
    </row>
    <row r="646" spans="1:6" x14ac:dyDescent="0.25">
      <c r="A646" t="s">
        <v>14</v>
      </c>
      <c r="B646" s="7">
        <v>43479</v>
      </c>
      <c r="C646">
        <f t="shared" si="8"/>
        <v>2019</v>
      </c>
      <c r="E646" t="s">
        <v>6</v>
      </c>
      <c r="F646">
        <v>50.5</v>
      </c>
    </row>
    <row r="647" spans="1:6" x14ac:dyDescent="0.25">
      <c r="A647" t="s">
        <v>14</v>
      </c>
      <c r="B647" s="7">
        <v>43514</v>
      </c>
      <c r="C647">
        <f t="shared" si="8"/>
        <v>2019</v>
      </c>
      <c r="E647" t="s">
        <v>6</v>
      </c>
      <c r="F647">
        <v>81.599999999999994</v>
      </c>
    </row>
    <row r="648" spans="1:6" x14ac:dyDescent="0.25">
      <c r="A648" t="s">
        <v>14</v>
      </c>
      <c r="B648" s="7">
        <v>43514</v>
      </c>
      <c r="C648">
        <f t="shared" si="8"/>
        <v>2019</v>
      </c>
      <c r="E648" t="s">
        <v>6</v>
      </c>
      <c r="F648">
        <v>85.6</v>
      </c>
    </row>
    <row r="649" spans="1:6" x14ac:dyDescent="0.25">
      <c r="A649" t="s">
        <v>14</v>
      </c>
      <c r="B649" s="7">
        <v>43514</v>
      </c>
      <c r="C649">
        <f t="shared" si="8"/>
        <v>2019</v>
      </c>
      <c r="E649" t="s">
        <v>6</v>
      </c>
      <c r="F649">
        <v>87.8</v>
      </c>
    </row>
    <row r="650" spans="1:6" x14ac:dyDescent="0.25">
      <c r="A650" t="s">
        <v>14</v>
      </c>
      <c r="B650" s="7">
        <v>43514</v>
      </c>
      <c r="C650">
        <f t="shared" si="8"/>
        <v>2019</v>
      </c>
      <c r="E650" t="s">
        <v>6</v>
      </c>
      <c r="F650">
        <v>74.099999999999994</v>
      </c>
    </row>
    <row r="651" spans="1:6" x14ac:dyDescent="0.25">
      <c r="A651" t="s">
        <v>14</v>
      </c>
      <c r="B651" s="7">
        <v>43528</v>
      </c>
      <c r="C651">
        <f t="shared" si="8"/>
        <v>2019</v>
      </c>
      <c r="E651" t="s">
        <v>6</v>
      </c>
      <c r="F651">
        <v>90.8</v>
      </c>
    </row>
    <row r="652" spans="1:6" x14ac:dyDescent="0.25">
      <c r="A652" t="s">
        <v>14</v>
      </c>
      <c r="B652" s="7">
        <v>43528</v>
      </c>
      <c r="C652">
        <f t="shared" si="8"/>
        <v>2019</v>
      </c>
      <c r="E652" t="s">
        <v>6</v>
      </c>
      <c r="F652">
        <v>89.4</v>
      </c>
    </row>
    <row r="653" spans="1:6" x14ac:dyDescent="0.25">
      <c r="A653" t="s">
        <v>14</v>
      </c>
      <c r="B653" s="7">
        <v>43528</v>
      </c>
      <c r="C653">
        <f t="shared" si="8"/>
        <v>2019</v>
      </c>
      <c r="E653" t="s">
        <v>6</v>
      </c>
      <c r="F653">
        <v>73.5</v>
      </c>
    </row>
    <row r="654" spans="1:6" x14ac:dyDescent="0.25">
      <c r="A654" t="s">
        <v>14</v>
      </c>
      <c r="B654" s="7">
        <v>43529</v>
      </c>
      <c r="C654">
        <f t="shared" si="8"/>
        <v>2019</v>
      </c>
      <c r="E654" t="s">
        <v>6</v>
      </c>
      <c r="F654">
        <v>83.8</v>
      </c>
    </row>
    <row r="655" spans="1:6" x14ac:dyDescent="0.25">
      <c r="A655" t="s">
        <v>14</v>
      </c>
      <c r="B655" s="7">
        <v>43542</v>
      </c>
      <c r="C655">
        <f t="shared" si="8"/>
        <v>2019</v>
      </c>
      <c r="E655" t="s">
        <v>6</v>
      </c>
      <c r="F655">
        <v>98.2</v>
      </c>
    </row>
    <row r="656" spans="1:6" x14ac:dyDescent="0.25">
      <c r="A656" t="s">
        <v>14</v>
      </c>
      <c r="B656" s="7">
        <v>43542</v>
      </c>
      <c r="C656">
        <f t="shared" si="8"/>
        <v>2019</v>
      </c>
      <c r="E656" t="s">
        <v>6</v>
      </c>
      <c r="F656">
        <v>81.7</v>
      </c>
    </row>
    <row r="657" spans="1:6" x14ac:dyDescent="0.25">
      <c r="A657" t="s">
        <v>14</v>
      </c>
      <c r="B657" s="7">
        <v>43543</v>
      </c>
      <c r="C657">
        <f t="shared" si="8"/>
        <v>2019</v>
      </c>
      <c r="E657" t="s">
        <v>6</v>
      </c>
      <c r="F657">
        <v>95.2</v>
      </c>
    </row>
    <row r="658" spans="1:6" x14ac:dyDescent="0.25">
      <c r="A658" t="s">
        <v>14</v>
      </c>
      <c r="B658" s="7">
        <v>43557</v>
      </c>
      <c r="C658">
        <f t="shared" si="8"/>
        <v>2019</v>
      </c>
      <c r="E658" t="s">
        <v>6</v>
      </c>
      <c r="F658">
        <v>100.7</v>
      </c>
    </row>
    <row r="659" spans="1:6" x14ac:dyDescent="0.25">
      <c r="A659" t="s">
        <v>14</v>
      </c>
      <c r="B659" s="7">
        <v>43557</v>
      </c>
      <c r="C659">
        <f t="shared" si="8"/>
        <v>2019</v>
      </c>
      <c r="E659" t="s">
        <v>6</v>
      </c>
      <c r="F659">
        <v>106</v>
      </c>
    </row>
    <row r="660" spans="1:6" x14ac:dyDescent="0.25">
      <c r="A660" t="s">
        <v>14</v>
      </c>
      <c r="B660" s="7">
        <v>43557</v>
      </c>
      <c r="C660">
        <f t="shared" si="8"/>
        <v>2019</v>
      </c>
      <c r="E660" t="s">
        <v>6</v>
      </c>
      <c r="F660">
        <v>107.4</v>
      </c>
    </row>
    <row r="661" spans="1:6" x14ac:dyDescent="0.25">
      <c r="A661" t="s">
        <v>14</v>
      </c>
      <c r="B661" s="7">
        <v>43557</v>
      </c>
      <c r="C661">
        <f t="shared" si="8"/>
        <v>2019</v>
      </c>
      <c r="E661" t="s">
        <v>6</v>
      </c>
      <c r="F661">
        <v>89.5</v>
      </c>
    </row>
    <row r="662" spans="1:6" x14ac:dyDescent="0.25">
      <c r="A662" t="s">
        <v>14</v>
      </c>
      <c r="B662" s="7">
        <v>43564</v>
      </c>
      <c r="C662">
        <f t="shared" si="8"/>
        <v>2019</v>
      </c>
      <c r="E662" t="s">
        <v>6</v>
      </c>
      <c r="F662">
        <v>102.5</v>
      </c>
    </row>
    <row r="663" spans="1:6" x14ac:dyDescent="0.25">
      <c r="A663" t="s">
        <v>14</v>
      </c>
      <c r="B663" s="7">
        <v>43564</v>
      </c>
      <c r="C663">
        <f t="shared" si="8"/>
        <v>2019</v>
      </c>
      <c r="E663" t="s">
        <v>6</v>
      </c>
      <c r="F663">
        <v>110.4</v>
      </c>
    </row>
    <row r="664" spans="1:6" x14ac:dyDescent="0.25">
      <c r="A664" t="s">
        <v>14</v>
      </c>
      <c r="B664" s="7">
        <v>43564</v>
      </c>
      <c r="C664">
        <f t="shared" si="8"/>
        <v>2019</v>
      </c>
      <c r="E664" t="s">
        <v>6</v>
      </c>
      <c r="F664">
        <v>109</v>
      </c>
    </row>
    <row r="665" spans="1:6" x14ac:dyDescent="0.25">
      <c r="A665" t="s">
        <v>14</v>
      </c>
      <c r="B665" s="7">
        <v>43564</v>
      </c>
      <c r="C665">
        <f t="shared" si="8"/>
        <v>2019</v>
      </c>
      <c r="E665" t="s">
        <v>6</v>
      </c>
      <c r="F665">
        <v>94.3</v>
      </c>
    </row>
    <row r="666" spans="1:6" x14ac:dyDescent="0.25">
      <c r="A666" t="s">
        <v>14</v>
      </c>
      <c r="B666" s="7">
        <v>43570</v>
      </c>
      <c r="C666">
        <f t="shared" si="8"/>
        <v>2019</v>
      </c>
      <c r="E666" t="s">
        <v>6</v>
      </c>
      <c r="F666">
        <v>104.4</v>
      </c>
    </row>
    <row r="667" spans="1:6" x14ac:dyDescent="0.25">
      <c r="A667" t="s">
        <v>14</v>
      </c>
      <c r="B667" s="7">
        <v>43570</v>
      </c>
      <c r="C667">
        <f t="shared" si="8"/>
        <v>2019</v>
      </c>
      <c r="E667" t="s">
        <v>6</v>
      </c>
      <c r="F667">
        <v>108</v>
      </c>
    </row>
    <row r="668" spans="1:6" x14ac:dyDescent="0.25">
      <c r="A668" t="s">
        <v>14</v>
      </c>
      <c r="B668" s="7">
        <v>43570</v>
      </c>
      <c r="C668">
        <f t="shared" si="8"/>
        <v>2019</v>
      </c>
      <c r="E668" t="s">
        <v>6</v>
      </c>
      <c r="F668">
        <v>113.2</v>
      </c>
    </row>
    <row r="669" spans="1:6" x14ac:dyDescent="0.25">
      <c r="A669" t="s">
        <v>14</v>
      </c>
      <c r="B669" s="7">
        <v>43570</v>
      </c>
      <c r="C669">
        <f t="shared" si="8"/>
        <v>2019</v>
      </c>
      <c r="E669" t="s">
        <v>6</v>
      </c>
      <c r="F669">
        <v>94.4</v>
      </c>
    </row>
    <row r="670" spans="1:6" x14ac:dyDescent="0.25">
      <c r="A670" t="s">
        <v>14</v>
      </c>
      <c r="B670" s="7">
        <v>43577</v>
      </c>
      <c r="C670">
        <f t="shared" si="8"/>
        <v>2019</v>
      </c>
      <c r="E670" t="s">
        <v>6</v>
      </c>
      <c r="F670">
        <v>102.6</v>
      </c>
    </row>
    <row r="671" spans="1:6" x14ac:dyDescent="0.25">
      <c r="A671" t="s">
        <v>14</v>
      </c>
      <c r="B671" s="7">
        <v>43577</v>
      </c>
      <c r="C671">
        <f t="shared" si="8"/>
        <v>2019</v>
      </c>
      <c r="E671" t="s">
        <v>6</v>
      </c>
      <c r="F671">
        <v>110.5</v>
      </c>
    </row>
    <row r="672" spans="1:6" x14ac:dyDescent="0.25">
      <c r="A672" t="s">
        <v>14</v>
      </c>
      <c r="B672" s="7">
        <v>43577</v>
      </c>
      <c r="C672">
        <f t="shared" si="8"/>
        <v>2019</v>
      </c>
      <c r="E672" t="s">
        <v>6</v>
      </c>
      <c r="F672">
        <v>108.9</v>
      </c>
    </row>
    <row r="673" spans="1:6" x14ac:dyDescent="0.25">
      <c r="A673" t="s">
        <v>14</v>
      </c>
      <c r="B673" s="7">
        <v>43577</v>
      </c>
      <c r="C673">
        <f t="shared" si="8"/>
        <v>2019</v>
      </c>
      <c r="E673" t="s">
        <v>6</v>
      </c>
      <c r="F673">
        <v>95</v>
      </c>
    </row>
    <row r="674" spans="1:6" x14ac:dyDescent="0.25">
      <c r="A674" t="s">
        <v>14</v>
      </c>
      <c r="B674" s="7">
        <v>43584</v>
      </c>
      <c r="C674">
        <f t="shared" si="8"/>
        <v>2019</v>
      </c>
      <c r="E674" t="s">
        <v>6</v>
      </c>
      <c r="F674">
        <v>93.8</v>
      </c>
    </row>
    <row r="675" spans="1:6" x14ac:dyDescent="0.25">
      <c r="A675" t="s">
        <v>14</v>
      </c>
      <c r="B675" s="7">
        <v>43584</v>
      </c>
      <c r="C675">
        <f t="shared" ref="C675:C738" si="9">YEAR(B675)</f>
        <v>2019</v>
      </c>
      <c r="E675" t="s">
        <v>6</v>
      </c>
      <c r="F675">
        <v>98.5</v>
      </c>
    </row>
    <row r="676" spans="1:6" x14ac:dyDescent="0.25">
      <c r="A676" t="s">
        <v>14</v>
      </c>
      <c r="B676" s="7">
        <v>43584</v>
      </c>
      <c r="C676">
        <f t="shared" si="9"/>
        <v>2019</v>
      </c>
      <c r="E676" t="s">
        <v>6</v>
      </c>
      <c r="F676">
        <v>102.3</v>
      </c>
    </row>
    <row r="677" spans="1:6" x14ac:dyDescent="0.25">
      <c r="A677" t="s">
        <v>14</v>
      </c>
      <c r="B677" s="7">
        <v>43584</v>
      </c>
      <c r="C677">
        <f t="shared" si="9"/>
        <v>2019</v>
      </c>
      <c r="E677" t="s">
        <v>6</v>
      </c>
      <c r="F677">
        <v>85.4</v>
      </c>
    </row>
    <row r="678" spans="1:6" x14ac:dyDescent="0.25">
      <c r="A678" t="s">
        <v>14</v>
      </c>
      <c r="B678" s="7">
        <v>43612</v>
      </c>
      <c r="C678">
        <f t="shared" si="9"/>
        <v>2019</v>
      </c>
      <c r="E678" t="s">
        <v>6</v>
      </c>
      <c r="F678">
        <v>116.6</v>
      </c>
    </row>
    <row r="679" spans="1:6" x14ac:dyDescent="0.25">
      <c r="A679" t="s">
        <v>14</v>
      </c>
      <c r="B679" s="7">
        <v>43612</v>
      </c>
      <c r="C679">
        <f t="shared" si="9"/>
        <v>2019</v>
      </c>
      <c r="E679" t="s">
        <v>6</v>
      </c>
      <c r="F679">
        <v>97.5</v>
      </c>
    </row>
    <row r="680" spans="1:6" x14ac:dyDescent="0.25">
      <c r="A680" t="s">
        <v>14</v>
      </c>
      <c r="B680" s="7">
        <v>43613</v>
      </c>
      <c r="C680">
        <f t="shared" si="9"/>
        <v>2019</v>
      </c>
      <c r="E680" t="s">
        <v>6</v>
      </c>
      <c r="F680">
        <v>104.5</v>
      </c>
    </row>
    <row r="681" spans="1:6" x14ac:dyDescent="0.25">
      <c r="A681" t="s">
        <v>14</v>
      </c>
      <c r="B681" s="7">
        <v>43613</v>
      </c>
      <c r="C681">
        <f t="shared" si="9"/>
        <v>2019</v>
      </c>
      <c r="E681" t="s">
        <v>6</v>
      </c>
      <c r="F681">
        <v>114</v>
      </c>
    </row>
    <row r="682" spans="1:6" x14ac:dyDescent="0.25">
      <c r="A682" t="s">
        <v>14</v>
      </c>
      <c r="B682" s="7">
        <v>43850</v>
      </c>
      <c r="C682">
        <f t="shared" si="9"/>
        <v>2020</v>
      </c>
      <c r="E682" t="s">
        <v>6</v>
      </c>
      <c r="F682">
        <v>56.7</v>
      </c>
    </row>
    <row r="683" spans="1:6" x14ac:dyDescent="0.25">
      <c r="A683" t="s">
        <v>14</v>
      </c>
      <c r="B683" s="7">
        <v>43850</v>
      </c>
      <c r="C683">
        <f t="shared" si="9"/>
        <v>2020</v>
      </c>
      <c r="E683" t="s">
        <v>6</v>
      </c>
      <c r="F683">
        <v>70.8</v>
      </c>
    </row>
    <row r="684" spans="1:6" x14ac:dyDescent="0.25">
      <c r="A684" t="s">
        <v>14</v>
      </c>
      <c r="B684" s="7">
        <v>43851</v>
      </c>
      <c r="C684">
        <f t="shared" si="9"/>
        <v>2020</v>
      </c>
      <c r="E684" t="s">
        <v>6</v>
      </c>
      <c r="F684">
        <v>74.599999999999994</v>
      </c>
    </row>
    <row r="685" spans="1:6" x14ac:dyDescent="0.25">
      <c r="A685" t="s">
        <v>14</v>
      </c>
      <c r="B685" s="7">
        <v>43878</v>
      </c>
      <c r="C685">
        <f t="shared" si="9"/>
        <v>2020</v>
      </c>
      <c r="E685" t="s">
        <v>6</v>
      </c>
      <c r="F685">
        <v>75.900000000000006</v>
      </c>
    </row>
    <row r="686" spans="1:6" x14ac:dyDescent="0.25">
      <c r="A686" t="s">
        <v>14</v>
      </c>
      <c r="B686" s="7">
        <v>43878</v>
      </c>
      <c r="C686">
        <f t="shared" si="9"/>
        <v>2020</v>
      </c>
      <c r="E686" t="s">
        <v>6</v>
      </c>
      <c r="F686">
        <v>87.8</v>
      </c>
    </row>
    <row r="687" spans="1:6" x14ac:dyDescent="0.25">
      <c r="A687" t="s">
        <v>14</v>
      </c>
      <c r="B687" s="7">
        <v>43880</v>
      </c>
      <c r="C687">
        <f t="shared" si="9"/>
        <v>2020</v>
      </c>
      <c r="E687" t="s">
        <v>6</v>
      </c>
      <c r="F687">
        <v>85.9</v>
      </c>
    </row>
    <row r="688" spans="1:6" x14ac:dyDescent="0.25">
      <c r="A688" t="s">
        <v>14</v>
      </c>
      <c r="B688" s="7">
        <v>43892</v>
      </c>
      <c r="C688">
        <f t="shared" si="9"/>
        <v>2020</v>
      </c>
      <c r="E688" t="s">
        <v>6</v>
      </c>
      <c r="F688">
        <v>78.099999999999994</v>
      </c>
    </row>
    <row r="689" spans="1:6" x14ac:dyDescent="0.25">
      <c r="A689" t="s">
        <v>14</v>
      </c>
      <c r="B689" s="7">
        <v>43892</v>
      </c>
      <c r="C689">
        <f t="shared" si="9"/>
        <v>2020</v>
      </c>
      <c r="E689" t="s">
        <v>6</v>
      </c>
      <c r="F689">
        <v>99.8</v>
      </c>
    </row>
    <row r="690" spans="1:6" x14ac:dyDescent="0.25">
      <c r="A690" t="s">
        <v>14</v>
      </c>
      <c r="B690" s="7">
        <v>43894</v>
      </c>
      <c r="C690">
        <f t="shared" si="9"/>
        <v>2020</v>
      </c>
      <c r="E690" t="s">
        <v>6</v>
      </c>
      <c r="F690">
        <v>92.5</v>
      </c>
    </row>
    <row r="691" spans="1:6" x14ac:dyDescent="0.25">
      <c r="A691" t="s">
        <v>14</v>
      </c>
      <c r="B691" s="7">
        <v>43906</v>
      </c>
      <c r="C691">
        <f t="shared" si="9"/>
        <v>2020</v>
      </c>
      <c r="E691" t="s">
        <v>6</v>
      </c>
      <c r="F691">
        <v>84.3</v>
      </c>
    </row>
    <row r="692" spans="1:6" x14ac:dyDescent="0.25">
      <c r="A692" t="s">
        <v>14</v>
      </c>
      <c r="B692" s="7">
        <v>43906</v>
      </c>
      <c r="C692">
        <f t="shared" si="9"/>
        <v>2020</v>
      </c>
      <c r="E692" t="s">
        <v>6</v>
      </c>
      <c r="F692">
        <v>108.8</v>
      </c>
    </row>
    <row r="693" spans="1:6" x14ac:dyDescent="0.25">
      <c r="A693" t="s">
        <v>14</v>
      </c>
      <c r="B693" s="7">
        <v>43907</v>
      </c>
      <c r="C693">
        <f t="shared" si="9"/>
        <v>2020</v>
      </c>
      <c r="E693" t="s">
        <v>6</v>
      </c>
      <c r="F693">
        <v>99.9</v>
      </c>
    </row>
    <row r="694" spans="1:6" x14ac:dyDescent="0.25">
      <c r="A694" t="s">
        <v>14</v>
      </c>
      <c r="B694" s="7">
        <v>43950</v>
      </c>
      <c r="C694">
        <f t="shared" si="9"/>
        <v>2020</v>
      </c>
      <c r="E694" t="s">
        <v>6</v>
      </c>
      <c r="F694">
        <v>94.6</v>
      </c>
    </row>
    <row r="695" spans="1:6" x14ac:dyDescent="0.25">
      <c r="A695" t="s">
        <v>14</v>
      </c>
      <c r="B695" s="7">
        <v>43950</v>
      </c>
      <c r="C695">
        <f t="shared" si="9"/>
        <v>2020</v>
      </c>
      <c r="E695" t="s">
        <v>6</v>
      </c>
      <c r="F695">
        <v>121.5</v>
      </c>
    </row>
    <row r="696" spans="1:6" x14ac:dyDescent="0.25">
      <c r="A696" t="s">
        <v>14</v>
      </c>
      <c r="B696" s="7">
        <v>43950</v>
      </c>
      <c r="C696">
        <f t="shared" si="9"/>
        <v>2020</v>
      </c>
      <c r="E696" t="s">
        <v>6</v>
      </c>
      <c r="F696">
        <v>113.2</v>
      </c>
    </row>
    <row r="697" spans="1:6" x14ac:dyDescent="0.25">
      <c r="A697" t="s">
        <v>14</v>
      </c>
      <c r="B697" s="7">
        <v>43963</v>
      </c>
      <c r="C697">
        <f t="shared" si="9"/>
        <v>2020</v>
      </c>
      <c r="E697" t="s">
        <v>6</v>
      </c>
      <c r="F697">
        <v>122.7</v>
      </c>
    </row>
    <row r="698" spans="1:6" x14ac:dyDescent="0.25">
      <c r="A698" t="s">
        <v>14</v>
      </c>
      <c r="B698" s="7">
        <v>43964</v>
      </c>
      <c r="C698">
        <f t="shared" si="9"/>
        <v>2020</v>
      </c>
      <c r="E698" t="s">
        <v>6</v>
      </c>
      <c r="F698">
        <v>99.3</v>
      </c>
    </row>
    <row r="699" spans="1:6" x14ac:dyDescent="0.25">
      <c r="A699" t="s">
        <v>14</v>
      </c>
      <c r="B699" s="7">
        <v>43964</v>
      </c>
      <c r="C699">
        <f t="shared" si="9"/>
        <v>2020</v>
      </c>
      <c r="E699" t="s">
        <v>6</v>
      </c>
      <c r="F699">
        <v>120.8</v>
      </c>
    </row>
    <row r="700" spans="1:6" x14ac:dyDescent="0.25">
      <c r="A700" t="s">
        <v>14</v>
      </c>
      <c r="B700" s="7">
        <v>43978</v>
      </c>
      <c r="C700">
        <f t="shared" si="9"/>
        <v>2020</v>
      </c>
      <c r="E700" t="s">
        <v>6</v>
      </c>
      <c r="F700">
        <v>91.7</v>
      </c>
    </row>
    <row r="701" spans="1:6" x14ac:dyDescent="0.25">
      <c r="A701" t="s">
        <v>14</v>
      </c>
      <c r="B701" s="7">
        <v>43978</v>
      </c>
      <c r="C701">
        <f t="shared" si="9"/>
        <v>2020</v>
      </c>
      <c r="E701" t="s">
        <v>6</v>
      </c>
      <c r="F701">
        <v>115.7</v>
      </c>
    </row>
    <row r="702" spans="1:6" x14ac:dyDescent="0.25">
      <c r="A702" t="s">
        <v>14</v>
      </c>
      <c r="B702" s="7">
        <v>44223</v>
      </c>
      <c r="C702">
        <f t="shared" si="9"/>
        <v>2021</v>
      </c>
      <c r="E702" t="s">
        <v>6</v>
      </c>
      <c r="F702">
        <v>68.366222219999997</v>
      </c>
    </row>
    <row r="703" spans="1:6" x14ac:dyDescent="0.25">
      <c r="A703" t="s">
        <v>14</v>
      </c>
      <c r="B703" s="7">
        <v>44223</v>
      </c>
      <c r="C703">
        <f t="shared" si="9"/>
        <v>2021</v>
      </c>
      <c r="E703" t="s">
        <v>6</v>
      </c>
      <c r="F703">
        <v>60.43444444</v>
      </c>
    </row>
    <row r="704" spans="1:6" x14ac:dyDescent="0.25">
      <c r="A704" t="s">
        <v>14</v>
      </c>
      <c r="B704" s="7">
        <v>44224</v>
      </c>
      <c r="C704">
        <f t="shared" si="9"/>
        <v>2021</v>
      </c>
      <c r="E704" t="s">
        <v>6</v>
      </c>
      <c r="F704">
        <v>59.576333329999997</v>
      </c>
    </row>
    <row r="705" spans="1:6" x14ac:dyDescent="0.25">
      <c r="A705" t="s">
        <v>14</v>
      </c>
      <c r="B705" s="7">
        <v>44244</v>
      </c>
      <c r="C705">
        <f t="shared" si="9"/>
        <v>2021</v>
      </c>
      <c r="E705" t="s">
        <v>6</v>
      </c>
      <c r="F705">
        <v>70.137222219999998</v>
      </c>
    </row>
    <row r="706" spans="1:6" x14ac:dyDescent="0.25">
      <c r="A706" t="s">
        <v>14</v>
      </c>
      <c r="B706" s="7">
        <v>44245</v>
      </c>
      <c r="C706">
        <f t="shared" si="9"/>
        <v>2021</v>
      </c>
      <c r="E706" t="s">
        <v>6</v>
      </c>
      <c r="F706">
        <v>67.538888889999996</v>
      </c>
    </row>
    <row r="707" spans="1:6" x14ac:dyDescent="0.25">
      <c r="A707" t="s">
        <v>14</v>
      </c>
      <c r="B707" s="7">
        <v>44245</v>
      </c>
      <c r="C707">
        <f t="shared" si="9"/>
        <v>2021</v>
      </c>
      <c r="E707" t="s">
        <v>6</v>
      </c>
      <c r="F707">
        <v>68.143777779999994</v>
      </c>
    </row>
    <row r="708" spans="1:6" x14ac:dyDescent="0.25">
      <c r="A708" t="s">
        <v>14</v>
      </c>
      <c r="B708" s="7">
        <v>44258</v>
      </c>
      <c r="C708">
        <f t="shared" si="9"/>
        <v>2021</v>
      </c>
      <c r="E708" t="s">
        <v>6</v>
      </c>
      <c r="F708">
        <v>77.873333329999994</v>
      </c>
    </row>
    <row r="709" spans="1:6" x14ac:dyDescent="0.25">
      <c r="A709" t="s">
        <v>14</v>
      </c>
      <c r="B709" s="7">
        <v>44258</v>
      </c>
      <c r="C709">
        <f t="shared" si="9"/>
        <v>2021</v>
      </c>
      <c r="E709" t="s">
        <v>6</v>
      </c>
      <c r="F709">
        <v>86.499777780000002</v>
      </c>
    </row>
    <row r="710" spans="1:6" x14ac:dyDescent="0.25">
      <c r="A710" t="s">
        <v>14</v>
      </c>
      <c r="B710" s="7">
        <v>44258</v>
      </c>
      <c r="C710">
        <f t="shared" si="9"/>
        <v>2021</v>
      </c>
      <c r="E710" t="s">
        <v>6</v>
      </c>
      <c r="F710">
        <v>75.648222219999994</v>
      </c>
    </row>
    <row r="711" spans="1:6" x14ac:dyDescent="0.25">
      <c r="A711" t="s">
        <v>14</v>
      </c>
      <c r="B711" s="7">
        <v>44272</v>
      </c>
      <c r="C711">
        <f t="shared" si="9"/>
        <v>2021</v>
      </c>
      <c r="E711" t="s">
        <v>6</v>
      </c>
      <c r="F711">
        <v>84.237333329999998</v>
      </c>
    </row>
    <row r="712" spans="1:6" x14ac:dyDescent="0.25">
      <c r="A712" t="s">
        <v>14</v>
      </c>
      <c r="B712" s="7">
        <v>44272</v>
      </c>
      <c r="C712">
        <f t="shared" si="9"/>
        <v>2021</v>
      </c>
      <c r="E712" t="s">
        <v>6</v>
      </c>
      <c r="F712">
        <v>95.272444440000001</v>
      </c>
    </row>
    <row r="713" spans="1:6" x14ac:dyDescent="0.25">
      <c r="A713" t="s">
        <v>14</v>
      </c>
      <c r="B713" s="7">
        <v>44272</v>
      </c>
      <c r="C713">
        <f t="shared" si="9"/>
        <v>2021</v>
      </c>
      <c r="E713" t="s">
        <v>6</v>
      </c>
      <c r="F713">
        <v>86.118555560000004</v>
      </c>
    </row>
    <row r="714" spans="1:6" x14ac:dyDescent="0.25">
      <c r="A714" t="s">
        <v>14</v>
      </c>
      <c r="B714" s="7">
        <v>44286</v>
      </c>
      <c r="C714">
        <f t="shared" si="9"/>
        <v>2021</v>
      </c>
      <c r="E714" t="s">
        <v>6</v>
      </c>
      <c r="F714">
        <v>101.1565556</v>
      </c>
    </row>
    <row r="715" spans="1:6" x14ac:dyDescent="0.25">
      <c r="A715" t="s">
        <v>14</v>
      </c>
      <c r="B715" s="7">
        <v>44287</v>
      </c>
      <c r="C715">
        <f t="shared" si="9"/>
        <v>2021</v>
      </c>
      <c r="E715" t="s">
        <v>6</v>
      </c>
      <c r="F715">
        <v>92.894333329999995</v>
      </c>
    </row>
    <row r="716" spans="1:6" x14ac:dyDescent="0.25">
      <c r="A716" t="s">
        <v>14</v>
      </c>
      <c r="B716" s="7">
        <v>44287</v>
      </c>
      <c r="C716">
        <f t="shared" si="9"/>
        <v>2021</v>
      </c>
      <c r="E716" t="s">
        <v>6</v>
      </c>
      <c r="F716">
        <v>92.753333330000004</v>
      </c>
    </row>
    <row r="717" spans="1:6" x14ac:dyDescent="0.25">
      <c r="A717" t="s">
        <v>14</v>
      </c>
      <c r="B717" s="7">
        <v>44300</v>
      </c>
      <c r="C717">
        <f t="shared" si="9"/>
        <v>2021</v>
      </c>
      <c r="E717" t="s">
        <v>6</v>
      </c>
      <c r="F717">
        <v>104.657</v>
      </c>
    </row>
    <row r="718" spans="1:6" x14ac:dyDescent="0.25">
      <c r="A718" t="s">
        <v>14</v>
      </c>
      <c r="B718" s="7">
        <v>44301</v>
      </c>
      <c r="C718">
        <f t="shared" si="9"/>
        <v>2021</v>
      </c>
      <c r="E718" t="s">
        <v>6</v>
      </c>
      <c r="F718">
        <v>101.2516667</v>
      </c>
    </row>
    <row r="719" spans="1:6" x14ac:dyDescent="0.25">
      <c r="A719" t="s">
        <v>14</v>
      </c>
      <c r="B719" s="7">
        <v>44301</v>
      </c>
      <c r="C719">
        <f t="shared" si="9"/>
        <v>2021</v>
      </c>
      <c r="E719" t="s">
        <v>6</v>
      </c>
      <c r="F719">
        <v>97.531000000000006</v>
      </c>
    </row>
    <row r="720" spans="1:6" x14ac:dyDescent="0.25">
      <c r="A720" t="s">
        <v>14</v>
      </c>
      <c r="B720" s="7">
        <v>44307</v>
      </c>
      <c r="C720">
        <f t="shared" si="9"/>
        <v>2021</v>
      </c>
      <c r="E720" t="s">
        <v>6</v>
      </c>
      <c r="F720">
        <v>97.304888890000001</v>
      </c>
    </row>
    <row r="721" spans="1:6" x14ac:dyDescent="0.25">
      <c r="A721" t="s">
        <v>14</v>
      </c>
      <c r="B721" s="7">
        <v>44307</v>
      </c>
      <c r="C721">
        <f t="shared" si="9"/>
        <v>2021</v>
      </c>
      <c r="E721" t="s">
        <v>6</v>
      </c>
      <c r="F721">
        <v>110.3821111</v>
      </c>
    </row>
    <row r="722" spans="1:6" x14ac:dyDescent="0.25">
      <c r="A722" t="s">
        <v>14</v>
      </c>
      <c r="B722" s="7">
        <v>44307</v>
      </c>
      <c r="C722">
        <f t="shared" si="9"/>
        <v>2021</v>
      </c>
      <c r="E722" t="s">
        <v>6</v>
      </c>
      <c r="F722">
        <v>101.0704444</v>
      </c>
    </row>
    <row r="723" spans="1:6" x14ac:dyDescent="0.25">
      <c r="A723" t="s">
        <v>14</v>
      </c>
      <c r="B723" s="7">
        <v>44315</v>
      </c>
      <c r="C723">
        <f t="shared" si="9"/>
        <v>2021</v>
      </c>
      <c r="E723" t="s">
        <v>6</v>
      </c>
      <c r="F723">
        <v>110.3692222</v>
      </c>
    </row>
    <row r="724" spans="1:6" x14ac:dyDescent="0.25">
      <c r="A724" t="s">
        <v>14</v>
      </c>
      <c r="B724" s="7">
        <v>44316</v>
      </c>
      <c r="C724">
        <f t="shared" si="9"/>
        <v>2021</v>
      </c>
      <c r="E724" t="s">
        <v>6</v>
      </c>
      <c r="F724">
        <v>97.827444439999994</v>
      </c>
    </row>
    <row r="725" spans="1:6" x14ac:dyDescent="0.25">
      <c r="A725" t="s">
        <v>14</v>
      </c>
      <c r="B725" s="7">
        <v>44316</v>
      </c>
      <c r="C725">
        <f t="shared" si="9"/>
        <v>2021</v>
      </c>
      <c r="E725" t="s">
        <v>6</v>
      </c>
      <c r="F725">
        <v>98.942444440000003</v>
      </c>
    </row>
    <row r="726" spans="1:6" x14ac:dyDescent="0.25">
      <c r="A726" t="s">
        <v>14</v>
      </c>
      <c r="B726" s="7">
        <v>44321</v>
      </c>
      <c r="C726">
        <f t="shared" si="9"/>
        <v>2021</v>
      </c>
      <c r="E726" t="s">
        <v>6</v>
      </c>
      <c r="F726">
        <v>109.3193333</v>
      </c>
    </row>
    <row r="727" spans="1:6" x14ac:dyDescent="0.25">
      <c r="A727" t="s">
        <v>14</v>
      </c>
      <c r="B727" s="7">
        <v>44322</v>
      </c>
      <c r="C727">
        <f t="shared" si="9"/>
        <v>2021</v>
      </c>
      <c r="E727" t="s">
        <v>6</v>
      </c>
      <c r="F727">
        <v>97.286555559999996</v>
      </c>
    </row>
    <row r="728" spans="1:6" x14ac:dyDescent="0.25">
      <c r="A728" t="s">
        <v>14</v>
      </c>
      <c r="B728" s="7">
        <v>44322</v>
      </c>
      <c r="C728">
        <f t="shared" si="9"/>
        <v>2021</v>
      </c>
      <c r="E728" t="s">
        <v>6</v>
      </c>
      <c r="F728">
        <v>104.60788890000001</v>
      </c>
    </row>
    <row r="729" spans="1:6" x14ac:dyDescent="0.25">
      <c r="A729" t="s">
        <v>14</v>
      </c>
      <c r="B729" s="7">
        <v>44335</v>
      </c>
      <c r="C729">
        <f t="shared" si="9"/>
        <v>2021</v>
      </c>
      <c r="E729" t="s">
        <v>6</v>
      </c>
      <c r="F729">
        <v>113.8327778</v>
      </c>
    </row>
    <row r="730" spans="1:6" x14ac:dyDescent="0.25">
      <c r="A730" t="s">
        <v>14</v>
      </c>
      <c r="B730" s="7">
        <v>44336</v>
      </c>
      <c r="C730">
        <f t="shared" si="9"/>
        <v>2021</v>
      </c>
      <c r="E730" t="s">
        <v>6</v>
      </c>
      <c r="F730">
        <v>97.199777780000005</v>
      </c>
    </row>
    <row r="731" spans="1:6" x14ac:dyDescent="0.25">
      <c r="A731" t="s">
        <v>14</v>
      </c>
      <c r="B731" s="7">
        <v>44336</v>
      </c>
      <c r="C731">
        <f t="shared" si="9"/>
        <v>2021</v>
      </c>
      <c r="E731" t="s">
        <v>6</v>
      </c>
      <c r="F731">
        <v>109.16333330000001</v>
      </c>
    </row>
    <row r="732" spans="1:6" x14ac:dyDescent="0.25">
      <c r="A732" t="s">
        <v>14</v>
      </c>
      <c r="B732" s="7">
        <v>44348</v>
      </c>
      <c r="C732">
        <f t="shared" si="9"/>
        <v>2021</v>
      </c>
      <c r="E732" t="s">
        <v>6</v>
      </c>
      <c r="F732">
        <v>115.5402222</v>
      </c>
    </row>
    <row r="733" spans="1:6" x14ac:dyDescent="0.25">
      <c r="A733" t="s">
        <v>14</v>
      </c>
      <c r="B733" s="7">
        <v>44349</v>
      </c>
      <c r="C733">
        <f t="shared" si="9"/>
        <v>2021</v>
      </c>
      <c r="E733" t="s">
        <v>6</v>
      </c>
      <c r="F733">
        <v>97.870111109999996</v>
      </c>
    </row>
    <row r="734" spans="1:6" x14ac:dyDescent="0.25">
      <c r="A734" t="s">
        <v>14</v>
      </c>
      <c r="B734" s="7">
        <v>44349</v>
      </c>
      <c r="C734">
        <f t="shared" si="9"/>
        <v>2021</v>
      </c>
      <c r="E734" t="s">
        <v>6</v>
      </c>
      <c r="F734">
        <v>102.58633330000001</v>
      </c>
    </row>
    <row r="736" spans="1:6" x14ac:dyDescent="0.25">
      <c r="A736" t="s">
        <v>15</v>
      </c>
      <c r="B736" s="7">
        <v>43850</v>
      </c>
      <c r="C736">
        <f t="shared" si="9"/>
        <v>2020</v>
      </c>
      <c r="E736" t="s">
        <v>16</v>
      </c>
      <c r="F736">
        <v>60.2</v>
      </c>
    </row>
    <row r="737" spans="1:6" x14ac:dyDescent="0.25">
      <c r="A737" t="s">
        <v>15</v>
      </c>
      <c r="B737" s="7">
        <v>43880</v>
      </c>
      <c r="C737">
        <f t="shared" si="9"/>
        <v>2020</v>
      </c>
      <c r="E737" t="s">
        <v>16</v>
      </c>
      <c r="F737">
        <v>83.8</v>
      </c>
    </row>
    <row r="738" spans="1:6" x14ac:dyDescent="0.25">
      <c r="A738" t="s">
        <v>15</v>
      </c>
      <c r="B738" s="7">
        <v>43892</v>
      </c>
      <c r="C738">
        <f t="shared" si="9"/>
        <v>2020</v>
      </c>
      <c r="E738" t="s">
        <v>16</v>
      </c>
      <c r="F738">
        <v>87.9</v>
      </c>
    </row>
    <row r="739" spans="1:6" x14ac:dyDescent="0.25">
      <c r="A739" t="s">
        <v>15</v>
      </c>
      <c r="B739" s="7">
        <v>43906</v>
      </c>
      <c r="C739">
        <f t="shared" ref="C739:C786" si="10">YEAR(B739)</f>
        <v>2020</v>
      </c>
      <c r="E739" t="s">
        <v>16</v>
      </c>
      <c r="F739">
        <v>97.1</v>
      </c>
    </row>
    <row r="740" spans="1:6" x14ac:dyDescent="0.25">
      <c r="A740" t="s">
        <v>15</v>
      </c>
      <c r="B740" s="7">
        <v>43949</v>
      </c>
      <c r="C740">
        <f t="shared" si="10"/>
        <v>2020</v>
      </c>
      <c r="E740" t="s">
        <v>16</v>
      </c>
      <c r="F740">
        <v>109.3</v>
      </c>
    </row>
    <row r="741" spans="1:6" x14ac:dyDescent="0.25">
      <c r="A741" t="s">
        <v>15</v>
      </c>
      <c r="B741" s="7">
        <v>43963</v>
      </c>
      <c r="C741">
        <f t="shared" si="10"/>
        <v>2020</v>
      </c>
      <c r="E741" t="s">
        <v>16</v>
      </c>
      <c r="F741">
        <v>116.6</v>
      </c>
    </row>
    <row r="742" spans="1:6" x14ac:dyDescent="0.25">
      <c r="A742" t="s">
        <v>15</v>
      </c>
      <c r="B742" s="7">
        <v>43976</v>
      </c>
      <c r="C742">
        <f t="shared" si="10"/>
        <v>2020</v>
      </c>
      <c r="E742" t="s">
        <v>16</v>
      </c>
      <c r="F742">
        <v>116.8</v>
      </c>
    </row>
    <row r="743" spans="1:6" x14ac:dyDescent="0.25">
      <c r="A743" t="s">
        <v>15</v>
      </c>
      <c r="B743" s="7">
        <v>44221</v>
      </c>
      <c r="C743">
        <f t="shared" si="10"/>
        <v>2021</v>
      </c>
      <c r="E743" t="s">
        <v>16</v>
      </c>
      <c r="F743">
        <v>66.148111110000002</v>
      </c>
    </row>
    <row r="744" spans="1:6" x14ac:dyDescent="0.25">
      <c r="A744" t="s">
        <v>15</v>
      </c>
      <c r="B744" s="7">
        <v>44245</v>
      </c>
      <c r="C744">
        <f t="shared" si="10"/>
        <v>2021</v>
      </c>
      <c r="E744" t="s">
        <v>16</v>
      </c>
      <c r="F744">
        <v>78.188777779999995</v>
      </c>
    </row>
    <row r="745" spans="1:6" x14ac:dyDescent="0.25">
      <c r="A745" t="s">
        <v>15</v>
      </c>
      <c r="B745" s="7">
        <v>44256</v>
      </c>
      <c r="C745">
        <f t="shared" si="10"/>
        <v>2021</v>
      </c>
      <c r="E745" t="s">
        <v>16</v>
      </c>
      <c r="F745">
        <v>85.639222219999994</v>
      </c>
    </row>
    <row r="746" spans="1:6" x14ac:dyDescent="0.25">
      <c r="A746" t="s">
        <v>15</v>
      </c>
      <c r="B746" s="7">
        <v>44271</v>
      </c>
      <c r="C746">
        <f t="shared" si="10"/>
        <v>2021</v>
      </c>
      <c r="E746" t="s">
        <v>16</v>
      </c>
      <c r="F746">
        <v>91.981555560000004</v>
      </c>
    </row>
    <row r="747" spans="1:6" x14ac:dyDescent="0.25">
      <c r="A747" t="s">
        <v>15</v>
      </c>
      <c r="B747" s="7">
        <v>44284</v>
      </c>
      <c r="C747">
        <f t="shared" si="10"/>
        <v>2021</v>
      </c>
      <c r="E747" t="s">
        <v>16</v>
      </c>
      <c r="F747">
        <v>96.656555560000001</v>
      </c>
    </row>
    <row r="748" spans="1:6" x14ac:dyDescent="0.25">
      <c r="A748" t="s">
        <v>15</v>
      </c>
      <c r="B748" s="7">
        <v>44298</v>
      </c>
      <c r="C748">
        <f t="shared" si="10"/>
        <v>2021</v>
      </c>
      <c r="E748" t="s">
        <v>16</v>
      </c>
      <c r="F748">
        <v>102.13188890000001</v>
      </c>
    </row>
    <row r="749" spans="1:6" x14ac:dyDescent="0.25">
      <c r="A749" t="s">
        <v>15</v>
      </c>
      <c r="B749" s="7">
        <v>44307</v>
      </c>
      <c r="C749">
        <f t="shared" si="10"/>
        <v>2021</v>
      </c>
      <c r="E749" t="s">
        <v>16</v>
      </c>
      <c r="F749">
        <v>106.438</v>
      </c>
    </row>
    <row r="750" spans="1:6" x14ac:dyDescent="0.25">
      <c r="A750" t="s">
        <v>15</v>
      </c>
      <c r="B750" s="7">
        <v>44315</v>
      </c>
      <c r="C750">
        <f t="shared" si="10"/>
        <v>2021</v>
      </c>
      <c r="E750" t="s">
        <v>16</v>
      </c>
      <c r="F750">
        <v>114.3467778</v>
      </c>
    </row>
    <row r="751" spans="1:6" x14ac:dyDescent="0.25">
      <c r="A751" t="s">
        <v>15</v>
      </c>
      <c r="B751" s="7">
        <v>44321</v>
      </c>
      <c r="C751">
        <f t="shared" si="10"/>
        <v>2021</v>
      </c>
      <c r="E751" t="s">
        <v>16</v>
      </c>
      <c r="F751">
        <v>108.5084444</v>
      </c>
    </row>
    <row r="752" spans="1:6" x14ac:dyDescent="0.25">
      <c r="A752" t="s">
        <v>15</v>
      </c>
      <c r="B752" s="7">
        <v>44333</v>
      </c>
      <c r="C752">
        <f t="shared" si="10"/>
        <v>2021</v>
      </c>
      <c r="E752" t="s">
        <v>16</v>
      </c>
      <c r="F752">
        <v>110.1386667</v>
      </c>
    </row>
    <row r="753" spans="1:6" x14ac:dyDescent="0.25">
      <c r="A753" t="s">
        <v>15</v>
      </c>
      <c r="B753" s="7">
        <v>44347</v>
      </c>
      <c r="C753">
        <f t="shared" si="10"/>
        <v>2021</v>
      </c>
      <c r="E753" t="s">
        <v>16</v>
      </c>
      <c r="F753">
        <v>114.625</v>
      </c>
    </row>
    <row r="754" spans="1:6" x14ac:dyDescent="0.25">
      <c r="A754" t="s">
        <v>15</v>
      </c>
      <c r="B754" s="7">
        <v>44607</v>
      </c>
      <c r="C754">
        <f t="shared" si="10"/>
        <v>2022</v>
      </c>
      <c r="E754" t="s">
        <v>16</v>
      </c>
      <c r="F754">
        <v>66.400000000000006</v>
      </c>
    </row>
    <row r="755" spans="1:6" x14ac:dyDescent="0.25">
      <c r="A755" t="s">
        <v>15</v>
      </c>
      <c r="B755" s="7">
        <v>44608</v>
      </c>
      <c r="C755">
        <f t="shared" si="10"/>
        <v>2022</v>
      </c>
      <c r="E755" t="s">
        <v>16</v>
      </c>
      <c r="F755">
        <v>76.599999999999994</v>
      </c>
    </row>
    <row r="756" spans="1:6" x14ac:dyDescent="0.25">
      <c r="A756" t="s">
        <v>15</v>
      </c>
      <c r="B756" s="7">
        <v>44622</v>
      </c>
      <c r="C756">
        <f t="shared" si="10"/>
        <v>2022</v>
      </c>
      <c r="E756" t="s">
        <v>16</v>
      </c>
      <c r="F756">
        <v>82.4</v>
      </c>
    </row>
    <row r="757" spans="1:6" x14ac:dyDescent="0.25">
      <c r="A757" t="s">
        <v>15</v>
      </c>
      <c r="B757" s="7">
        <v>44622</v>
      </c>
      <c r="C757">
        <f t="shared" si="10"/>
        <v>2022</v>
      </c>
      <c r="E757" t="s">
        <v>16</v>
      </c>
      <c r="F757">
        <v>99.9</v>
      </c>
    </row>
    <row r="758" spans="1:6" x14ac:dyDescent="0.25">
      <c r="A758" t="s">
        <v>15</v>
      </c>
      <c r="B758" s="7">
        <v>44635</v>
      </c>
      <c r="C758">
        <f t="shared" si="10"/>
        <v>2022</v>
      </c>
      <c r="E758" t="s">
        <v>16</v>
      </c>
      <c r="F758">
        <v>91.4</v>
      </c>
    </row>
    <row r="759" spans="1:6" x14ac:dyDescent="0.25">
      <c r="A759" t="s">
        <v>15</v>
      </c>
      <c r="B759" s="7">
        <v>44662</v>
      </c>
      <c r="C759">
        <f t="shared" si="10"/>
        <v>2022</v>
      </c>
      <c r="E759" t="s">
        <v>16</v>
      </c>
      <c r="F759">
        <v>103.4</v>
      </c>
    </row>
    <row r="760" spans="1:6" x14ac:dyDescent="0.25">
      <c r="A760" t="s">
        <v>15</v>
      </c>
      <c r="B760" s="7">
        <v>44669</v>
      </c>
      <c r="C760">
        <f t="shared" si="10"/>
        <v>2022</v>
      </c>
      <c r="E760" t="s">
        <v>16</v>
      </c>
      <c r="F760">
        <v>107.5</v>
      </c>
    </row>
    <row r="761" spans="1:6" x14ac:dyDescent="0.25">
      <c r="A761" t="s">
        <v>15</v>
      </c>
      <c r="B761" s="7">
        <v>44677</v>
      </c>
      <c r="C761">
        <f t="shared" si="10"/>
        <v>2022</v>
      </c>
      <c r="E761" t="s">
        <v>16</v>
      </c>
      <c r="F761">
        <v>110</v>
      </c>
    </row>
    <row r="762" spans="1:6" x14ac:dyDescent="0.25">
      <c r="A762" t="s">
        <v>15</v>
      </c>
      <c r="B762" s="7">
        <v>44683</v>
      </c>
      <c r="C762">
        <f t="shared" si="10"/>
        <v>2022</v>
      </c>
      <c r="E762" t="s">
        <v>16</v>
      </c>
      <c r="F762">
        <v>111.3</v>
      </c>
    </row>
    <row r="763" spans="1:6" x14ac:dyDescent="0.25">
      <c r="A763" t="s">
        <v>15</v>
      </c>
      <c r="B763" s="7">
        <v>44697</v>
      </c>
      <c r="C763">
        <f t="shared" si="10"/>
        <v>2022</v>
      </c>
      <c r="E763" t="s">
        <v>16</v>
      </c>
      <c r="F763">
        <v>115.8</v>
      </c>
    </row>
    <row r="764" spans="1:6" x14ac:dyDescent="0.25">
      <c r="A764" t="s">
        <v>15</v>
      </c>
      <c r="B764" s="7">
        <v>44711</v>
      </c>
      <c r="C764">
        <f t="shared" si="10"/>
        <v>2022</v>
      </c>
      <c r="E764" t="s">
        <v>16</v>
      </c>
      <c r="F764">
        <v>115.8</v>
      </c>
    </row>
    <row r="765" spans="1:6" x14ac:dyDescent="0.25">
      <c r="A765" t="s">
        <v>15</v>
      </c>
      <c r="B765" s="7">
        <v>44949</v>
      </c>
      <c r="C765">
        <f t="shared" si="10"/>
        <v>2023</v>
      </c>
      <c r="E765" t="s">
        <v>16</v>
      </c>
      <c r="F765">
        <v>73.099999999999994</v>
      </c>
    </row>
    <row r="766" spans="1:6" x14ac:dyDescent="0.25">
      <c r="A766" t="s">
        <v>15</v>
      </c>
      <c r="B766" s="7">
        <v>44971</v>
      </c>
      <c r="C766">
        <f t="shared" si="10"/>
        <v>2023</v>
      </c>
      <c r="E766" t="s">
        <v>16</v>
      </c>
      <c r="F766">
        <v>87.7</v>
      </c>
    </row>
    <row r="767" spans="1:6" x14ac:dyDescent="0.25">
      <c r="A767" t="s">
        <v>15</v>
      </c>
      <c r="B767" s="7">
        <v>44987</v>
      </c>
      <c r="C767">
        <f t="shared" si="10"/>
        <v>2023</v>
      </c>
      <c r="E767" t="s">
        <v>16</v>
      </c>
      <c r="F767">
        <v>103</v>
      </c>
    </row>
    <row r="768" spans="1:6" x14ac:dyDescent="0.25">
      <c r="A768" t="s">
        <v>15</v>
      </c>
      <c r="B768" s="7">
        <v>44998</v>
      </c>
      <c r="C768">
        <f t="shared" si="10"/>
        <v>2023</v>
      </c>
      <c r="E768" t="s">
        <v>16</v>
      </c>
      <c r="F768">
        <v>104.4</v>
      </c>
    </row>
    <row r="769" spans="1:6" x14ac:dyDescent="0.25">
      <c r="A769" t="s">
        <v>15</v>
      </c>
      <c r="B769" s="7">
        <v>45014</v>
      </c>
      <c r="C769">
        <f t="shared" si="10"/>
        <v>2023</v>
      </c>
      <c r="E769" t="s">
        <v>16</v>
      </c>
      <c r="F769">
        <v>120.2</v>
      </c>
    </row>
    <row r="770" spans="1:6" x14ac:dyDescent="0.25">
      <c r="A770" t="s">
        <v>15</v>
      </c>
      <c r="B770" s="7">
        <v>45027</v>
      </c>
      <c r="C770">
        <f t="shared" si="10"/>
        <v>2023</v>
      </c>
      <c r="E770" t="s">
        <v>16</v>
      </c>
      <c r="F770">
        <v>122.5</v>
      </c>
    </row>
    <row r="771" spans="1:6" x14ac:dyDescent="0.25">
      <c r="A771" t="s">
        <v>15</v>
      </c>
      <c r="B771" s="7">
        <v>45040</v>
      </c>
      <c r="C771">
        <f t="shared" si="10"/>
        <v>2023</v>
      </c>
      <c r="E771" t="s">
        <v>16</v>
      </c>
      <c r="F771">
        <v>126.6</v>
      </c>
    </row>
    <row r="772" spans="1:6" x14ac:dyDescent="0.25">
      <c r="A772" t="s">
        <v>15</v>
      </c>
      <c r="B772" s="7">
        <v>45047</v>
      </c>
      <c r="C772">
        <f t="shared" si="10"/>
        <v>2023</v>
      </c>
      <c r="E772" t="s">
        <v>16</v>
      </c>
      <c r="F772">
        <v>126.7</v>
      </c>
    </row>
    <row r="773" spans="1:6" x14ac:dyDescent="0.25">
      <c r="A773" t="s">
        <v>15</v>
      </c>
      <c r="B773" s="7">
        <v>45062</v>
      </c>
      <c r="C773">
        <f t="shared" si="10"/>
        <v>2023</v>
      </c>
      <c r="E773" t="s">
        <v>16</v>
      </c>
      <c r="F773">
        <v>129</v>
      </c>
    </row>
    <row r="774" spans="1:6" x14ac:dyDescent="0.25">
      <c r="A774" t="s">
        <v>15</v>
      </c>
      <c r="B774" s="7">
        <v>45076</v>
      </c>
      <c r="C774">
        <f t="shared" si="10"/>
        <v>2023</v>
      </c>
      <c r="E774" t="s">
        <v>16</v>
      </c>
      <c r="F774">
        <v>129.19999999999999</v>
      </c>
    </row>
    <row r="775" spans="1:6" x14ac:dyDescent="0.25">
      <c r="A775" t="s">
        <v>15</v>
      </c>
      <c r="B775" s="7">
        <v>45083</v>
      </c>
      <c r="C775">
        <f t="shared" si="10"/>
        <v>2023</v>
      </c>
      <c r="E775" t="s">
        <v>16</v>
      </c>
      <c r="F775">
        <v>126.5</v>
      </c>
    </row>
    <row r="776" spans="1:6" x14ac:dyDescent="0.25">
      <c r="A776" t="s">
        <v>15</v>
      </c>
      <c r="B776" s="7">
        <v>45315</v>
      </c>
      <c r="C776">
        <f t="shared" si="10"/>
        <v>2024</v>
      </c>
      <c r="E776" t="s">
        <v>16</v>
      </c>
      <c r="F776">
        <v>67.5</v>
      </c>
    </row>
    <row r="777" spans="1:6" x14ac:dyDescent="0.25">
      <c r="A777" t="s">
        <v>15</v>
      </c>
      <c r="B777" s="7">
        <v>45335</v>
      </c>
      <c r="C777">
        <f t="shared" si="10"/>
        <v>2024</v>
      </c>
      <c r="E777" t="s">
        <v>16</v>
      </c>
      <c r="F777">
        <v>78.2</v>
      </c>
    </row>
    <row r="778" spans="1:6" x14ac:dyDescent="0.25">
      <c r="A778" t="s">
        <v>15</v>
      </c>
      <c r="B778" s="7">
        <v>45349</v>
      </c>
      <c r="C778">
        <f t="shared" si="10"/>
        <v>2024</v>
      </c>
      <c r="E778" t="s">
        <v>16</v>
      </c>
      <c r="F778">
        <v>86.7</v>
      </c>
    </row>
    <row r="779" spans="1:6" x14ac:dyDescent="0.25">
      <c r="A779" t="s">
        <v>15</v>
      </c>
      <c r="B779" s="7">
        <v>45363</v>
      </c>
      <c r="C779">
        <f t="shared" si="10"/>
        <v>2024</v>
      </c>
      <c r="E779" t="s">
        <v>16</v>
      </c>
      <c r="F779">
        <v>92.6</v>
      </c>
    </row>
    <row r="780" spans="1:6" x14ac:dyDescent="0.25">
      <c r="A780" t="s">
        <v>15</v>
      </c>
      <c r="B780" s="7">
        <v>45378</v>
      </c>
      <c r="C780">
        <f t="shared" si="10"/>
        <v>2024</v>
      </c>
      <c r="E780" t="s">
        <v>16</v>
      </c>
      <c r="F780">
        <v>99.8</v>
      </c>
    </row>
    <row r="781" spans="1:6" x14ac:dyDescent="0.25">
      <c r="A781" t="s">
        <v>15</v>
      </c>
      <c r="B781" s="7">
        <v>45390</v>
      </c>
      <c r="C781">
        <f t="shared" si="10"/>
        <v>2024</v>
      </c>
      <c r="E781" t="s">
        <v>16</v>
      </c>
      <c r="F781">
        <v>103.5</v>
      </c>
    </row>
    <row r="782" spans="1:6" x14ac:dyDescent="0.25">
      <c r="A782" t="s">
        <v>15</v>
      </c>
      <c r="B782" s="7">
        <v>45406</v>
      </c>
      <c r="C782">
        <f t="shared" si="10"/>
        <v>2024</v>
      </c>
      <c r="E782" t="s">
        <v>16</v>
      </c>
      <c r="F782">
        <v>113.8</v>
      </c>
    </row>
    <row r="783" spans="1:6" x14ac:dyDescent="0.25">
      <c r="A783" t="s">
        <v>15</v>
      </c>
      <c r="B783" s="7">
        <v>45412</v>
      </c>
      <c r="C783">
        <f t="shared" si="10"/>
        <v>2024</v>
      </c>
      <c r="E783" t="s">
        <v>16</v>
      </c>
      <c r="F783">
        <v>87.9</v>
      </c>
    </row>
    <row r="784" spans="1:6" x14ac:dyDescent="0.25">
      <c r="A784" t="s">
        <v>15</v>
      </c>
      <c r="B784" s="7">
        <v>45427</v>
      </c>
      <c r="C784">
        <f t="shared" si="10"/>
        <v>2024</v>
      </c>
      <c r="E784" t="s">
        <v>16</v>
      </c>
      <c r="F784">
        <v>105.6</v>
      </c>
    </row>
    <row r="785" spans="1:6" x14ac:dyDescent="0.25">
      <c r="A785" t="s">
        <v>15</v>
      </c>
      <c r="B785" s="7">
        <v>45441</v>
      </c>
      <c r="C785">
        <f t="shared" si="10"/>
        <v>2024</v>
      </c>
      <c r="E785" t="s">
        <v>16</v>
      </c>
      <c r="F785">
        <v>99.6</v>
      </c>
    </row>
    <row r="786" spans="1:6" x14ac:dyDescent="0.25">
      <c r="A786" t="s">
        <v>15</v>
      </c>
      <c r="B786" s="7">
        <v>45454</v>
      </c>
      <c r="C786">
        <f t="shared" si="10"/>
        <v>2024</v>
      </c>
      <c r="E786" t="s">
        <v>16</v>
      </c>
      <c r="F786">
        <v>104.6</v>
      </c>
    </row>
  </sheetData>
  <autoFilter ref="E1:E71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dimension ref="A1:G784"/>
  <sheetViews>
    <sheetView topLeftCell="A734" zoomScale="70" zoomScaleNormal="70" workbookViewId="0">
      <selection activeCell="G776" sqref="G776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33.140625" customWidth="1"/>
    <col min="7" max="7" width="36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</row>
    <row r="2" spans="1:7" s="3" customFormat="1" x14ac:dyDescent="0.25">
      <c r="A2" s="3" t="s">
        <v>7</v>
      </c>
      <c r="B2" s="4">
        <v>44603</v>
      </c>
      <c r="C2" s="3">
        <v>2022</v>
      </c>
      <c r="D2" s="4"/>
      <c r="E2" s="3" t="s">
        <v>6</v>
      </c>
      <c r="F2" s="3">
        <v>7.4897999999999998</v>
      </c>
    </row>
    <row r="3" spans="1:7" s="3" customFormat="1" x14ac:dyDescent="0.25">
      <c r="A3" s="3" t="s">
        <v>7</v>
      </c>
      <c r="B3" s="4">
        <v>44608</v>
      </c>
      <c r="C3" s="3">
        <v>2022</v>
      </c>
      <c r="E3" s="3" t="s">
        <v>6</v>
      </c>
      <c r="F3" s="3">
        <v>10.318</v>
      </c>
    </row>
    <row r="4" spans="1:7" s="3" customFormat="1" x14ac:dyDescent="0.25">
      <c r="A4" s="3" t="s">
        <v>7</v>
      </c>
      <c r="B4" s="4">
        <v>44622</v>
      </c>
      <c r="C4" s="3">
        <v>2022</v>
      </c>
      <c r="E4" s="3" t="s">
        <v>6</v>
      </c>
      <c r="F4" s="3">
        <v>12.741299999999999</v>
      </c>
    </row>
    <row r="5" spans="1:7" s="3" customFormat="1" x14ac:dyDescent="0.25">
      <c r="A5" s="3" t="s">
        <v>7</v>
      </c>
      <c r="B5" s="4">
        <v>44636</v>
      </c>
      <c r="C5" s="3">
        <v>2022</v>
      </c>
      <c r="E5" s="3" t="s">
        <v>6</v>
      </c>
      <c r="F5" s="3">
        <v>10.8872</v>
      </c>
    </row>
    <row r="6" spans="1:7" s="3" customFormat="1" x14ac:dyDescent="0.25">
      <c r="A6" s="3" t="s">
        <v>7</v>
      </c>
      <c r="B6" s="4">
        <v>44650</v>
      </c>
      <c r="C6" s="3">
        <v>2022</v>
      </c>
      <c r="E6" s="3" t="s">
        <v>6</v>
      </c>
      <c r="F6" s="3">
        <v>13.892000000000001</v>
      </c>
    </row>
    <row r="7" spans="1:7" s="3" customFormat="1" x14ac:dyDescent="0.25">
      <c r="A7" s="3" t="s">
        <v>7</v>
      </c>
      <c r="B7" s="4">
        <v>44664</v>
      </c>
      <c r="C7" s="3">
        <v>2022</v>
      </c>
      <c r="E7" s="3" t="s">
        <v>6</v>
      </c>
      <c r="F7" s="3">
        <v>15.2</v>
      </c>
    </row>
    <row r="8" spans="1:7" s="3" customFormat="1" x14ac:dyDescent="0.25">
      <c r="A8" s="3" t="s">
        <v>7</v>
      </c>
      <c r="B8" s="4">
        <v>44672</v>
      </c>
      <c r="C8" s="3">
        <v>2022</v>
      </c>
      <c r="E8" s="3" t="s">
        <v>6</v>
      </c>
      <c r="F8" s="3">
        <v>16.432000000000002</v>
      </c>
    </row>
    <row r="9" spans="1:7" s="3" customFormat="1" x14ac:dyDescent="0.25">
      <c r="A9" s="3" t="s">
        <v>7</v>
      </c>
      <c r="B9" s="4">
        <v>44680</v>
      </c>
      <c r="C9" s="3">
        <v>2022</v>
      </c>
      <c r="E9" s="3" t="s">
        <v>6</v>
      </c>
      <c r="F9" s="3">
        <v>16.502500000000001</v>
      </c>
    </row>
    <row r="10" spans="1:7" s="3" customFormat="1" x14ac:dyDescent="0.25">
      <c r="A10" s="3" t="s">
        <v>7</v>
      </c>
      <c r="B10" s="4">
        <v>44685</v>
      </c>
      <c r="C10" s="3">
        <v>2022</v>
      </c>
      <c r="E10" s="3" t="s">
        <v>6</v>
      </c>
      <c r="F10" s="3">
        <v>16.732200000000002</v>
      </c>
    </row>
    <row r="11" spans="1:7" s="3" customFormat="1" x14ac:dyDescent="0.25">
      <c r="A11" s="3" t="s">
        <v>7</v>
      </c>
      <c r="B11" s="4">
        <v>44699</v>
      </c>
      <c r="C11" s="3">
        <v>2022</v>
      </c>
      <c r="E11" s="3" t="s">
        <v>6</v>
      </c>
      <c r="F11" s="3">
        <v>17.0655</v>
      </c>
    </row>
    <row r="12" spans="1:7" s="3" customFormat="1" x14ac:dyDescent="0.25">
      <c r="A12" s="3" t="s">
        <v>7</v>
      </c>
      <c r="B12" s="4">
        <v>44713</v>
      </c>
      <c r="C12" s="3">
        <v>2022</v>
      </c>
      <c r="E12" s="3" t="s">
        <v>6</v>
      </c>
      <c r="F12" s="3">
        <v>17.685500000000001</v>
      </c>
    </row>
    <row r="13" spans="1:7" s="3" customFormat="1" x14ac:dyDescent="0.25">
      <c r="A13" s="3" t="s">
        <v>7</v>
      </c>
      <c r="B13" s="4">
        <v>44952</v>
      </c>
      <c r="C13" s="3">
        <v>2023</v>
      </c>
      <c r="E13" s="3" t="s">
        <v>6</v>
      </c>
      <c r="F13" s="3">
        <v>6.3356000000000003</v>
      </c>
    </row>
    <row r="14" spans="1:7" s="3" customFormat="1" x14ac:dyDescent="0.25">
      <c r="A14" s="3" t="s">
        <v>7</v>
      </c>
      <c r="B14" s="4">
        <v>44973</v>
      </c>
      <c r="C14" s="3">
        <v>2023</v>
      </c>
      <c r="E14" s="3" t="s">
        <v>6</v>
      </c>
      <c r="F14" s="3">
        <v>9.4124999999999996</v>
      </c>
    </row>
    <row r="15" spans="1:7" s="3" customFormat="1" x14ac:dyDescent="0.25">
      <c r="A15" s="3" t="s">
        <v>7</v>
      </c>
      <c r="B15" s="4">
        <v>44984</v>
      </c>
      <c r="C15" s="3">
        <v>2023</v>
      </c>
      <c r="E15" s="3" t="s">
        <v>6</v>
      </c>
      <c r="F15" s="3">
        <v>11.8299</v>
      </c>
    </row>
    <row r="16" spans="1:7" s="3" customFormat="1" x14ac:dyDescent="0.25">
      <c r="A16" s="3" t="s">
        <v>7</v>
      </c>
      <c r="B16" s="4">
        <v>45000</v>
      </c>
      <c r="C16" s="3">
        <v>2023</v>
      </c>
      <c r="E16" s="3" t="s">
        <v>6</v>
      </c>
      <c r="F16" s="3">
        <v>14.16</v>
      </c>
    </row>
    <row r="17" spans="1:6" s="3" customFormat="1" x14ac:dyDescent="0.25">
      <c r="A17" s="3" t="s">
        <v>7</v>
      </c>
      <c r="B17" s="4">
        <v>45015</v>
      </c>
      <c r="C17" s="3">
        <v>2023</v>
      </c>
      <c r="E17" s="3" t="s">
        <v>6</v>
      </c>
      <c r="F17" s="3">
        <v>15.593</v>
      </c>
    </row>
    <row r="18" spans="1:6" s="3" customFormat="1" x14ac:dyDescent="0.25">
      <c r="A18" s="3" t="s">
        <v>7</v>
      </c>
      <c r="B18" s="4">
        <v>45029</v>
      </c>
      <c r="C18" s="3">
        <v>2023</v>
      </c>
      <c r="E18" s="3" t="s">
        <v>6</v>
      </c>
      <c r="F18" s="3">
        <v>16.170999999999999</v>
      </c>
    </row>
    <row r="19" spans="1:6" s="3" customFormat="1" x14ac:dyDescent="0.25">
      <c r="A19" s="3" t="s">
        <v>7</v>
      </c>
      <c r="B19" s="4">
        <v>45041</v>
      </c>
      <c r="C19" s="3">
        <v>2023</v>
      </c>
      <c r="E19" s="3" t="s">
        <v>6</v>
      </c>
      <c r="F19" s="3">
        <v>18.248999999999999</v>
      </c>
    </row>
    <row r="20" spans="1:6" s="3" customFormat="1" x14ac:dyDescent="0.25">
      <c r="A20" s="3" t="s">
        <v>7</v>
      </c>
      <c r="B20" s="4">
        <v>45049</v>
      </c>
      <c r="C20" s="3">
        <v>2023</v>
      </c>
      <c r="E20" s="3" t="s">
        <v>6</v>
      </c>
      <c r="F20" s="3">
        <v>18.7944</v>
      </c>
    </row>
    <row r="21" spans="1:6" s="3" customFormat="1" x14ac:dyDescent="0.25">
      <c r="A21" s="3" t="s">
        <v>7</v>
      </c>
      <c r="B21" s="4">
        <v>45062</v>
      </c>
      <c r="C21" s="3">
        <v>2023</v>
      </c>
      <c r="E21" s="3" t="s">
        <v>6</v>
      </c>
      <c r="F21" s="3">
        <v>19.488899999999997</v>
      </c>
    </row>
    <row r="22" spans="1:6" s="3" customFormat="1" x14ac:dyDescent="0.25">
      <c r="A22" s="3" t="s">
        <v>7</v>
      </c>
      <c r="B22" s="4">
        <v>45076</v>
      </c>
      <c r="C22" s="3">
        <v>2023</v>
      </c>
      <c r="E22" s="3" t="s">
        <v>6</v>
      </c>
      <c r="F22" s="3">
        <v>20.195999999999998</v>
      </c>
    </row>
    <row r="23" spans="1:6" s="3" customFormat="1" x14ac:dyDescent="0.25">
      <c r="A23" s="3" t="s">
        <v>7</v>
      </c>
      <c r="B23" s="4">
        <v>45083</v>
      </c>
      <c r="C23" s="3">
        <v>2023</v>
      </c>
      <c r="E23" s="3" t="s">
        <v>6</v>
      </c>
      <c r="F23" s="3">
        <v>19.545300000000001</v>
      </c>
    </row>
    <row r="24" spans="1:6" s="3" customFormat="1" x14ac:dyDescent="0.25">
      <c r="A24" s="3" t="s">
        <v>7</v>
      </c>
      <c r="B24" s="4">
        <v>45316</v>
      </c>
      <c r="C24" s="3">
        <v>2024</v>
      </c>
      <c r="E24" s="3" t="s">
        <v>6</v>
      </c>
      <c r="F24" s="3">
        <v>5.22</v>
      </c>
    </row>
    <row r="25" spans="1:6" s="3" customFormat="1" x14ac:dyDescent="0.25">
      <c r="A25" s="3" t="s">
        <v>7</v>
      </c>
      <c r="B25" s="4">
        <v>45337</v>
      </c>
      <c r="C25" s="3">
        <v>2024</v>
      </c>
      <c r="E25" s="3" t="s">
        <v>6</v>
      </c>
      <c r="F25" s="3">
        <v>8.4240000000000013</v>
      </c>
    </row>
    <row r="26" spans="1:6" s="3" customFormat="1" x14ac:dyDescent="0.25">
      <c r="A26" s="3" t="s">
        <v>7</v>
      </c>
      <c r="B26" s="4">
        <v>45350</v>
      </c>
      <c r="C26" s="3">
        <v>2024</v>
      </c>
      <c r="E26" s="3" t="s">
        <v>6</v>
      </c>
      <c r="F26" s="3">
        <v>10.503</v>
      </c>
    </row>
    <row r="27" spans="1:6" s="3" customFormat="1" x14ac:dyDescent="0.25">
      <c r="A27" s="3" t="s">
        <v>7</v>
      </c>
      <c r="B27" s="4">
        <v>45364</v>
      </c>
      <c r="C27" s="3">
        <v>2024</v>
      </c>
      <c r="E27" s="3" t="s">
        <v>6</v>
      </c>
      <c r="F27" s="3">
        <v>12.1472</v>
      </c>
    </row>
    <row r="28" spans="1:6" s="3" customFormat="1" x14ac:dyDescent="0.25">
      <c r="A28" s="3" t="s">
        <v>7</v>
      </c>
      <c r="B28" s="4">
        <v>45378</v>
      </c>
      <c r="C28" s="3">
        <v>2024</v>
      </c>
      <c r="E28" s="3" t="s">
        <v>6</v>
      </c>
      <c r="F28" s="3">
        <v>13.311000000000002</v>
      </c>
    </row>
    <row r="29" spans="1:6" s="3" customFormat="1" x14ac:dyDescent="0.25">
      <c r="A29" s="3" t="s">
        <v>7</v>
      </c>
      <c r="B29" s="4">
        <v>45390</v>
      </c>
      <c r="C29" s="3">
        <v>2024</v>
      </c>
      <c r="E29" s="3" t="s">
        <v>6</v>
      </c>
      <c r="F29" s="3">
        <v>12.973500000000001</v>
      </c>
    </row>
    <row r="30" spans="1:6" s="3" customFormat="1" x14ac:dyDescent="0.25">
      <c r="A30" s="3" t="s">
        <v>7</v>
      </c>
      <c r="B30" s="4">
        <v>45404</v>
      </c>
      <c r="C30" s="3">
        <v>2024</v>
      </c>
      <c r="E30" s="3" t="s">
        <v>6</v>
      </c>
      <c r="F30" s="3">
        <v>14.267999999999999</v>
      </c>
    </row>
    <row r="31" spans="1:6" s="3" customFormat="1" x14ac:dyDescent="0.25">
      <c r="A31" s="3" t="s">
        <v>7</v>
      </c>
      <c r="B31" s="4">
        <v>45414</v>
      </c>
      <c r="C31" s="3">
        <v>2024</v>
      </c>
      <c r="E31" s="3" t="s">
        <v>6</v>
      </c>
      <c r="F31" s="3">
        <v>15.624000000000001</v>
      </c>
    </row>
    <row r="32" spans="1:6" s="3" customFormat="1" x14ac:dyDescent="0.25">
      <c r="A32" s="3" t="s">
        <v>7</v>
      </c>
      <c r="B32" s="4">
        <v>45425</v>
      </c>
      <c r="C32" s="3">
        <v>2024</v>
      </c>
      <c r="E32" s="3" t="s">
        <v>6</v>
      </c>
      <c r="F32" s="3">
        <v>15.652000000000001</v>
      </c>
    </row>
    <row r="33" spans="1:6" s="3" customFormat="1" x14ac:dyDescent="0.25">
      <c r="A33" s="3" t="s">
        <v>7</v>
      </c>
      <c r="B33" s="4">
        <v>45439</v>
      </c>
      <c r="C33" s="3">
        <v>2024</v>
      </c>
      <c r="E33" s="3" t="s">
        <v>6</v>
      </c>
      <c r="F33" s="3">
        <v>14.858400000000001</v>
      </c>
    </row>
    <row r="34" spans="1:6" s="3" customFormat="1" x14ac:dyDescent="0.25">
      <c r="A34" s="3" t="s">
        <v>7</v>
      </c>
      <c r="B34" s="4">
        <v>45454</v>
      </c>
      <c r="C34" s="3">
        <v>2024</v>
      </c>
      <c r="E34" s="3" t="s">
        <v>6</v>
      </c>
      <c r="F34" s="3">
        <v>14.500800000000002</v>
      </c>
    </row>
    <row r="35" spans="1:6" x14ac:dyDescent="0.25">
      <c r="B35" s="7"/>
    </row>
    <row r="36" spans="1:6" s="5" customFormat="1" x14ac:dyDescent="0.25">
      <c r="A36" s="5" t="s">
        <v>8</v>
      </c>
      <c r="B36" s="6">
        <v>44595</v>
      </c>
      <c r="C36" s="5">
        <v>2022</v>
      </c>
      <c r="E36" s="5" t="s">
        <v>6</v>
      </c>
      <c r="F36" s="5">
        <v>9.6047999999999991</v>
      </c>
    </row>
    <row r="37" spans="1:6" s="5" customFormat="1" x14ac:dyDescent="0.25">
      <c r="A37" s="5" t="s">
        <v>8</v>
      </c>
      <c r="B37" s="6">
        <v>44608</v>
      </c>
      <c r="C37" s="5">
        <v>2022</v>
      </c>
      <c r="E37" s="5" t="s">
        <v>6</v>
      </c>
      <c r="F37" s="5">
        <v>12.738</v>
      </c>
    </row>
    <row r="38" spans="1:6" s="5" customFormat="1" x14ac:dyDescent="0.25">
      <c r="A38" s="5" t="s">
        <v>8</v>
      </c>
      <c r="B38" s="6">
        <v>44622</v>
      </c>
      <c r="C38" s="5">
        <v>2022</v>
      </c>
      <c r="E38" s="5" t="s">
        <v>6</v>
      </c>
      <c r="F38" s="5">
        <v>14.497</v>
      </c>
    </row>
    <row r="39" spans="1:6" s="5" customFormat="1" x14ac:dyDescent="0.25">
      <c r="A39" s="5" t="s">
        <v>8</v>
      </c>
      <c r="B39" s="6">
        <v>44636</v>
      </c>
      <c r="C39" s="5">
        <v>2022</v>
      </c>
      <c r="E39" s="5" t="s">
        <v>6</v>
      </c>
      <c r="F39" s="5">
        <v>17.078399999999998</v>
      </c>
    </row>
    <row r="40" spans="1:6" s="5" customFormat="1" x14ac:dyDescent="0.25">
      <c r="A40" s="5" t="s">
        <v>8</v>
      </c>
      <c r="B40" s="6">
        <v>44650</v>
      </c>
      <c r="C40" s="5">
        <v>2022</v>
      </c>
      <c r="E40" s="5" t="s">
        <v>6</v>
      </c>
      <c r="F40" s="5">
        <v>20.495999999999999</v>
      </c>
    </row>
    <row r="41" spans="1:6" s="5" customFormat="1" x14ac:dyDescent="0.25">
      <c r="A41" s="5" t="s">
        <v>8</v>
      </c>
      <c r="B41" s="6">
        <v>44664</v>
      </c>
      <c r="C41" s="5">
        <v>2022</v>
      </c>
      <c r="E41" s="5" t="s">
        <v>6</v>
      </c>
      <c r="F41" s="5">
        <v>22.349699999999999</v>
      </c>
    </row>
    <row r="42" spans="1:6" s="5" customFormat="1" x14ac:dyDescent="0.25">
      <c r="A42" s="5" t="s">
        <v>8</v>
      </c>
      <c r="B42" s="6">
        <v>44672</v>
      </c>
      <c r="C42" s="5">
        <v>2022</v>
      </c>
      <c r="E42" s="5" t="s">
        <v>6</v>
      </c>
      <c r="F42" s="5">
        <v>23.020800000000005</v>
      </c>
    </row>
    <row r="43" spans="1:6" s="5" customFormat="1" x14ac:dyDescent="0.25">
      <c r="A43" s="5" t="s">
        <v>8</v>
      </c>
      <c r="B43" s="6">
        <v>44680</v>
      </c>
      <c r="C43" s="5">
        <v>2022</v>
      </c>
      <c r="E43" s="5" t="s">
        <v>6</v>
      </c>
      <c r="F43" s="5">
        <v>23.687999999999999</v>
      </c>
    </row>
    <row r="44" spans="1:6" s="5" customFormat="1" x14ac:dyDescent="0.25">
      <c r="A44" s="5" t="s">
        <v>8</v>
      </c>
      <c r="B44" s="6">
        <v>44685</v>
      </c>
      <c r="C44" s="5">
        <v>2022</v>
      </c>
      <c r="E44" s="5" t="s">
        <v>6</v>
      </c>
      <c r="F44" s="5">
        <v>24.631799999999998</v>
      </c>
    </row>
    <row r="45" spans="1:6" s="5" customFormat="1" x14ac:dyDescent="0.25">
      <c r="A45" s="5" t="s">
        <v>8</v>
      </c>
      <c r="B45" s="6">
        <v>44699</v>
      </c>
      <c r="C45" s="5">
        <v>2022</v>
      </c>
      <c r="E45" s="5" t="s">
        <v>6</v>
      </c>
      <c r="F45" s="5">
        <v>25.207600000000003</v>
      </c>
    </row>
    <row r="46" spans="1:6" s="5" customFormat="1" x14ac:dyDescent="0.25">
      <c r="A46" s="5" t="s">
        <v>8</v>
      </c>
      <c r="B46" s="6">
        <v>44713</v>
      </c>
      <c r="C46" s="5">
        <v>2022</v>
      </c>
      <c r="E46" s="5" t="s">
        <v>6</v>
      </c>
      <c r="F46" s="5">
        <v>24.039699999999996</v>
      </c>
    </row>
    <row r="47" spans="1:6" s="5" customFormat="1" x14ac:dyDescent="0.25">
      <c r="A47" s="5" t="s">
        <v>8</v>
      </c>
      <c r="B47" s="6">
        <v>44952</v>
      </c>
      <c r="C47" s="5">
        <v>2023</v>
      </c>
      <c r="E47" s="5" t="s">
        <v>6</v>
      </c>
      <c r="F47" s="5">
        <v>7.68</v>
      </c>
    </row>
    <row r="48" spans="1:6" s="5" customFormat="1" x14ac:dyDescent="0.25">
      <c r="A48" s="5" t="s">
        <v>8</v>
      </c>
      <c r="B48" s="6">
        <v>44974</v>
      </c>
      <c r="C48" s="5">
        <v>2023</v>
      </c>
      <c r="E48" s="5" t="s">
        <v>6</v>
      </c>
      <c r="F48" s="5">
        <v>11.2468</v>
      </c>
    </row>
    <row r="49" spans="1:6" s="5" customFormat="1" x14ac:dyDescent="0.25">
      <c r="A49" s="5" t="s">
        <v>8</v>
      </c>
      <c r="B49" s="6">
        <v>44984</v>
      </c>
      <c r="C49" s="5">
        <v>2023</v>
      </c>
      <c r="E49" s="5" t="s">
        <v>6</v>
      </c>
      <c r="F49" s="5">
        <v>14.643999999999998</v>
      </c>
    </row>
    <row r="50" spans="1:6" s="5" customFormat="1" x14ac:dyDescent="0.25">
      <c r="A50" s="5" t="s">
        <v>8</v>
      </c>
      <c r="B50" s="6">
        <v>45000</v>
      </c>
      <c r="C50" s="5">
        <v>2023</v>
      </c>
      <c r="E50" s="5" t="s">
        <v>6</v>
      </c>
      <c r="F50" s="5">
        <v>18.2835</v>
      </c>
    </row>
    <row r="51" spans="1:6" s="5" customFormat="1" x14ac:dyDescent="0.25">
      <c r="A51" s="5" t="s">
        <v>8</v>
      </c>
      <c r="B51" s="6">
        <v>45015</v>
      </c>
      <c r="C51" s="5">
        <v>2023</v>
      </c>
      <c r="E51" s="5" t="s">
        <v>6</v>
      </c>
      <c r="F51" s="5">
        <v>20.590500000000002</v>
      </c>
    </row>
    <row r="52" spans="1:6" s="5" customFormat="1" x14ac:dyDescent="0.25">
      <c r="A52" s="5" t="s">
        <v>8</v>
      </c>
      <c r="B52" s="6">
        <v>45029</v>
      </c>
      <c r="C52" s="5">
        <v>2023</v>
      </c>
      <c r="E52" s="5" t="s">
        <v>6</v>
      </c>
      <c r="F52" s="5">
        <v>22.845600000000001</v>
      </c>
    </row>
    <row r="53" spans="1:6" s="5" customFormat="1" x14ac:dyDescent="0.25">
      <c r="A53" s="5" t="s">
        <v>8</v>
      </c>
      <c r="B53" s="6">
        <v>45041</v>
      </c>
      <c r="C53" s="5">
        <v>2023</v>
      </c>
      <c r="E53" s="5" t="s">
        <v>6</v>
      </c>
      <c r="F53" s="5">
        <v>23.795200000000001</v>
      </c>
    </row>
    <row r="54" spans="1:6" s="5" customFormat="1" x14ac:dyDescent="0.25">
      <c r="A54" s="5" t="s">
        <v>8</v>
      </c>
      <c r="B54" s="6">
        <v>45049</v>
      </c>
      <c r="C54" s="5">
        <v>2023</v>
      </c>
      <c r="E54" s="5" t="s">
        <v>6</v>
      </c>
      <c r="F54" s="5">
        <v>24.320799999999998</v>
      </c>
    </row>
    <row r="55" spans="1:6" s="5" customFormat="1" x14ac:dyDescent="0.25">
      <c r="A55" s="5" t="s">
        <v>8</v>
      </c>
      <c r="B55" s="6">
        <v>45062</v>
      </c>
      <c r="C55" s="5">
        <v>2023</v>
      </c>
      <c r="E55" s="5" t="s">
        <v>6</v>
      </c>
      <c r="F55" s="5">
        <v>24.446999999999999</v>
      </c>
    </row>
    <row r="56" spans="1:6" s="5" customFormat="1" x14ac:dyDescent="0.25">
      <c r="A56" s="5" t="s">
        <v>8</v>
      </c>
      <c r="B56" s="6">
        <v>45077</v>
      </c>
      <c r="C56" s="5">
        <v>2023</v>
      </c>
      <c r="E56" s="5" t="s">
        <v>6</v>
      </c>
      <c r="F56" s="5">
        <v>24.847199999999997</v>
      </c>
    </row>
    <row r="57" spans="1:6" s="5" customFormat="1" x14ac:dyDescent="0.25">
      <c r="A57" s="5" t="s">
        <v>8</v>
      </c>
      <c r="B57" s="6">
        <v>45083</v>
      </c>
      <c r="C57" s="5">
        <v>2023</v>
      </c>
      <c r="E57" s="5" t="s">
        <v>6</v>
      </c>
      <c r="F57" s="5">
        <v>22.531999999999996</v>
      </c>
    </row>
    <row r="58" spans="1:6" x14ac:dyDescent="0.25">
      <c r="B58" s="2"/>
    </row>
    <row r="59" spans="1:6" s="8" customFormat="1" x14ac:dyDescent="0.25">
      <c r="A59" s="8" t="s">
        <v>10</v>
      </c>
      <c r="B59" s="9">
        <v>44595</v>
      </c>
      <c r="C59" s="8">
        <v>2022</v>
      </c>
      <c r="D59" s="9"/>
      <c r="E59" s="8" t="s">
        <v>6</v>
      </c>
      <c r="F59" s="8">
        <v>7.4561999999999991</v>
      </c>
    </row>
    <row r="60" spans="1:6" s="8" customFormat="1" x14ac:dyDescent="0.25">
      <c r="A60" s="8" t="s">
        <v>10</v>
      </c>
      <c r="B60" s="9">
        <v>44608</v>
      </c>
      <c r="C60" s="8">
        <v>2022</v>
      </c>
      <c r="E60" s="8" t="s">
        <v>6</v>
      </c>
      <c r="F60" s="8">
        <v>11.081100000000001</v>
      </c>
    </row>
    <row r="61" spans="1:6" s="8" customFormat="1" x14ac:dyDescent="0.25">
      <c r="A61" s="8" t="s">
        <v>10</v>
      </c>
      <c r="B61" s="9">
        <v>44622</v>
      </c>
      <c r="C61" s="8">
        <v>2022</v>
      </c>
      <c r="E61" s="8" t="s">
        <v>6</v>
      </c>
      <c r="F61" s="8">
        <v>12.922000000000001</v>
      </c>
    </row>
    <row r="62" spans="1:6" s="8" customFormat="1" x14ac:dyDescent="0.25">
      <c r="A62" s="8" t="s">
        <v>10</v>
      </c>
      <c r="B62" s="9">
        <v>44636</v>
      </c>
      <c r="C62" s="8">
        <v>2022</v>
      </c>
      <c r="E62" s="8" t="s">
        <v>6</v>
      </c>
      <c r="F62" s="8">
        <v>16.5564</v>
      </c>
    </row>
    <row r="63" spans="1:6" s="8" customFormat="1" x14ac:dyDescent="0.25">
      <c r="A63" s="8" t="s">
        <v>10</v>
      </c>
      <c r="B63" s="9">
        <v>44650</v>
      </c>
      <c r="C63" s="8">
        <v>2022</v>
      </c>
      <c r="E63" s="8" t="s">
        <v>6</v>
      </c>
      <c r="F63" s="8">
        <v>17.243100000000002</v>
      </c>
    </row>
    <row r="64" spans="1:6" s="8" customFormat="1" x14ac:dyDescent="0.25">
      <c r="A64" s="8" t="s">
        <v>10</v>
      </c>
      <c r="B64" s="9">
        <v>44664</v>
      </c>
      <c r="C64" s="8">
        <v>2022</v>
      </c>
      <c r="E64" s="8" t="s">
        <v>6</v>
      </c>
      <c r="F64" s="8">
        <v>18.874200000000002</v>
      </c>
    </row>
    <row r="65" spans="1:6" s="8" customFormat="1" x14ac:dyDescent="0.25">
      <c r="A65" s="8" t="s">
        <v>10</v>
      </c>
      <c r="B65" s="9">
        <v>44673</v>
      </c>
      <c r="C65" s="8">
        <v>2022</v>
      </c>
      <c r="E65" s="8" t="s">
        <v>6</v>
      </c>
      <c r="F65" s="8">
        <v>19.495000000000001</v>
      </c>
    </row>
    <row r="66" spans="1:6" s="8" customFormat="1" x14ac:dyDescent="0.25">
      <c r="A66" s="8" t="s">
        <v>10</v>
      </c>
      <c r="B66" s="9">
        <v>44680</v>
      </c>
      <c r="C66" s="8">
        <v>2022</v>
      </c>
      <c r="E66" s="8" t="s">
        <v>6</v>
      </c>
      <c r="F66" s="8">
        <v>20.399199999999997</v>
      </c>
    </row>
    <row r="67" spans="1:6" s="8" customFormat="1" x14ac:dyDescent="0.25">
      <c r="A67" s="8" t="s">
        <v>10</v>
      </c>
      <c r="B67" s="9">
        <v>44685</v>
      </c>
      <c r="C67" s="8">
        <v>2022</v>
      </c>
      <c r="E67" s="8" t="s">
        <v>6</v>
      </c>
      <c r="F67" s="8">
        <v>22.8123</v>
      </c>
    </row>
    <row r="68" spans="1:6" s="8" customFormat="1" x14ac:dyDescent="0.25">
      <c r="A68" s="8" t="s">
        <v>10</v>
      </c>
      <c r="B68" s="9">
        <v>44699</v>
      </c>
      <c r="C68" s="8">
        <v>2022</v>
      </c>
      <c r="E68" s="8" t="s">
        <v>6</v>
      </c>
      <c r="F68" s="8">
        <v>22.352000000000004</v>
      </c>
    </row>
    <row r="69" spans="1:6" s="8" customFormat="1" x14ac:dyDescent="0.25">
      <c r="A69" s="8" t="s">
        <v>10</v>
      </c>
      <c r="B69" s="9">
        <v>44713</v>
      </c>
      <c r="C69" s="8">
        <v>2022</v>
      </c>
      <c r="E69" s="8" t="s">
        <v>6</v>
      </c>
      <c r="F69" s="8">
        <v>22.697199999999999</v>
      </c>
    </row>
    <row r="70" spans="1:6" s="8" customFormat="1" x14ac:dyDescent="0.25">
      <c r="A70" s="8" t="s">
        <v>10</v>
      </c>
      <c r="B70" s="9">
        <v>44952</v>
      </c>
      <c r="C70" s="8">
        <v>2023</v>
      </c>
      <c r="E70" s="8" t="s">
        <v>6</v>
      </c>
      <c r="F70" s="8">
        <v>7.3137999999999996</v>
      </c>
    </row>
    <row r="71" spans="1:6" s="8" customFormat="1" x14ac:dyDescent="0.25">
      <c r="A71" s="8" t="s">
        <v>10</v>
      </c>
      <c r="B71" s="9">
        <v>44973</v>
      </c>
      <c r="C71" s="8">
        <v>2023</v>
      </c>
      <c r="E71" s="8" t="s">
        <v>6</v>
      </c>
      <c r="F71" s="8">
        <v>11.023599999999998</v>
      </c>
    </row>
    <row r="72" spans="1:6" s="8" customFormat="1" x14ac:dyDescent="0.25">
      <c r="A72" s="8" t="s">
        <v>10</v>
      </c>
      <c r="B72" s="9">
        <v>44987</v>
      </c>
      <c r="C72" s="8">
        <v>2023</v>
      </c>
      <c r="E72" s="8" t="s">
        <v>6</v>
      </c>
      <c r="F72" s="8">
        <v>13.492799999999999</v>
      </c>
    </row>
    <row r="73" spans="1:6" s="8" customFormat="1" x14ac:dyDescent="0.25">
      <c r="A73" s="8" t="s">
        <v>10</v>
      </c>
      <c r="B73" s="9">
        <v>45001</v>
      </c>
      <c r="C73" s="8">
        <v>2023</v>
      </c>
      <c r="E73" s="8" t="s">
        <v>6</v>
      </c>
      <c r="F73" s="8">
        <v>16.840599999999998</v>
      </c>
    </row>
    <row r="74" spans="1:6" s="8" customFormat="1" x14ac:dyDescent="0.25">
      <c r="A74" s="8" t="s">
        <v>10</v>
      </c>
      <c r="B74" s="9">
        <v>45014</v>
      </c>
      <c r="C74" s="8">
        <v>2023</v>
      </c>
      <c r="E74" s="8" t="s">
        <v>6</v>
      </c>
      <c r="F74" s="8">
        <v>19.481999999999999</v>
      </c>
    </row>
    <row r="75" spans="1:6" s="8" customFormat="1" x14ac:dyDescent="0.25">
      <c r="A75" s="8" t="s">
        <v>10</v>
      </c>
      <c r="B75" s="9">
        <v>45029</v>
      </c>
      <c r="C75" s="8">
        <v>2023</v>
      </c>
      <c r="E75" s="8" t="s">
        <v>6</v>
      </c>
      <c r="F75" s="8">
        <v>22.633600000000001</v>
      </c>
    </row>
    <row r="76" spans="1:6" s="8" customFormat="1" x14ac:dyDescent="0.25">
      <c r="A76" s="8" t="s">
        <v>10</v>
      </c>
      <c r="B76" s="9">
        <v>45041</v>
      </c>
      <c r="C76" s="8">
        <v>2023</v>
      </c>
      <c r="E76" s="8" t="s">
        <v>6</v>
      </c>
      <c r="F76" s="8">
        <v>24.105599999999999</v>
      </c>
    </row>
    <row r="77" spans="1:6" s="8" customFormat="1" x14ac:dyDescent="0.25">
      <c r="A77" s="8" t="s">
        <v>10</v>
      </c>
      <c r="B77" s="9">
        <v>45049</v>
      </c>
      <c r="C77" s="8">
        <v>2023</v>
      </c>
      <c r="E77" s="8" t="s">
        <v>6</v>
      </c>
      <c r="F77" s="8">
        <v>25.936899999999994</v>
      </c>
    </row>
    <row r="78" spans="1:6" s="8" customFormat="1" x14ac:dyDescent="0.25">
      <c r="A78" s="8" t="s">
        <v>10</v>
      </c>
      <c r="B78" s="9">
        <v>45062</v>
      </c>
      <c r="C78" s="8">
        <v>2023</v>
      </c>
      <c r="E78" s="8" t="s">
        <v>6</v>
      </c>
      <c r="F78" s="8">
        <v>24.915800000000001</v>
      </c>
    </row>
    <row r="79" spans="1:6" s="8" customFormat="1" x14ac:dyDescent="0.25">
      <c r="A79" s="8" t="s">
        <v>10</v>
      </c>
      <c r="B79" s="9">
        <v>45076</v>
      </c>
      <c r="C79" s="8">
        <v>2023</v>
      </c>
      <c r="E79" s="8" t="s">
        <v>6</v>
      </c>
      <c r="F79" s="8">
        <v>24.590499999999999</v>
      </c>
    </row>
    <row r="80" spans="1:6" s="8" customFormat="1" x14ac:dyDescent="0.25">
      <c r="A80" s="8" t="s">
        <v>10</v>
      </c>
      <c r="B80" s="9">
        <v>45083</v>
      </c>
      <c r="C80" s="8">
        <v>2023</v>
      </c>
      <c r="E80" s="8" t="s">
        <v>6</v>
      </c>
      <c r="F80" s="8">
        <v>25.136999999999997</v>
      </c>
    </row>
    <row r="81" spans="1:6" s="8" customFormat="1" x14ac:dyDescent="0.25">
      <c r="A81" s="8" t="s">
        <v>10</v>
      </c>
      <c r="B81" s="9">
        <v>45314</v>
      </c>
      <c r="C81" s="8">
        <v>2024</v>
      </c>
      <c r="E81" s="8" t="s">
        <v>6</v>
      </c>
      <c r="F81" s="8">
        <v>5.7376000000000014</v>
      </c>
    </row>
    <row r="82" spans="1:6" s="8" customFormat="1" x14ac:dyDescent="0.25">
      <c r="A82" s="8" t="s">
        <v>10</v>
      </c>
      <c r="B82" s="9">
        <v>45337</v>
      </c>
      <c r="C82" s="8">
        <v>2024</v>
      </c>
      <c r="E82" s="8" t="s">
        <v>6</v>
      </c>
      <c r="F82" s="8">
        <v>10.566399999999998</v>
      </c>
    </row>
    <row r="83" spans="1:6" s="8" customFormat="1" x14ac:dyDescent="0.25">
      <c r="A83" s="8" t="s">
        <v>10</v>
      </c>
      <c r="B83" s="9">
        <v>45348</v>
      </c>
      <c r="C83" s="8">
        <v>2024</v>
      </c>
      <c r="E83" s="8" t="s">
        <v>6</v>
      </c>
      <c r="F83" s="8">
        <v>11.4376</v>
      </c>
    </row>
    <row r="84" spans="1:6" s="8" customFormat="1" x14ac:dyDescent="0.25">
      <c r="A84" s="8" t="s">
        <v>10</v>
      </c>
      <c r="B84" s="9">
        <v>45365</v>
      </c>
      <c r="C84" s="8">
        <v>2024</v>
      </c>
      <c r="E84" s="8" t="s">
        <v>6</v>
      </c>
      <c r="F84" s="8">
        <v>14.351400000000002</v>
      </c>
    </row>
    <row r="85" spans="1:6" s="8" customFormat="1" x14ac:dyDescent="0.25">
      <c r="A85" s="8" t="s">
        <v>10</v>
      </c>
      <c r="B85" s="9">
        <v>45379</v>
      </c>
      <c r="C85" s="8">
        <v>2024</v>
      </c>
      <c r="E85" s="8" t="s">
        <v>6</v>
      </c>
      <c r="F85" s="8">
        <v>16.467200000000002</v>
      </c>
    </row>
    <row r="86" spans="1:6" s="8" customFormat="1" x14ac:dyDescent="0.25">
      <c r="A86" s="8" t="s">
        <v>10</v>
      </c>
      <c r="B86" s="9">
        <v>45393</v>
      </c>
      <c r="C86" s="8">
        <v>2024</v>
      </c>
      <c r="E86" s="8" t="s">
        <v>6</v>
      </c>
      <c r="F86" s="8">
        <v>17.629000000000001</v>
      </c>
    </row>
    <row r="87" spans="1:6" s="8" customFormat="1" x14ac:dyDescent="0.25">
      <c r="A87" s="8" t="s">
        <v>10</v>
      </c>
      <c r="B87" s="9">
        <v>45407</v>
      </c>
      <c r="C87" s="8">
        <v>2024</v>
      </c>
      <c r="E87" s="8" t="s">
        <v>6</v>
      </c>
      <c r="F87" s="8">
        <v>18.948599999999999</v>
      </c>
    </row>
    <row r="88" spans="1:6" s="8" customFormat="1" x14ac:dyDescent="0.25">
      <c r="A88" s="8" t="s">
        <v>10</v>
      </c>
      <c r="B88" s="9">
        <v>45414</v>
      </c>
      <c r="C88" s="8">
        <v>2024</v>
      </c>
      <c r="E88" s="8" t="s">
        <v>6</v>
      </c>
      <c r="F88" s="8">
        <v>20.6096</v>
      </c>
    </row>
    <row r="89" spans="1:6" s="8" customFormat="1" x14ac:dyDescent="0.25">
      <c r="A89" s="8" t="s">
        <v>10</v>
      </c>
      <c r="B89" s="9">
        <v>45425</v>
      </c>
      <c r="C89" s="8">
        <v>2024</v>
      </c>
      <c r="E89" s="8" t="s">
        <v>6</v>
      </c>
      <c r="F89" s="8">
        <v>20.810399999999994</v>
      </c>
    </row>
    <row r="90" spans="1:6" s="8" customFormat="1" x14ac:dyDescent="0.25">
      <c r="A90" s="8" t="s">
        <v>10</v>
      </c>
      <c r="B90" s="9">
        <v>45441</v>
      </c>
      <c r="C90" s="8">
        <v>2024</v>
      </c>
      <c r="E90" s="8" t="s">
        <v>6</v>
      </c>
      <c r="F90" s="8">
        <v>20.833099999999998</v>
      </c>
    </row>
    <row r="91" spans="1:6" s="8" customFormat="1" x14ac:dyDescent="0.25">
      <c r="A91" s="8" t="s">
        <v>10</v>
      </c>
      <c r="B91" s="9">
        <v>45453</v>
      </c>
      <c r="C91" s="8">
        <v>2024</v>
      </c>
      <c r="E91" s="8" t="s">
        <v>6</v>
      </c>
      <c r="F91" s="8">
        <v>20.495499999999996</v>
      </c>
    </row>
    <row r="92" spans="1:6" x14ac:dyDescent="0.25">
      <c r="B92" s="7"/>
    </row>
    <row r="93" spans="1:6" s="10" customFormat="1" x14ac:dyDescent="0.25">
      <c r="A93" s="10" t="s">
        <v>11</v>
      </c>
      <c r="B93" s="11">
        <v>44595</v>
      </c>
      <c r="C93" s="10">
        <f>YEAR((B93))</f>
        <v>2022</v>
      </c>
      <c r="E93" s="10" t="s">
        <v>6</v>
      </c>
      <c r="F93" s="10">
        <v>6.96</v>
      </c>
    </row>
    <row r="94" spans="1:6" s="10" customFormat="1" x14ac:dyDescent="0.25">
      <c r="A94" s="10" t="s">
        <v>11</v>
      </c>
      <c r="B94" s="11">
        <v>44608</v>
      </c>
      <c r="C94" s="10">
        <f t="shared" ref="C94:C125" si="0">YEAR((B94))</f>
        <v>2022</v>
      </c>
      <c r="E94" s="10" t="s">
        <v>6</v>
      </c>
      <c r="F94" s="10">
        <v>9.7843999999999998</v>
      </c>
    </row>
    <row r="95" spans="1:6" s="10" customFormat="1" x14ac:dyDescent="0.25">
      <c r="A95" s="10" t="s">
        <v>11</v>
      </c>
      <c r="B95" s="11">
        <v>44622</v>
      </c>
      <c r="C95" s="10">
        <f t="shared" si="0"/>
        <v>2022</v>
      </c>
      <c r="E95" s="10" t="s">
        <v>6</v>
      </c>
      <c r="F95" s="10">
        <v>12.097799999999999</v>
      </c>
    </row>
    <row r="96" spans="1:6" s="10" customFormat="1" x14ac:dyDescent="0.25">
      <c r="A96" s="10" t="s">
        <v>11</v>
      </c>
      <c r="B96" s="11">
        <v>44636</v>
      </c>
      <c r="C96" s="10">
        <f t="shared" si="0"/>
        <v>2022</v>
      </c>
      <c r="E96" s="10" t="s">
        <v>6</v>
      </c>
      <c r="F96" s="10">
        <v>13.3996</v>
      </c>
    </row>
    <row r="97" spans="1:6" s="10" customFormat="1" x14ac:dyDescent="0.25">
      <c r="A97" s="10" t="s">
        <v>11</v>
      </c>
      <c r="B97" s="11">
        <v>44650</v>
      </c>
      <c r="C97" s="10">
        <f t="shared" si="0"/>
        <v>2022</v>
      </c>
      <c r="E97" s="10" t="s">
        <v>6</v>
      </c>
      <c r="F97" s="10">
        <v>18.352399999999999</v>
      </c>
    </row>
    <row r="98" spans="1:6" s="10" customFormat="1" x14ac:dyDescent="0.25">
      <c r="A98" s="10" t="s">
        <v>11</v>
      </c>
      <c r="B98" s="11">
        <v>44664</v>
      </c>
      <c r="C98" s="10">
        <f t="shared" si="0"/>
        <v>2022</v>
      </c>
      <c r="E98" s="10" t="s">
        <v>6</v>
      </c>
      <c r="F98" s="10">
        <v>17.783999999999999</v>
      </c>
    </row>
    <row r="99" spans="1:6" s="10" customFormat="1" x14ac:dyDescent="0.25">
      <c r="A99" s="10" t="s">
        <v>11</v>
      </c>
      <c r="B99" s="11">
        <v>44673</v>
      </c>
      <c r="C99" s="10">
        <f t="shared" si="0"/>
        <v>2022</v>
      </c>
      <c r="E99" s="10" t="s">
        <v>6</v>
      </c>
      <c r="F99" s="10">
        <v>17.6967</v>
      </c>
    </row>
    <row r="100" spans="1:6" s="10" customFormat="1" x14ac:dyDescent="0.25">
      <c r="A100" s="10" t="s">
        <v>11</v>
      </c>
      <c r="B100" s="11">
        <v>44680</v>
      </c>
      <c r="C100" s="10">
        <f t="shared" si="0"/>
        <v>2022</v>
      </c>
      <c r="E100" s="10" t="s">
        <v>6</v>
      </c>
      <c r="F100" s="10">
        <v>19.3248</v>
      </c>
    </row>
    <row r="101" spans="1:6" s="10" customFormat="1" x14ac:dyDescent="0.25">
      <c r="A101" s="10" t="s">
        <v>11</v>
      </c>
      <c r="B101" s="11">
        <v>44685</v>
      </c>
      <c r="C101" s="10">
        <f>YEAR((B101))</f>
        <v>2022</v>
      </c>
      <c r="E101" s="10" t="s">
        <v>6</v>
      </c>
      <c r="F101" s="10">
        <v>20.511399999999998</v>
      </c>
    </row>
    <row r="102" spans="1:6" s="10" customFormat="1" x14ac:dyDescent="0.25">
      <c r="A102" s="10" t="s">
        <v>11</v>
      </c>
      <c r="B102" s="11">
        <v>44699</v>
      </c>
      <c r="C102" s="10">
        <f t="shared" si="0"/>
        <v>2022</v>
      </c>
      <c r="E102" s="10" t="s">
        <v>6</v>
      </c>
      <c r="F102" s="10">
        <v>20.461199999999998</v>
      </c>
    </row>
    <row r="103" spans="1:6" s="10" customFormat="1" x14ac:dyDescent="0.25">
      <c r="A103" s="10" t="s">
        <v>11</v>
      </c>
      <c r="B103" s="11">
        <v>44713</v>
      </c>
      <c r="C103" s="10">
        <f t="shared" si="0"/>
        <v>2022</v>
      </c>
      <c r="E103" s="10" t="s">
        <v>6</v>
      </c>
      <c r="F103" s="10">
        <v>21.339900000000004</v>
      </c>
    </row>
    <row r="104" spans="1:6" s="10" customFormat="1" x14ac:dyDescent="0.25">
      <c r="A104" s="10" t="s">
        <v>11</v>
      </c>
      <c r="B104" s="11">
        <v>44950</v>
      </c>
      <c r="C104" s="10">
        <f t="shared" si="0"/>
        <v>2023</v>
      </c>
      <c r="E104" s="10" t="s">
        <v>6</v>
      </c>
      <c r="F104" s="10">
        <v>5.7330000000000005</v>
      </c>
    </row>
    <row r="105" spans="1:6" s="10" customFormat="1" x14ac:dyDescent="0.25">
      <c r="A105" s="10" t="s">
        <v>11</v>
      </c>
      <c r="B105" s="11">
        <v>44974</v>
      </c>
      <c r="C105" s="10">
        <f t="shared" si="0"/>
        <v>2023</v>
      </c>
      <c r="E105" s="10" t="s">
        <v>6</v>
      </c>
      <c r="F105" s="10">
        <v>8.2151000000000014</v>
      </c>
    </row>
    <row r="106" spans="1:6" s="10" customFormat="1" x14ac:dyDescent="0.25">
      <c r="A106" s="10" t="s">
        <v>11</v>
      </c>
      <c r="B106" s="11">
        <v>44987</v>
      </c>
      <c r="C106" s="10">
        <f t="shared" si="0"/>
        <v>2023</v>
      </c>
      <c r="E106" s="10" t="s">
        <v>6</v>
      </c>
      <c r="F106" s="10">
        <v>10.610999999999999</v>
      </c>
    </row>
    <row r="107" spans="1:6" s="10" customFormat="1" x14ac:dyDescent="0.25">
      <c r="A107" s="10" t="s">
        <v>11</v>
      </c>
      <c r="B107" s="11">
        <v>45001</v>
      </c>
      <c r="C107" s="10">
        <f t="shared" si="0"/>
        <v>2023</v>
      </c>
      <c r="E107" s="10" t="s">
        <v>6</v>
      </c>
      <c r="F107" s="10">
        <v>13.234500000000001</v>
      </c>
    </row>
    <row r="108" spans="1:6" s="10" customFormat="1" x14ac:dyDescent="0.25">
      <c r="A108" s="10" t="s">
        <v>11</v>
      </c>
      <c r="B108" s="11">
        <v>45014</v>
      </c>
      <c r="C108" s="10">
        <f t="shared" si="0"/>
        <v>2023</v>
      </c>
      <c r="E108" s="10" t="s">
        <v>6</v>
      </c>
      <c r="F108" s="10">
        <v>15.264000000000001</v>
      </c>
    </row>
    <row r="109" spans="1:6" s="10" customFormat="1" x14ac:dyDescent="0.25">
      <c r="A109" s="10" t="s">
        <v>11</v>
      </c>
      <c r="B109" s="11">
        <v>45031</v>
      </c>
      <c r="C109" s="10">
        <f t="shared" si="0"/>
        <v>2023</v>
      </c>
      <c r="E109" s="10" t="s">
        <v>6</v>
      </c>
      <c r="F109" s="10">
        <v>16.933800000000002</v>
      </c>
    </row>
    <row r="110" spans="1:6" s="10" customFormat="1" x14ac:dyDescent="0.25">
      <c r="A110" s="10" t="s">
        <v>11</v>
      </c>
      <c r="B110" s="11">
        <v>45041</v>
      </c>
      <c r="C110" s="10">
        <f t="shared" si="0"/>
        <v>2023</v>
      </c>
      <c r="E110" s="10" t="s">
        <v>6</v>
      </c>
      <c r="F110" s="10">
        <v>18.791999999999998</v>
      </c>
    </row>
    <row r="111" spans="1:6" s="10" customFormat="1" x14ac:dyDescent="0.25">
      <c r="A111" s="10" t="s">
        <v>11</v>
      </c>
      <c r="B111" s="11">
        <v>45049</v>
      </c>
      <c r="C111" s="10">
        <f t="shared" si="0"/>
        <v>2023</v>
      </c>
      <c r="E111" s="10" t="s">
        <v>6</v>
      </c>
      <c r="F111" s="10">
        <v>19.670000000000002</v>
      </c>
    </row>
    <row r="112" spans="1:6" s="10" customFormat="1" x14ac:dyDescent="0.25">
      <c r="A112" s="10" t="s">
        <v>11</v>
      </c>
      <c r="B112" s="11">
        <v>45062</v>
      </c>
      <c r="C112" s="10">
        <f t="shared" si="0"/>
        <v>2023</v>
      </c>
      <c r="E112" s="10" t="s">
        <v>6</v>
      </c>
      <c r="F112" s="10">
        <v>20.914999999999999</v>
      </c>
    </row>
    <row r="113" spans="1:6" s="10" customFormat="1" x14ac:dyDescent="0.25">
      <c r="A113" s="10" t="s">
        <v>11</v>
      </c>
      <c r="B113" s="11">
        <v>45077</v>
      </c>
      <c r="C113" s="10">
        <f t="shared" si="0"/>
        <v>2023</v>
      </c>
      <c r="E113" s="10" t="s">
        <v>6</v>
      </c>
      <c r="F113" s="10">
        <v>20.790399999999998</v>
      </c>
    </row>
    <row r="114" spans="1:6" s="10" customFormat="1" x14ac:dyDescent="0.25">
      <c r="A114" s="10" t="s">
        <v>11</v>
      </c>
      <c r="B114" s="11">
        <v>45083</v>
      </c>
      <c r="C114" s="10">
        <f t="shared" si="0"/>
        <v>2023</v>
      </c>
      <c r="E114" s="10" t="s">
        <v>6</v>
      </c>
      <c r="F114" s="10">
        <v>20.262799999999999</v>
      </c>
    </row>
    <row r="115" spans="1:6" s="10" customFormat="1" x14ac:dyDescent="0.25">
      <c r="A115" s="10" t="s">
        <v>11</v>
      </c>
      <c r="B115" s="11">
        <v>45314</v>
      </c>
      <c r="C115" s="10">
        <f t="shared" si="0"/>
        <v>2024</v>
      </c>
      <c r="E115" s="10" t="s">
        <v>6</v>
      </c>
      <c r="F115" s="10">
        <v>4.9717000000000002</v>
      </c>
    </row>
    <row r="116" spans="1:6" s="10" customFormat="1" x14ac:dyDescent="0.25">
      <c r="A116" s="10" t="s">
        <v>11</v>
      </c>
      <c r="B116" s="11">
        <v>45336</v>
      </c>
      <c r="C116" s="10">
        <f t="shared" si="0"/>
        <v>2024</v>
      </c>
      <c r="E116" s="10" t="s">
        <v>6</v>
      </c>
      <c r="F116" s="10">
        <v>7.9373000000000005</v>
      </c>
    </row>
    <row r="117" spans="1:6" s="10" customFormat="1" x14ac:dyDescent="0.25">
      <c r="A117" s="10" t="s">
        <v>11</v>
      </c>
      <c r="B117" s="11">
        <v>45348</v>
      </c>
      <c r="C117" s="10">
        <f t="shared" si="0"/>
        <v>2024</v>
      </c>
      <c r="E117" s="10" t="s">
        <v>6</v>
      </c>
      <c r="F117" s="10">
        <v>10.111500000000001</v>
      </c>
    </row>
    <row r="118" spans="1:6" s="10" customFormat="1" x14ac:dyDescent="0.25">
      <c r="A118" s="10" t="s">
        <v>11</v>
      </c>
      <c r="B118" s="11">
        <v>45365</v>
      </c>
      <c r="C118" s="10">
        <f t="shared" si="0"/>
        <v>2024</v>
      </c>
      <c r="E118" s="10" t="s">
        <v>6</v>
      </c>
      <c r="F118" s="10">
        <v>12.935199999999998</v>
      </c>
    </row>
    <row r="119" spans="1:6" s="10" customFormat="1" x14ac:dyDescent="0.25">
      <c r="A119" s="10" t="s">
        <v>11</v>
      </c>
      <c r="B119" s="11">
        <v>45379</v>
      </c>
      <c r="C119" s="10">
        <f t="shared" si="0"/>
        <v>2024</v>
      </c>
      <c r="E119" s="10" t="s">
        <v>6</v>
      </c>
      <c r="F119" s="10">
        <v>14.8748</v>
      </c>
    </row>
    <row r="120" spans="1:6" s="10" customFormat="1" x14ac:dyDescent="0.25">
      <c r="A120" s="10" t="s">
        <v>11</v>
      </c>
      <c r="B120" s="11">
        <v>45390</v>
      </c>
      <c r="C120" s="10">
        <f t="shared" si="0"/>
        <v>2024</v>
      </c>
      <c r="E120" s="10" t="s">
        <v>6</v>
      </c>
      <c r="F120" s="10">
        <v>15.4224</v>
      </c>
    </row>
    <row r="121" spans="1:6" s="10" customFormat="1" x14ac:dyDescent="0.25">
      <c r="A121" s="10" t="s">
        <v>11</v>
      </c>
      <c r="B121" s="11">
        <v>45404</v>
      </c>
      <c r="C121" s="10">
        <f t="shared" si="0"/>
        <v>2024</v>
      </c>
      <c r="E121" s="10" t="s">
        <v>6</v>
      </c>
      <c r="F121" s="10">
        <v>16.8904</v>
      </c>
    </row>
    <row r="122" spans="1:6" s="10" customFormat="1" x14ac:dyDescent="0.25">
      <c r="A122" s="10" t="s">
        <v>11</v>
      </c>
      <c r="B122" s="11">
        <v>45413</v>
      </c>
      <c r="C122" s="10">
        <f t="shared" si="0"/>
        <v>2024</v>
      </c>
      <c r="E122" s="10" t="s">
        <v>6</v>
      </c>
      <c r="F122" s="10">
        <v>18.000899999999998</v>
      </c>
    </row>
    <row r="123" spans="1:6" s="10" customFormat="1" x14ac:dyDescent="0.25">
      <c r="A123" s="10" t="s">
        <v>11</v>
      </c>
      <c r="B123" s="11">
        <v>45425</v>
      </c>
      <c r="C123" s="10">
        <f t="shared" si="0"/>
        <v>2024</v>
      </c>
      <c r="E123" s="10" t="s">
        <v>6</v>
      </c>
      <c r="F123" s="10">
        <v>19.007199999999997</v>
      </c>
    </row>
    <row r="124" spans="1:6" s="10" customFormat="1" x14ac:dyDescent="0.25">
      <c r="A124" s="10" t="s">
        <v>11</v>
      </c>
      <c r="B124" s="11">
        <v>45441</v>
      </c>
      <c r="C124" s="10">
        <f t="shared" si="0"/>
        <v>2024</v>
      </c>
      <c r="E124" s="10" t="s">
        <v>6</v>
      </c>
      <c r="F124" s="10">
        <v>17.756799999999998</v>
      </c>
    </row>
    <row r="125" spans="1:6" s="10" customFormat="1" x14ac:dyDescent="0.25">
      <c r="A125" s="10" t="s">
        <v>11</v>
      </c>
      <c r="B125" s="11">
        <v>45453</v>
      </c>
      <c r="C125" s="10">
        <f t="shared" si="0"/>
        <v>2024</v>
      </c>
      <c r="E125" s="10" t="s">
        <v>6</v>
      </c>
      <c r="F125" s="10">
        <v>17.963999999999999</v>
      </c>
    </row>
    <row r="127" spans="1:6" x14ac:dyDescent="0.25">
      <c r="A127" s="12" t="s">
        <v>12</v>
      </c>
      <c r="B127" s="13">
        <v>44595</v>
      </c>
      <c r="C127" s="12">
        <f>YEAR(B127)</f>
        <v>2022</v>
      </c>
      <c r="D127" s="12"/>
      <c r="E127" s="12" t="s">
        <v>6</v>
      </c>
      <c r="F127" s="12">
        <v>8.0898000000000003</v>
      </c>
    </row>
    <row r="128" spans="1:6" x14ac:dyDescent="0.25">
      <c r="A128" s="12" t="s">
        <v>12</v>
      </c>
      <c r="B128" s="13">
        <v>44608</v>
      </c>
      <c r="C128" s="12">
        <f t="shared" ref="C128:C159" si="1">YEAR(B128)</f>
        <v>2022</v>
      </c>
      <c r="D128" s="12"/>
      <c r="E128" s="12" t="s">
        <v>6</v>
      </c>
      <c r="F128" s="12">
        <v>10.7502</v>
      </c>
    </row>
    <row r="129" spans="1:6" x14ac:dyDescent="0.25">
      <c r="A129" s="12" t="s">
        <v>12</v>
      </c>
      <c r="B129" s="13">
        <v>44622</v>
      </c>
      <c r="C129" s="12">
        <f t="shared" si="1"/>
        <v>2022</v>
      </c>
      <c r="D129" s="12"/>
      <c r="E129" s="12" t="s">
        <v>6</v>
      </c>
      <c r="F129" s="12">
        <v>13.171200000000001</v>
      </c>
    </row>
    <row r="130" spans="1:6" x14ac:dyDescent="0.25">
      <c r="A130" s="12" t="s">
        <v>12</v>
      </c>
      <c r="B130" s="13">
        <v>44636</v>
      </c>
      <c r="C130" s="12">
        <f t="shared" si="1"/>
        <v>2022</v>
      </c>
      <c r="D130" s="12"/>
      <c r="E130" s="12" t="s">
        <v>6</v>
      </c>
      <c r="F130" s="12">
        <v>12.583999999999998</v>
      </c>
    </row>
    <row r="131" spans="1:6" x14ac:dyDescent="0.25">
      <c r="A131" s="12" t="s">
        <v>12</v>
      </c>
      <c r="B131" s="13">
        <v>44650</v>
      </c>
      <c r="C131" s="12">
        <f t="shared" si="1"/>
        <v>2022</v>
      </c>
      <c r="D131" s="12"/>
      <c r="E131" s="12" t="s">
        <v>6</v>
      </c>
      <c r="F131" s="12">
        <v>16.5564</v>
      </c>
    </row>
    <row r="132" spans="1:6" x14ac:dyDescent="0.25">
      <c r="A132" s="12" t="s">
        <v>12</v>
      </c>
      <c r="B132" s="13">
        <v>44664</v>
      </c>
      <c r="C132" s="12">
        <f t="shared" si="1"/>
        <v>2022</v>
      </c>
      <c r="D132" s="12"/>
      <c r="E132" s="12" t="s">
        <v>6</v>
      </c>
      <c r="F132" s="12">
        <v>18.115200000000002</v>
      </c>
    </row>
    <row r="133" spans="1:6" x14ac:dyDescent="0.25">
      <c r="A133" s="12" t="s">
        <v>12</v>
      </c>
      <c r="B133" s="13">
        <v>44672</v>
      </c>
      <c r="C133" s="12">
        <f t="shared" si="1"/>
        <v>2022</v>
      </c>
      <c r="D133" s="12"/>
      <c r="E133" s="12" t="s">
        <v>6</v>
      </c>
      <c r="F133" s="12">
        <v>19.6692</v>
      </c>
    </row>
    <row r="134" spans="1:6" x14ac:dyDescent="0.25">
      <c r="A134" s="12" t="s">
        <v>12</v>
      </c>
      <c r="B134" s="13">
        <v>44680</v>
      </c>
      <c r="C134" s="12">
        <f t="shared" si="1"/>
        <v>2022</v>
      </c>
      <c r="D134" s="12"/>
      <c r="E134" s="12" t="s">
        <v>6</v>
      </c>
      <c r="F134" s="12">
        <v>20.550599999999999</v>
      </c>
    </row>
    <row r="135" spans="1:6" x14ac:dyDescent="0.25">
      <c r="A135" s="12" t="s">
        <v>12</v>
      </c>
      <c r="B135" s="13">
        <v>44685</v>
      </c>
      <c r="C135" s="12">
        <f t="shared" si="1"/>
        <v>2022</v>
      </c>
      <c r="D135" s="12"/>
      <c r="E135" s="12" t="s">
        <v>6</v>
      </c>
      <c r="F135" s="12">
        <v>19.724599999999999</v>
      </c>
    </row>
    <row r="136" spans="1:6" x14ac:dyDescent="0.25">
      <c r="A136" s="12" t="s">
        <v>12</v>
      </c>
      <c r="B136" s="13">
        <v>44699</v>
      </c>
      <c r="C136" s="12">
        <f t="shared" si="1"/>
        <v>2022</v>
      </c>
      <c r="D136" s="12"/>
      <c r="E136" s="12" t="s">
        <v>6</v>
      </c>
      <c r="F136" s="12">
        <v>21.819800000000001</v>
      </c>
    </row>
    <row r="137" spans="1:6" x14ac:dyDescent="0.25">
      <c r="A137" s="12" t="s">
        <v>12</v>
      </c>
      <c r="B137" s="13">
        <v>44713</v>
      </c>
      <c r="C137" s="12">
        <f t="shared" si="1"/>
        <v>2022</v>
      </c>
      <c r="D137" s="12"/>
      <c r="E137" s="12" t="s">
        <v>6</v>
      </c>
      <c r="F137" s="12">
        <v>22.72</v>
      </c>
    </row>
    <row r="138" spans="1:6" x14ac:dyDescent="0.25">
      <c r="A138" s="12" t="s">
        <v>12</v>
      </c>
      <c r="B138" s="13">
        <v>44952</v>
      </c>
      <c r="C138" s="12">
        <f t="shared" si="1"/>
        <v>2023</v>
      </c>
      <c r="D138" s="12"/>
      <c r="E138" s="12" t="s">
        <v>6</v>
      </c>
      <c r="F138" s="12">
        <v>5.0961999999999996</v>
      </c>
    </row>
    <row r="139" spans="1:6" x14ac:dyDescent="0.25">
      <c r="A139" s="12" t="s">
        <v>12</v>
      </c>
      <c r="B139" s="13">
        <v>44974</v>
      </c>
      <c r="C139" s="12">
        <f t="shared" si="1"/>
        <v>2023</v>
      </c>
      <c r="D139" s="12"/>
      <c r="E139" s="12" t="s">
        <v>6</v>
      </c>
      <c r="F139" s="12">
        <v>7.1189999999999998</v>
      </c>
    </row>
    <row r="140" spans="1:6" x14ac:dyDescent="0.25">
      <c r="A140" s="12" t="s">
        <v>12</v>
      </c>
      <c r="B140" s="13">
        <v>44984</v>
      </c>
      <c r="C140" s="12">
        <f t="shared" si="1"/>
        <v>2023</v>
      </c>
      <c r="D140" s="12"/>
      <c r="E140" s="12" t="s">
        <v>6</v>
      </c>
      <c r="F140" s="12">
        <v>9.0643999999999991</v>
      </c>
    </row>
    <row r="141" spans="1:6" x14ac:dyDescent="0.25">
      <c r="A141" s="12" t="s">
        <v>12</v>
      </c>
      <c r="B141" s="13">
        <v>45000</v>
      </c>
      <c r="C141" s="12">
        <f t="shared" si="1"/>
        <v>2023</v>
      </c>
      <c r="D141" s="12"/>
      <c r="E141" s="12" t="s">
        <v>6</v>
      </c>
      <c r="F141" s="12">
        <v>11.168299999999999</v>
      </c>
    </row>
    <row r="142" spans="1:6" x14ac:dyDescent="0.25">
      <c r="A142" s="12" t="s">
        <v>12</v>
      </c>
      <c r="B142" s="13">
        <v>45015</v>
      </c>
      <c r="C142" s="12">
        <f t="shared" si="1"/>
        <v>2023</v>
      </c>
      <c r="D142" s="12"/>
      <c r="E142" s="12" t="s">
        <v>6</v>
      </c>
      <c r="F142" s="12">
        <v>12.615</v>
      </c>
    </row>
    <row r="143" spans="1:6" x14ac:dyDescent="0.25">
      <c r="A143" s="12" t="s">
        <v>12</v>
      </c>
      <c r="B143" s="13">
        <v>45029</v>
      </c>
      <c r="C143" s="12">
        <f t="shared" si="1"/>
        <v>2023</v>
      </c>
      <c r="D143" s="12"/>
      <c r="E143" s="12" t="s">
        <v>6</v>
      </c>
      <c r="F143" s="12">
        <v>13.9345</v>
      </c>
    </row>
    <row r="144" spans="1:6" x14ac:dyDescent="0.25">
      <c r="A144" s="12" t="s">
        <v>12</v>
      </c>
      <c r="B144" s="13">
        <v>45041</v>
      </c>
      <c r="C144" s="12">
        <f t="shared" si="1"/>
        <v>2023</v>
      </c>
      <c r="D144" s="12"/>
      <c r="E144" s="12" t="s">
        <v>6</v>
      </c>
      <c r="F144" s="12">
        <v>15.344000000000001</v>
      </c>
    </row>
    <row r="145" spans="1:6" x14ac:dyDescent="0.25">
      <c r="A145" s="12" t="s">
        <v>12</v>
      </c>
      <c r="B145" s="13">
        <v>45049</v>
      </c>
      <c r="C145" s="12">
        <f t="shared" si="1"/>
        <v>2023</v>
      </c>
      <c r="D145" s="12"/>
      <c r="E145" s="12" t="s">
        <v>6</v>
      </c>
      <c r="F145" s="12">
        <v>15.1944</v>
      </c>
    </row>
    <row r="146" spans="1:6" x14ac:dyDescent="0.25">
      <c r="A146" s="12" t="s">
        <v>12</v>
      </c>
      <c r="B146" s="13">
        <v>45062</v>
      </c>
      <c r="C146" s="12">
        <f t="shared" si="1"/>
        <v>2023</v>
      </c>
      <c r="D146" s="12"/>
      <c r="E146" s="12" t="s">
        <v>6</v>
      </c>
      <c r="F146" s="12">
        <v>15.061199999999999</v>
      </c>
    </row>
    <row r="147" spans="1:6" x14ac:dyDescent="0.25">
      <c r="A147" s="12" t="s">
        <v>12</v>
      </c>
      <c r="B147" s="13">
        <v>45076</v>
      </c>
      <c r="C147" s="12">
        <f t="shared" si="1"/>
        <v>2023</v>
      </c>
      <c r="D147" s="12"/>
      <c r="E147" s="12" t="s">
        <v>6</v>
      </c>
      <c r="F147" s="12">
        <v>15.968</v>
      </c>
    </row>
    <row r="148" spans="1:6" x14ac:dyDescent="0.25">
      <c r="A148" s="12" t="s">
        <v>12</v>
      </c>
      <c r="B148" s="13">
        <v>45083</v>
      </c>
      <c r="C148" s="12">
        <f t="shared" si="1"/>
        <v>2023</v>
      </c>
      <c r="D148" s="12"/>
      <c r="E148" s="12" t="s">
        <v>6</v>
      </c>
      <c r="F148" s="12">
        <v>18.631999999999998</v>
      </c>
    </row>
    <row r="149" spans="1:6" x14ac:dyDescent="0.25">
      <c r="A149" s="12" t="s">
        <v>12</v>
      </c>
      <c r="B149" s="13">
        <v>45316</v>
      </c>
      <c r="C149" s="12">
        <f t="shared" si="1"/>
        <v>2024</v>
      </c>
      <c r="D149" s="12"/>
      <c r="E149" s="12" t="s">
        <v>6</v>
      </c>
      <c r="F149" s="12">
        <v>4.739300000000001</v>
      </c>
    </row>
    <row r="150" spans="1:6" x14ac:dyDescent="0.25">
      <c r="A150" s="12" t="s">
        <v>12</v>
      </c>
      <c r="B150" s="13">
        <v>45337</v>
      </c>
      <c r="C150" s="12">
        <f t="shared" si="1"/>
        <v>2024</v>
      </c>
      <c r="D150" s="12"/>
      <c r="E150" s="12" t="s">
        <v>6</v>
      </c>
      <c r="F150" s="12">
        <v>8.3186999999999998</v>
      </c>
    </row>
    <row r="151" spans="1:6" x14ac:dyDescent="0.25">
      <c r="A151" s="12" t="s">
        <v>12</v>
      </c>
      <c r="B151" s="13">
        <v>45350</v>
      </c>
      <c r="C151" s="12">
        <f t="shared" si="1"/>
        <v>2024</v>
      </c>
      <c r="D151" s="12"/>
      <c r="E151" s="12" t="s">
        <v>6</v>
      </c>
      <c r="F151" s="12">
        <v>10.472000000000001</v>
      </c>
    </row>
    <row r="152" spans="1:6" x14ac:dyDescent="0.25">
      <c r="A152" s="12" t="s">
        <v>12</v>
      </c>
      <c r="B152" s="13">
        <v>45364</v>
      </c>
      <c r="C152" s="12">
        <f t="shared" si="1"/>
        <v>2024</v>
      </c>
      <c r="D152" s="12"/>
      <c r="E152" s="12" t="s">
        <v>6</v>
      </c>
      <c r="F152" s="12">
        <v>12.465</v>
      </c>
    </row>
    <row r="153" spans="1:6" x14ac:dyDescent="0.25">
      <c r="A153" s="12" t="s">
        <v>12</v>
      </c>
      <c r="B153" s="13">
        <v>45378</v>
      </c>
      <c r="C153" s="12">
        <f t="shared" si="1"/>
        <v>2024</v>
      </c>
      <c r="D153" s="12"/>
      <c r="E153" s="12" t="s">
        <v>6</v>
      </c>
      <c r="F153" s="12">
        <v>13.880699999999999</v>
      </c>
    </row>
    <row r="154" spans="1:6" x14ac:dyDescent="0.25">
      <c r="A154" s="12" t="s">
        <v>12</v>
      </c>
      <c r="B154" s="13">
        <v>45393</v>
      </c>
      <c r="C154" s="12">
        <f t="shared" si="1"/>
        <v>2024</v>
      </c>
      <c r="D154" s="12"/>
      <c r="E154" s="12" t="s">
        <v>6</v>
      </c>
      <c r="F154" s="12">
        <v>14.1158</v>
      </c>
    </row>
    <row r="155" spans="1:6" x14ac:dyDescent="0.25">
      <c r="A155" s="12" t="s">
        <v>12</v>
      </c>
      <c r="B155" s="13">
        <v>45404</v>
      </c>
      <c r="C155" s="12">
        <f t="shared" si="1"/>
        <v>2024</v>
      </c>
      <c r="D155" s="12"/>
      <c r="E155" s="12" t="s">
        <v>6</v>
      </c>
      <c r="F155" s="12">
        <v>14.5962</v>
      </c>
    </row>
    <row r="156" spans="1:6" x14ac:dyDescent="0.25">
      <c r="A156" s="12" t="s">
        <v>12</v>
      </c>
      <c r="B156" s="13">
        <v>45414</v>
      </c>
      <c r="C156" s="12">
        <f t="shared" si="1"/>
        <v>2024</v>
      </c>
      <c r="D156" s="12"/>
      <c r="E156" s="12" t="s">
        <v>6</v>
      </c>
      <c r="F156" s="12">
        <v>17.0487</v>
      </c>
    </row>
    <row r="157" spans="1:6" x14ac:dyDescent="0.25">
      <c r="A157" s="12" t="s">
        <v>12</v>
      </c>
      <c r="B157" s="13">
        <v>45425</v>
      </c>
      <c r="C157" s="12">
        <f t="shared" si="1"/>
        <v>2024</v>
      </c>
      <c r="D157" s="12"/>
      <c r="E157" s="12" t="s">
        <v>6</v>
      </c>
      <c r="F157" s="12">
        <v>17.490300000000001</v>
      </c>
    </row>
    <row r="158" spans="1:6" x14ac:dyDescent="0.25">
      <c r="A158" s="12" t="s">
        <v>12</v>
      </c>
      <c r="B158" s="13">
        <v>45441</v>
      </c>
      <c r="C158" s="12">
        <f t="shared" si="1"/>
        <v>2024</v>
      </c>
      <c r="D158" s="12"/>
      <c r="E158" s="12" t="s">
        <v>6</v>
      </c>
      <c r="F158" s="12">
        <v>17.7531</v>
      </c>
    </row>
    <row r="159" spans="1:6" x14ac:dyDescent="0.25">
      <c r="A159" s="12" t="s">
        <v>12</v>
      </c>
      <c r="B159" s="13">
        <v>45453</v>
      </c>
      <c r="C159" s="12">
        <f t="shared" si="1"/>
        <v>2024</v>
      </c>
      <c r="D159" s="12"/>
      <c r="E159" s="12" t="s">
        <v>6</v>
      </c>
      <c r="F159" s="12">
        <v>17.337200000000003</v>
      </c>
    </row>
    <row r="161" spans="1:6" x14ac:dyDescent="0.25">
      <c r="A161" s="14" t="s">
        <v>13</v>
      </c>
      <c r="B161" s="15">
        <v>45316</v>
      </c>
      <c r="C161" s="14">
        <f t="shared" ref="C161:C171" si="2">YEAR(B161)</f>
        <v>2024</v>
      </c>
      <c r="D161" s="14"/>
      <c r="E161" s="14" t="s">
        <v>6</v>
      </c>
      <c r="F161" s="14">
        <v>5.6027999999999993</v>
      </c>
    </row>
    <row r="162" spans="1:6" x14ac:dyDescent="0.25">
      <c r="A162" s="14" t="s">
        <v>13</v>
      </c>
      <c r="B162" s="15">
        <v>45337</v>
      </c>
      <c r="C162" s="14">
        <f t="shared" si="2"/>
        <v>2024</v>
      </c>
      <c r="D162" s="14"/>
      <c r="E162" s="14" t="s">
        <v>6</v>
      </c>
      <c r="F162" s="14">
        <v>8.3005999999999993</v>
      </c>
    </row>
    <row r="163" spans="1:6" x14ac:dyDescent="0.25">
      <c r="A163" s="14" t="s">
        <v>13</v>
      </c>
      <c r="B163" s="15">
        <v>45350</v>
      </c>
      <c r="C163" s="14">
        <f t="shared" si="2"/>
        <v>2024</v>
      </c>
      <c r="D163" s="14"/>
      <c r="E163" s="14" t="s">
        <v>6</v>
      </c>
      <c r="F163" s="14">
        <v>11.6775</v>
      </c>
    </row>
    <row r="164" spans="1:6" x14ac:dyDescent="0.25">
      <c r="A164" s="14" t="s">
        <v>13</v>
      </c>
      <c r="B164" s="15">
        <v>45364</v>
      </c>
      <c r="C164" s="14">
        <f t="shared" si="2"/>
        <v>2024</v>
      </c>
      <c r="D164" s="14"/>
      <c r="E164" s="14" t="s">
        <v>6</v>
      </c>
      <c r="F164" s="14">
        <v>13.23</v>
      </c>
    </row>
    <row r="165" spans="1:6" x14ac:dyDescent="0.25">
      <c r="A165" s="14" t="s">
        <v>13</v>
      </c>
      <c r="B165" s="15">
        <v>45378</v>
      </c>
      <c r="C165" s="14">
        <f t="shared" si="2"/>
        <v>2024</v>
      </c>
      <c r="D165" s="14"/>
      <c r="E165" s="14" t="s">
        <v>6</v>
      </c>
      <c r="F165" s="14">
        <v>15.4488</v>
      </c>
    </row>
    <row r="166" spans="1:6" x14ac:dyDescent="0.25">
      <c r="A166" s="14" t="s">
        <v>13</v>
      </c>
      <c r="B166" s="15">
        <v>45390</v>
      </c>
      <c r="C166" s="14">
        <f t="shared" si="2"/>
        <v>2024</v>
      </c>
      <c r="D166" s="14"/>
      <c r="E166" s="14" t="s">
        <v>6</v>
      </c>
      <c r="F166" s="14">
        <v>16.945499999999999</v>
      </c>
    </row>
    <row r="167" spans="1:6" x14ac:dyDescent="0.25">
      <c r="A167" s="14" t="s">
        <v>13</v>
      </c>
      <c r="B167" s="15">
        <v>45407</v>
      </c>
      <c r="C167" s="14">
        <f t="shared" si="2"/>
        <v>2024</v>
      </c>
      <c r="D167" s="14"/>
      <c r="E167" s="14" t="s">
        <v>6</v>
      </c>
      <c r="F167" s="14">
        <v>16.8795</v>
      </c>
    </row>
    <row r="168" spans="1:6" x14ac:dyDescent="0.25">
      <c r="A168" s="14" t="s">
        <v>13</v>
      </c>
      <c r="B168" s="15">
        <v>45413</v>
      </c>
      <c r="C168" s="14">
        <f t="shared" si="2"/>
        <v>2024</v>
      </c>
      <c r="D168" s="14"/>
      <c r="E168" s="14" t="s">
        <v>6</v>
      </c>
      <c r="F168" s="14">
        <v>17.455200000000001</v>
      </c>
    </row>
    <row r="169" spans="1:6" x14ac:dyDescent="0.25">
      <c r="A169" s="14" t="s">
        <v>13</v>
      </c>
      <c r="B169" s="15">
        <v>45425</v>
      </c>
      <c r="C169" s="14">
        <f t="shared" si="2"/>
        <v>2024</v>
      </c>
      <c r="D169" s="14"/>
      <c r="E169" s="14" t="s">
        <v>6</v>
      </c>
      <c r="F169" s="14">
        <v>17.835600000000003</v>
      </c>
    </row>
    <row r="170" spans="1:6" x14ac:dyDescent="0.25">
      <c r="A170" s="14" t="s">
        <v>13</v>
      </c>
      <c r="B170" s="15">
        <v>45439</v>
      </c>
      <c r="C170" s="14">
        <f t="shared" si="2"/>
        <v>2024</v>
      </c>
      <c r="D170" s="14"/>
      <c r="E170" s="14" t="s">
        <v>6</v>
      </c>
      <c r="F170" s="14">
        <v>15.45</v>
      </c>
    </row>
    <row r="171" spans="1:6" x14ac:dyDescent="0.25">
      <c r="A171" s="14" t="s">
        <v>13</v>
      </c>
      <c r="B171" s="15">
        <v>45454</v>
      </c>
      <c r="C171" s="14">
        <f t="shared" si="2"/>
        <v>2024</v>
      </c>
      <c r="D171" s="14"/>
      <c r="E171" s="14" t="s">
        <v>6</v>
      </c>
      <c r="F171" s="14">
        <v>17.71</v>
      </c>
    </row>
    <row r="173" spans="1:6" x14ac:dyDescent="0.25">
      <c r="A173" t="s">
        <v>14</v>
      </c>
      <c r="B173" s="7">
        <v>44603</v>
      </c>
      <c r="C173">
        <v>2022</v>
      </c>
      <c r="D173" s="7"/>
      <c r="E173" t="s">
        <v>6</v>
      </c>
      <c r="F173">
        <v>7.4897999999999998</v>
      </c>
    </row>
    <row r="174" spans="1:6" x14ac:dyDescent="0.25">
      <c r="A174" t="s">
        <v>14</v>
      </c>
      <c r="B174" s="7">
        <v>44608</v>
      </c>
      <c r="C174">
        <v>2022</v>
      </c>
      <c r="E174" t="s">
        <v>6</v>
      </c>
      <c r="F174">
        <v>10.318</v>
      </c>
    </row>
    <row r="175" spans="1:6" x14ac:dyDescent="0.25">
      <c r="A175" t="s">
        <v>14</v>
      </c>
      <c r="B175" s="7">
        <v>44622</v>
      </c>
      <c r="C175">
        <v>2022</v>
      </c>
      <c r="E175" t="s">
        <v>6</v>
      </c>
      <c r="F175">
        <v>12.741299999999999</v>
      </c>
    </row>
    <row r="176" spans="1:6" x14ac:dyDescent="0.25">
      <c r="A176" t="s">
        <v>14</v>
      </c>
      <c r="B176" s="7">
        <v>44636</v>
      </c>
      <c r="C176">
        <v>2022</v>
      </c>
      <c r="E176" t="s">
        <v>6</v>
      </c>
      <c r="F176">
        <v>10.8872</v>
      </c>
    </row>
    <row r="177" spans="1:6" x14ac:dyDescent="0.25">
      <c r="A177" t="s">
        <v>14</v>
      </c>
      <c r="B177" s="7">
        <v>44650</v>
      </c>
      <c r="C177">
        <v>2022</v>
      </c>
      <c r="E177" t="s">
        <v>6</v>
      </c>
      <c r="F177">
        <v>13.892000000000001</v>
      </c>
    </row>
    <row r="178" spans="1:6" x14ac:dyDescent="0.25">
      <c r="A178" t="s">
        <v>14</v>
      </c>
      <c r="B178" s="7">
        <v>44664</v>
      </c>
      <c r="C178">
        <v>2022</v>
      </c>
      <c r="E178" t="s">
        <v>6</v>
      </c>
      <c r="F178">
        <v>15.2</v>
      </c>
    </row>
    <row r="179" spans="1:6" x14ac:dyDescent="0.25">
      <c r="A179" t="s">
        <v>14</v>
      </c>
      <c r="B179" s="7">
        <v>44672</v>
      </c>
      <c r="C179">
        <v>2022</v>
      </c>
      <c r="E179" t="s">
        <v>6</v>
      </c>
      <c r="F179">
        <v>16.432000000000002</v>
      </c>
    </row>
    <row r="180" spans="1:6" x14ac:dyDescent="0.25">
      <c r="A180" t="s">
        <v>14</v>
      </c>
      <c r="B180" s="7">
        <v>44680</v>
      </c>
      <c r="C180">
        <v>2022</v>
      </c>
      <c r="E180" t="s">
        <v>6</v>
      </c>
      <c r="F180">
        <v>16.502500000000001</v>
      </c>
    </row>
    <row r="181" spans="1:6" x14ac:dyDescent="0.25">
      <c r="A181" t="s">
        <v>14</v>
      </c>
      <c r="B181" s="7">
        <v>44685</v>
      </c>
      <c r="C181">
        <v>2022</v>
      </c>
      <c r="E181" t="s">
        <v>6</v>
      </c>
      <c r="F181">
        <v>16.732200000000002</v>
      </c>
    </row>
    <row r="182" spans="1:6" x14ac:dyDescent="0.25">
      <c r="A182" t="s">
        <v>14</v>
      </c>
      <c r="B182" s="7">
        <v>44699</v>
      </c>
      <c r="C182">
        <v>2022</v>
      </c>
      <c r="E182" t="s">
        <v>6</v>
      </c>
      <c r="F182">
        <v>17.0655</v>
      </c>
    </row>
    <row r="183" spans="1:6" x14ac:dyDescent="0.25">
      <c r="A183" t="s">
        <v>14</v>
      </c>
      <c r="B183" s="7">
        <v>44713</v>
      </c>
      <c r="C183">
        <v>2022</v>
      </c>
      <c r="E183" t="s">
        <v>6</v>
      </c>
      <c r="F183">
        <v>17.685500000000001</v>
      </c>
    </row>
    <row r="184" spans="1:6" x14ac:dyDescent="0.25">
      <c r="A184" t="s">
        <v>14</v>
      </c>
      <c r="B184" s="7">
        <v>44952</v>
      </c>
      <c r="C184">
        <v>2023</v>
      </c>
      <c r="E184" t="s">
        <v>6</v>
      </c>
      <c r="F184">
        <v>6.3356000000000003</v>
      </c>
    </row>
    <row r="185" spans="1:6" x14ac:dyDescent="0.25">
      <c r="A185" t="s">
        <v>14</v>
      </c>
      <c r="B185" s="7">
        <v>44973</v>
      </c>
      <c r="C185">
        <v>2023</v>
      </c>
      <c r="E185" t="s">
        <v>6</v>
      </c>
      <c r="F185">
        <v>9.4124999999999996</v>
      </c>
    </row>
    <row r="186" spans="1:6" x14ac:dyDescent="0.25">
      <c r="A186" t="s">
        <v>14</v>
      </c>
      <c r="B186" s="7">
        <v>44984</v>
      </c>
      <c r="C186">
        <v>2023</v>
      </c>
      <c r="E186" t="s">
        <v>6</v>
      </c>
      <c r="F186">
        <v>11.8299</v>
      </c>
    </row>
    <row r="187" spans="1:6" x14ac:dyDescent="0.25">
      <c r="A187" t="s">
        <v>14</v>
      </c>
      <c r="B187" s="7">
        <v>45000</v>
      </c>
      <c r="C187">
        <v>2023</v>
      </c>
      <c r="E187" t="s">
        <v>6</v>
      </c>
      <c r="F187">
        <v>14.16</v>
      </c>
    </row>
    <row r="188" spans="1:6" x14ac:dyDescent="0.25">
      <c r="A188" t="s">
        <v>14</v>
      </c>
      <c r="B188" s="7">
        <v>45015</v>
      </c>
      <c r="C188">
        <v>2023</v>
      </c>
      <c r="E188" t="s">
        <v>6</v>
      </c>
      <c r="F188">
        <v>15.593</v>
      </c>
    </row>
    <row r="189" spans="1:6" x14ac:dyDescent="0.25">
      <c r="A189" t="s">
        <v>14</v>
      </c>
      <c r="B189" s="7">
        <v>45029</v>
      </c>
      <c r="C189">
        <v>2023</v>
      </c>
      <c r="E189" t="s">
        <v>6</v>
      </c>
      <c r="F189">
        <v>16.170999999999999</v>
      </c>
    </row>
    <row r="190" spans="1:6" x14ac:dyDescent="0.25">
      <c r="A190" t="s">
        <v>14</v>
      </c>
      <c r="B190" s="7">
        <v>45041</v>
      </c>
      <c r="C190">
        <v>2023</v>
      </c>
      <c r="E190" t="s">
        <v>6</v>
      </c>
      <c r="F190">
        <v>18.248999999999999</v>
      </c>
    </row>
    <row r="191" spans="1:6" x14ac:dyDescent="0.25">
      <c r="A191" t="s">
        <v>14</v>
      </c>
      <c r="B191" s="7">
        <v>45049</v>
      </c>
      <c r="C191">
        <v>2023</v>
      </c>
      <c r="E191" t="s">
        <v>6</v>
      </c>
      <c r="F191">
        <v>18.7944</v>
      </c>
    </row>
    <row r="192" spans="1:6" x14ac:dyDescent="0.25">
      <c r="A192" t="s">
        <v>14</v>
      </c>
      <c r="B192" s="7">
        <v>45062</v>
      </c>
      <c r="C192">
        <v>2023</v>
      </c>
      <c r="E192" t="s">
        <v>6</v>
      </c>
      <c r="F192">
        <v>19.488899999999997</v>
      </c>
    </row>
    <row r="193" spans="1:6" x14ac:dyDescent="0.25">
      <c r="A193" t="s">
        <v>14</v>
      </c>
      <c r="B193" s="7">
        <v>45076</v>
      </c>
      <c r="C193">
        <v>2023</v>
      </c>
      <c r="E193" t="s">
        <v>6</v>
      </c>
      <c r="F193">
        <v>20.195999999999998</v>
      </c>
    </row>
    <row r="194" spans="1:6" x14ac:dyDescent="0.25">
      <c r="A194" t="s">
        <v>14</v>
      </c>
      <c r="B194" s="7">
        <v>45083</v>
      </c>
      <c r="C194">
        <v>2023</v>
      </c>
      <c r="E194" t="s">
        <v>6</v>
      </c>
      <c r="F194">
        <v>19.545300000000001</v>
      </c>
    </row>
    <row r="195" spans="1:6" x14ac:dyDescent="0.25">
      <c r="A195" t="s">
        <v>14</v>
      </c>
      <c r="B195" s="7">
        <v>45316</v>
      </c>
      <c r="C195">
        <v>2024</v>
      </c>
      <c r="E195" t="s">
        <v>6</v>
      </c>
      <c r="F195">
        <v>5.22</v>
      </c>
    </row>
    <row r="196" spans="1:6" x14ac:dyDescent="0.25">
      <c r="A196" t="s">
        <v>14</v>
      </c>
      <c r="B196" s="7">
        <v>45337</v>
      </c>
      <c r="C196">
        <v>2024</v>
      </c>
      <c r="E196" t="s">
        <v>6</v>
      </c>
      <c r="F196">
        <v>8.4240000000000013</v>
      </c>
    </row>
    <row r="197" spans="1:6" x14ac:dyDescent="0.25">
      <c r="A197" t="s">
        <v>14</v>
      </c>
      <c r="B197" s="7">
        <v>45350</v>
      </c>
      <c r="C197">
        <v>2024</v>
      </c>
      <c r="E197" t="s">
        <v>6</v>
      </c>
      <c r="F197">
        <v>10.503</v>
      </c>
    </row>
    <row r="198" spans="1:6" x14ac:dyDescent="0.25">
      <c r="A198" t="s">
        <v>14</v>
      </c>
      <c r="B198" s="7">
        <v>45364</v>
      </c>
      <c r="C198">
        <v>2024</v>
      </c>
      <c r="E198" t="s">
        <v>6</v>
      </c>
      <c r="F198">
        <v>12.1472</v>
      </c>
    </row>
    <row r="199" spans="1:6" x14ac:dyDescent="0.25">
      <c r="A199" t="s">
        <v>14</v>
      </c>
      <c r="B199" s="7">
        <v>45378</v>
      </c>
      <c r="C199">
        <v>2024</v>
      </c>
      <c r="E199" t="s">
        <v>6</v>
      </c>
      <c r="F199">
        <v>13.311000000000002</v>
      </c>
    </row>
    <row r="200" spans="1:6" x14ac:dyDescent="0.25">
      <c r="A200" t="s">
        <v>14</v>
      </c>
      <c r="B200" s="7">
        <v>45390</v>
      </c>
      <c r="C200">
        <v>2024</v>
      </c>
      <c r="E200" t="s">
        <v>6</v>
      </c>
      <c r="F200">
        <v>12.973500000000001</v>
      </c>
    </row>
    <row r="201" spans="1:6" x14ac:dyDescent="0.25">
      <c r="A201" t="s">
        <v>14</v>
      </c>
      <c r="B201" s="7">
        <v>45404</v>
      </c>
      <c r="C201">
        <v>2024</v>
      </c>
      <c r="E201" t="s">
        <v>6</v>
      </c>
      <c r="F201">
        <v>14.267999999999999</v>
      </c>
    </row>
    <row r="202" spans="1:6" x14ac:dyDescent="0.25">
      <c r="A202" t="s">
        <v>14</v>
      </c>
      <c r="B202" s="7">
        <v>45414</v>
      </c>
      <c r="C202">
        <v>2024</v>
      </c>
      <c r="E202" t="s">
        <v>6</v>
      </c>
      <c r="F202">
        <v>15.624000000000001</v>
      </c>
    </row>
    <row r="203" spans="1:6" x14ac:dyDescent="0.25">
      <c r="A203" t="s">
        <v>14</v>
      </c>
      <c r="B203" s="7">
        <v>45425</v>
      </c>
      <c r="C203">
        <v>2024</v>
      </c>
      <c r="E203" t="s">
        <v>6</v>
      </c>
      <c r="F203">
        <v>15.652000000000001</v>
      </c>
    </row>
    <row r="204" spans="1:6" x14ac:dyDescent="0.25">
      <c r="A204" t="s">
        <v>14</v>
      </c>
      <c r="B204" s="7">
        <v>45439</v>
      </c>
      <c r="C204">
        <v>2024</v>
      </c>
      <c r="E204" t="s">
        <v>6</v>
      </c>
      <c r="F204">
        <v>14.858400000000001</v>
      </c>
    </row>
    <row r="205" spans="1:6" x14ac:dyDescent="0.25">
      <c r="A205" t="s">
        <v>14</v>
      </c>
      <c r="B205" s="7">
        <v>45454</v>
      </c>
      <c r="C205">
        <v>2024</v>
      </c>
      <c r="E205" t="s">
        <v>6</v>
      </c>
      <c r="F205">
        <v>14.500800000000002</v>
      </c>
    </row>
    <row r="206" spans="1:6" x14ac:dyDescent="0.25">
      <c r="A206" t="s">
        <v>14</v>
      </c>
      <c r="B206" s="7">
        <v>44595</v>
      </c>
      <c r="C206">
        <v>2022</v>
      </c>
      <c r="E206" t="s">
        <v>6</v>
      </c>
      <c r="F206">
        <v>9.6047999999999991</v>
      </c>
    </row>
    <row r="207" spans="1:6" x14ac:dyDescent="0.25">
      <c r="A207" t="s">
        <v>14</v>
      </c>
      <c r="B207" s="7">
        <v>44608</v>
      </c>
      <c r="C207">
        <v>2022</v>
      </c>
      <c r="E207" t="s">
        <v>6</v>
      </c>
      <c r="F207">
        <v>12.738</v>
      </c>
    </row>
    <row r="208" spans="1:6" x14ac:dyDescent="0.25">
      <c r="A208" t="s">
        <v>14</v>
      </c>
      <c r="B208" s="7">
        <v>44622</v>
      </c>
      <c r="C208">
        <v>2022</v>
      </c>
      <c r="E208" t="s">
        <v>6</v>
      </c>
      <c r="F208">
        <v>14.497</v>
      </c>
    </row>
    <row r="209" spans="1:6" x14ac:dyDescent="0.25">
      <c r="A209" t="s">
        <v>14</v>
      </c>
      <c r="B209" s="7">
        <v>44636</v>
      </c>
      <c r="C209">
        <v>2022</v>
      </c>
      <c r="E209" t="s">
        <v>6</v>
      </c>
      <c r="F209">
        <v>17.078399999999998</v>
      </c>
    </row>
    <row r="210" spans="1:6" x14ac:dyDescent="0.25">
      <c r="A210" t="s">
        <v>14</v>
      </c>
      <c r="B210" s="7">
        <v>44650</v>
      </c>
      <c r="C210">
        <v>2022</v>
      </c>
      <c r="E210" t="s">
        <v>6</v>
      </c>
      <c r="F210">
        <v>20.495999999999999</v>
      </c>
    </row>
    <row r="211" spans="1:6" x14ac:dyDescent="0.25">
      <c r="A211" t="s">
        <v>14</v>
      </c>
      <c r="B211" s="7">
        <v>44664</v>
      </c>
      <c r="C211">
        <v>2022</v>
      </c>
      <c r="E211" t="s">
        <v>6</v>
      </c>
      <c r="F211">
        <v>22.349699999999999</v>
      </c>
    </row>
    <row r="212" spans="1:6" x14ac:dyDescent="0.25">
      <c r="A212" t="s">
        <v>14</v>
      </c>
      <c r="B212" s="7">
        <v>44672</v>
      </c>
      <c r="C212">
        <v>2022</v>
      </c>
      <c r="E212" t="s">
        <v>6</v>
      </c>
      <c r="F212">
        <v>23.020800000000005</v>
      </c>
    </row>
    <row r="213" spans="1:6" x14ac:dyDescent="0.25">
      <c r="A213" t="s">
        <v>14</v>
      </c>
      <c r="B213" s="7">
        <v>44680</v>
      </c>
      <c r="C213">
        <v>2022</v>
      </c>
      <c r="E213" t="s">
        <v>6</v>
      </c>
      <c r="F213">
        <v>23.687999999999999</v>
      </c>
    </row>
    <row r="214" spans="1:6" x14ac:dyDescent="0.25">
      <c r="A214" t="s">
        <v>14</v>
      </c>
      <c r="B214" s="7">
        <v>44685</v>
      </c>
      <c r="C214">
        <v>2022</v>
      </c>
      <c r="E214" t="s">
        <v>6</v>
      </c>
      <c r="F214">
        <v>24.631799999999998</v>
      </c>
    </row>
    <row r="215" spans="1:6" x14ac:dyDescent="0.25">
      <c r="A215" t="s">
        <v>14</v>
      </c>
      <c r="B215" s="7">
        <v>44699</v>
      </c>
      <c r="C215">
        <v>2022</v>
      </c>
      <c r="E215" t="s">
        <v>6</v>
      </c>
      <c r="F215">
        <v>25.207600000000003</v>
      </c>
    </row>
    <row r="216" spans="1:6" x14ac:dyDescent="0.25">
      <c r="A216" t="s">
        <v>14</v>
      </c>
      <c r="B216" s="7">
        <v>44713</v>
      </c>
      <c r="C216">
        <v>2022</v>
      </c>
      <c r="E216" t="s">
        <v>6</v>
      </c>
      <c r="F216">
        <v>24.039699999999996</v>
      </c>
    </row>
    <row r="217" spans="1:6" x14ac:dyDescent="0.25">
      <c r="A217" t="s">
        <v>14</v>
      </c>
      <c r="B217" s="7">
        <v>44952</v>
      </c>
      <c r="C217">
        <v>2023</v>
      </c>
      <c r="E217" t="s">
        <v>6</v>
      </c>
      <c r="F217">
        <v>7.68</v>
      </c>
    </row>
    <row r="218" spans="1:6" x14ac:dyDescent="0.25">
      <c r="A218" t="s">
        <v>14</v>
      </c>
      <c r="B218" s="7">
        <v>44974</v>
      </c>
      <c r="C218">
        <v>2023</v>
      </c>
      <c r="E218" t="s">
        <v>6</v>
      </c>
      <c r="F218">
        <v>11.2468</v>
      </c>
    </row>
    <row r="219" spans="1:6" x14ac:dyDescent="0.25">
      <c r="A219" t="s">
        <v>14</v>
      </c>
      <c r="B219" s="7">
        <v>44984</v>
      </c>
      <c r="C219">
        <v>2023</v>
      </c>
      <c r="E219" t="s">
        <v>6</v>
      </c>
      <c r="F219">
        <v>14.643999999999998</v>
      </c>
    </row>
    <row r="220" spans="1:6" x14ac:dyDescent="0.25">
      <c r="A220" t="s">
        <v>14</v>
      </c>
      <c r="B220" s="7">
        <v>45000</v>
      </c>
      <c r="C220">
        <v>2023</v>
      </c>
      <c r="E220" t="s">
        <v>6</v>
      </c>
      <c r="F220">
        <v>18.2835</v>
      </c>
    </row>
    <row r="221" spans="1:6" x14ac:dyDescent="0.25">
      <c r="A221" t="s">
        <v>14</v>
      </c>
      <c r="B221" s="7">
        <v>45015</v>
      </c>
      <c r="C221">
        <v>2023</v>
      </c>
      <c r="E221" t="s">
        <v>6</v>
      </c>
      <c r="F221">
        <v>20.590500000000002</v>
      </c>
    </row>
    <row r="222" spans="1:6" x14ac:dyDescent="0.25">
      <c r="A222" t="s">
        <v>14</v>
      </c>
      <c r="B222" s="7">
        <v>45029</v>
      </c>
      <c r="C222">
        <v>2023</v>
      </c>
      <c r="E222" t="s">
        <v>6</v>
      </c>
      <c r="F222">
        <v>22.845600000000001</v>
      </c>
    </row>
    <row r="223" spans="1:6" x14ac:dyDescent="0.25">
      <c r="A223" t="s">
        <v>14</v>
      </c>
      <c r="B223" s="7">
        <v>45041</v>
      </c>
      <c r="C223">
        <v>2023</v>
      </c>
      <c r="E223" t="s">
        <v>6</v>
      </c>
      <c r="F223">
        <v>23.795200000000001</v>
      </c>
    </row>
    <row r="224" spans="1:6" x14ac:dyDescent="0.25">
      <c r="A224" t="s">
        <v>14</v>
      </c>
      <c r="B224" s="7">
        <v>45049</v>
      </c>
      <c r="C224">
        <v>2023</v>
      </c>
      <c r="E224" t="s">
        <v>6</v>
      </c>
      <c r="F224">
        <v>24.320799999999998</v>
      </c>
    </row>
    <row r="225" spans="1:6" x14ac:dyDescent="0.25">
      <c r="A225" t="s">
        <v>14</v>
      </c>
      <c r="B225" s="7">
        <v>45062</v>
      </c>
      <c r="C225">
        <v>2023</v>
      </c>
      <c r="E225" t="s">
        <v>6</v>
      </c>
      <c r="F225">
        <v>24.446999999999999</v>
      </c>
    </row>
    <row r="226" spans="1:6" x14ac:dyDescent="0.25">
      <c r="A226" t="s">
        <v>14</v>
      </c>
      <c r="B226" s="7">
        <v>45077</v>
      </c>
      <c r="C226">
        <v>2023</v>
      </c>
      <c r="E226" t="s">
        <v>6</v>
      </c>
      <c r="F226">
        <v>24.847199999999997</v>
      </c>
    </row>
    <row r="227" spans="1:6" x14ac:dyDescent="0.25">
      <c r="A227" t="s">
        <v>14</v>
      </c>
      <c r="B227" s="7">
        <v>45083</v>
      </c>
      <c r="C227">
        <v>2023</v>
      </c>
      <c r="E227" t="s">
        <v>6</v>
      </c>
      <c r="F227">
        <v>22.531999999999996</v>
      </c>
    </row>
    <row r="228" spans="1:6" x14ac:dyDescent="0.25">
      <c r="A228" t="s">
        <v>14</v>
      </c>
      <c r="B228" s="7">
        <v>44595</v>
      </c>
      <c r="C228">
        <v>2022</v>
      </c>
      <c r="D228" s="7"/>
      <c r="E228" t="s">
        <v>6</v>
      </c>
      <c r="F228">
        <v>7.4561999999999991</v>
      </c>
    </row>
    <row r="229" spans="1:6" x14ac:dyDescent="0.25">
      <c r="A229" t="s">
        <v>14</v>
      </c>
      <c r="B229" s="7">
        <v>44608</v>
      </c>
      <c r="C229">
        <v>2022</v>
      </c>
      <c r="E229" t="s">
        <v>6</v>
      </c>
      <c r="F229">
        <v>11.081100000000001</v>
      </c>
    </row>
    <row r="230" spans="1:6" x14ac:dyDescent="0.25">
      <c r="A230" t="s">
        <v>14</v>
      </c>
      <c r="B230" s="7">
        <v>44622</v>
      </c>
      <c r="C230">
        <v>2022</v>
      </c>
      <c r="E230" t="s">
        <v>6</v>
      </c>
      <c r="F230">
        <v>12.922000000000001</v>
      </c>
    </row>
    <row r="231" spans="1:6" x14ac:dyDescent="0.25">
      <c r="A231" t="s">
        <v>14</v>
      </c>
      <c r="B231" s="7">
        <v>44636</v>
      </c>
      <c r="C231">
        <v>2022</v>
      </c>
      <c r="E231" t="s">
        <v>6</v>
      </c>
      <c r="F231">
        <v>16.5564</v>
      </c>
    </row>
    <row r="232" spans="1:6" x14ac:dyDescent="0.25">
      <c r="A232" t="s">
        <v>14</v>
      </c>
      <c r="B232" s="7">
        <v>44650</v>
      </c>
      <c r="C232">
        <v>2022</v>
      </c>
      <c r="E232" t="s">
        <v>6</v>
      </c>
      <c r="F232">
        <v>17.243100000000002</v>
      </c>
    </row>
    <row r="233" spans="1:6" x14ac:dyDescent="0.25">
      <c r="A233" t="s">
        <v>14</v>
      </c>
      <c r="B233" s="7">
        <v>44664</v>
      </c>
      <c r="C233">
        <v>2022</v>
      </c>
      <c r="E233" t="s">
        <v>6</v>
      </c>
      <c r="F233">
        <v>18.874200000000002</v>
      </c>
    </row>
    <row r="234" spans="1:6" x14ac:dyDescent="0.25">
      <c r="A234" t="s">
        <v>14</v>
      </c>
      <c r="B234" s="7">
        <v>44673</v>
      </c>
      <c r="C234">
        <v>2022</v>
      </c>
      <c r="E234" t="s">
        <v>6</v>
      </c>
      <c r="F234">
        <v>19.495000000000001</v>
      </c>
    </row>
    <row r="235" spans="1:6" x14ac:dyDescent="0.25">
      <c r="A235" t="s">
        <v>14</v>
      </c>
      <c r="B235" s="7">
        <v>44680</v>
      </c>
      <c r="C235">
        <v>2022</v>
      </c>
      <c r="E235" t="s">
        <v>6</v>
      </c>
      <c r="F235">
        <v>20.399199999999997</v>
      </c>
    </row>
    <row r="236" spans="1:6" x14ac:dyDescent="0.25">
      <c r="A236" t="s">
        <v>14</v>
      </c>
      <c r="B236" s="7">
        <v>44685</v>
      </c>
      <c r="C236">
        <v>2022</v>
      </c>
      <c r="E236" t="s">
        <v>6</v>
      </c>
      <c r="F236">
        <v>22.8123</v>
      </c>
    </row>
    <row r="237" spans="1:6" x14ac:dyDescent="0.25">
      <c r="A237" t="s">
        <v>14</v>
      </c>
      <c r="B237" s="7">
        <v>44699</v>
      </c>
      <c r="C237">
        <v>2022</v>
      </c>
      <c r="E237" t="s">
        <v>6</v>
      </c>
      <c r="F237">
        <v>22.352000000000004</v>
      </c>
    </row>
    <row r="238" spans="1:6" x14ac:dyDescent="0.25">
      <c r="A238" t="s">
        <v>14</v>
      </c>
      <c r="B238" s="7">
        <v>44713</v>
      </c>
      <c r="C238">
        <v>2022</v>
      </c>
      <c r="E238" t="s">
        <v>6</v>
      </c>
      <c r="F238">
        <v>22.697199999999999</v>
      </c>
    </row>
    <row r="239" spans="1:6" x14ac:dyDescent="0.25">
      <c r="A239" t="s">
        <v>14</v>
      </c>
      <c r="B239" s="7">
        <v>44952</v>
      </c>
      <c r="C239">
        <v>2023</v>
      </c>
      <c r="E239" t="s">
        <v>6</v>
      </c>
      <c r="F239">
        <v>7.3137999999999996</v>
      </c>
    </row>
    <row r="240" spans="1:6" x14ac:dyDescent="0.25">
      <c r="A240" t="s">
        <v>14</v>
      </c>
      <c r="B240" s="7">
        <v>44973</v>
      </c>
      <c r="C240">
        <v>2023</v>
      </c>
      <c r="E240" t="s">
        <v>6</v>
      </c>
      <c r="F240">
        <v>11.023599999999998</v>
      </c>
    </row>
    <row r="241" spans="1:6" x14ac:dyDescent="0.25">
      <c r="A241" t="s">
        <v>14</v>
      </c>
      <c r="B241" s="7">
        <v>44987</v>
      </c>
      <c r="C241">
        <v>2023</v>
      </c>
      <c r="E241" t="s">
        <v>6</v>
      </c>
      <c r="F241">
        <v>13.492799999999999</v>
      </c>
    </row>
    <row r="242" spans="1:6" x14ac:dyDescent="0.25">
      <c r="A242" t="s">
        <v>14</v>
      </c>
      <c r="B242" s="7">
        <v>45001</v>
      </c>
      <c r="C242">
        <v>2023</v>
      </c>
      <c r="E242" t="s">
        <v>6</v>
      </c>
      <c r="F242">
        <v>16.840599999999998</v>
      </c>
    </row>
    <row r="243" spans="1:6" x14ac:dyDescent="0.25">
      <c r="A243" t="s">
        <v>14</v>
      </c>
      <c r="B243" s="7">
        <v>45014</v>
      </c>
      <c r="C243">
        <v>2023</v>
      </c>
      <c r="E243" t="s">
        <v>6</v>
      </c>
      <c r="F243">
        <v>19.481999999999999</v>
      </c>
    </row>
    <row r="244" spans="1:6" x14ac:dyDescent="0.25">
      <c r="A244" t="s">
        <v>14</v>
      </c>
      <c r="B244" s="7">
        <v>45029</v>
      </c>
      <c r="C244">
        <v>2023</v>
      </c>
      <c r="E244" t="s">
        <v>6</v>
      </c>
      <c r="F244">
        <v>22.633600000000001</v>
      </c>
    </row>
    <row r="245" spans="1:6" x14ac:dyDescent="0.25">
      <c r="A245" t="s">
        <v>14</v>
      </c>
      <c r="B245" s="7">
        <v>45041</v>
      </c>
      <c r="C245">
        <v>2023</v>
      </c>
      <c r="E245" t="s">
        <v>6</v>
      </c>
      <c r="F245">
        <v>24.105599999999999</v>
      </c>
    </row>
    <row r="246" spans="1:6" x14ac:dyDescent="0.25">
      <c r="A246" t="s">
        <v>14</v>
      </c>
      <c r="B246" s="7">
        <v>45049</v>
      </c>
      <c r="C246">
        <v>2023</v>
      </c>
      <c r="E246" t="s">
        <v>6</v>
      </c>
      <c r="F246">
        <v>25.936899999999994</v>
      </c>
    </row>
    <row r="247" spans="1:6" x14ac:dyDescent="0.25">
      <c r="A247" t="s">
        <v>14</v>
      </c>
      <c r="B247" s="7">
        <v>45062</v>
      </c>
      <c r="C247">
        <v>2023</v>
      </c>
      <c r="E247" t="s">
        <v>6</v>
      </c>
      <c r="F247">
        <v>24.915800000000001</v>
      </c>
    </row>
    <row r="248" spans="1:6" x14ac:dyDescent="0.25">
      <c r="A248" t="s">
        <v>14</v>
      </c>
      <c r="B248" s="7">
        <v>45076</v>
      </c>
      <c r="C248">
        <v>2023</v>
      </c>
      <c r="E248" t="s">
        <v>6</v>
      </c>
      <c r="F248">
        <v>24.590499999999999</v>
      </c>
    </row>
    <row r="249" spans="1:6" x14ac:dyDescent="0.25">
      <c r="A249" t="s">
        <v>14</v>
      </c>
      <c r="B249" s="7">
        <v>45083</v>
      </c>
      <c r="C249">
        <v>2023</v>
      </c>
      <c r="E249" t="s">
        <v>6</v>
      </c>
      <c r="F249">
        <v>25.136999999999997</v>
      </c>
    </row>
    <row r="250" spans="1:6" x14ac:dyDescent="0.25">
      <c r="A250" t="s">
        <v>14</v>
      </c>
      <c r="B250" s="7">
        <v>45314</v>
      </c>
      <c r="C250">
        <v>2024</v>
      </c>
      <c r="E250" t="s">
        <v>6</v>
      </c>
      <c r="F250">
        <v>5.7376000000000014</v>
      </c>
    </row>
    <row r="251" spans="1:6" x14ac:dyDescent="0.25">
      <c r="A251" t="s">
        <v>14</v>
      </c>
      <c r="B251" s="7">
        <v>45337</v>
      </c>
      <c r="C251">
        <v>2024</v>
      </c>
      <c r="E251" t="s">
        <v>6</v>
      </c>
      <c r="F251">
        <v>10.566399999999998</v>
      </c>
    </row>
    <row r="252" spans="1:6" x14ac:dyDescent="0.25">
      <c r="A252" t="s">
        <v>14</v>
      </c>
      <c r="B252" s="7">
        <v>45348</v>
      </c>
      <c r="C252">
        <v>2024</v>
      </c>
      <c r="E252" t="s">
        <v>6</v>
      </c>
      <c r="F252">
        <v>11.4376</v>
      </c>
    </row>
    <row r="253" spans="1:6" x14ac:dyDescent="0.25">
      <c r="A253" t="s">
        <v>14</v>
      </c>
      <c r="B253" s="7">
        <v>45365</v>
      </c>
      <c r="C253">
        <v>2024</v>
      </c>
      <c r="E253" t="s">
        <v>6</v>
      </c>
      <c r="F253">
        <v>14.351400000000002</v>
      </c>
    </row>
    <row r="254" spans="1:6" x14ac:dyDescent="0.25">
      <c r="A254" t="s">
        <v>14</v>
      </c>
      <c r="B254" s="7">
        <v>45379</v>
      </c>
      <c r="C254">
        <v>2024</v>
      </c>
      <c r="E254" t="s">
        <v>6</v>
      </c>
      <c r="F254">
        <v>16.467200000000002</v>
      </c>
    </row>
    <row r="255" spans="1:6" x14ac:dyDescent="0.25">
      <c r="A255" t="s">
        <v>14</v>
      </c>
      <c r="B255" s="7">
        <v>45393</v>
      </c>
      <c r="C255">
        <v>2024</v>
      </c>
      <c r="E255" t="s">
        <v>6</v>
      </c>
      <c r="F255">
        <v>17.629000000000001</v>
      </c>
    </row>
    <row r="256" spans="1:6" x14ac:dyDescent="0.25">
      <c r="A256" t="s">
        <v>14</v>
      </c>
      <c r="B256" s="7">
        <v>45407</v>
      </c>
      <c r="C256">
        <v>2024</v>
      </c>
      <c r="E256" t="s">
        <v>6</v>
      </c>
      <c r="F256">
        <v>18.948599999999999</v>
      </c>
    </row>
    <row r="257" spans="1:6" x14ac:dyDescent="0.25">
      <c r="A257" t="s">
        <v>14</v>
      </c>
      <c r="B257" s="7">
        <v>45414</v>
      </c>
      <c r="C257">
        <v>2024</v>
      </c>
      <c r="E257" t="s">
        <v>6</v>
      </c>
      <c r="F257">
        <v>20.6096</v>
      </c>
    </row>
    <row r="258" spans="1:6" x14ac:dyDescent="0.25">
      <c r="A258" t="s">
        <v>14</v>
      </c>
      <c r="B258" s="7">
        <v>45425</v>
      </c>
      <c r="C258">
        <v>2024</v>
      </c>
      <c r="E258" t="s">
        <v>6</v>
      </c>
      <c r="F258">
        <v>20.810399999999994</v>
      </c>
    </row>
    <row r="259" spans="1:6" x14ac:dyDescent="0.25">
      <c r="A259" t="s">
        <v>14</v>
      </c>
      <c r="B259" s="7">
        <v>45441</v>
      </c>
      <c r="C259">
        <v>2024</v>
      </c>
      <c r="E259" t="s">
        <v>6</v>
      </c>
      <c r="F259">
        <v>20.833099999999998</v>
      </c>
    </row>
    <row r="260" spans="1:6" x14ac:dyDescent="0.25">
      <c r="A260" t="s">
        <v>14</v>
      </c>
      <c r="B260" s="7">
        <v>45453</v>
      </c>
      <c r="C260">
        <v>2024</v>
      </c>
      <c r="E260" t="s">
        <v>6</v>
      </c>
      <c r="F260">
        <v>20.495499999999996</v>
      </c>
    </row>
    <row r="261" spans="1:6" x14ac:dyDescent="0.25">
      <c r="A261" t="s">
        <v>14</v>
      </c>
      <c r="B261" s="7">
        <v>44595</v>
      </c>
      <c r="C261">
        <f>YEAR((B261))</f>
        <v>2022</v>
      </c>
      <c r="E261" t="s">
        <v>6</v>
      </c>
      <c r="F261">
        <v>6.96</v>
      </c>
    </row>
    <row r="262" spans="1:6" x14ac:dyDescent="0.25">
      <c r="A262" t="s">
        <v>14</v>
      </c>
      <c r="B262" s="7">
        <v>44608</v>
      </c>
      <c r="C262">
        <f t="shared" ref="C262:C293" si="3">YEAR((B262))</f>
        <v>2022</v>
      </c>
      <c r="E262" t="s">
        <v>6</v>
      </c>
      <c r="F262">
        <v>9.7843999999999998</v>
      </c>
    </row>
    <row r="263" spans="1:6" x14ac:dyDescent="0.25">
      <c r="A263" t="s">
        <v>14</v>
      </c>
      <c r="B263" s="7">
        <v>44622</v>
      </c>
      <c r="C263">
        <f t="shared" si="3"/>
        <v>2022</v>
      </c>
      <c r="E263" t="s">
        <v>6</v>
      </c>
      <c r="F263">
        <v>12.097799999999999</v>
      </c>
    </row>
    <row r="264" spans="1:6" x14ac:dyDescent="0.25">
      <c r="A264" t="s">
        <v>14</v>
      </c>
      <c r="B264" s="7">
        <v>44636</v>
      </c>
      <c r="C264">
        <f t="shared" si="3"/>
        <v>2022</v>
      </c>
      <c r="E264" t="s">
        <v>6</v>
      </c>
      <c r="F264">
        <v>13.3996</v>
      </c>
    </row>
    <row r="265" spans="1:6" x14ac:dyDescent="0.25">
      <c r="A265" t="s">
        <v>14</v>
      </c>
      <c r="B265" s="7">
        <v>44650</v>
      </c>
      <c r="C265">
        <f t="shared" si="3"/>
        <v>2022</v>
      </c>
      <c r="E265" t="s">
        <v>6</v>
      </c>
      <c r="F265">
        <v>18.352399999999999</v>
      </c>
    </row>
    <row r="266" spans="1:6" x14ac:dyDescent="0.25">
      <c r="A266" t="s">
        <v>14</v>
      </c>
      <c r="B266" s="7">
        <v>44664</v>
      </c>
      <c r="C266">
        <f t="shared" si="3"/>
        <v>2022</v>
      </c>
      <c r="E266" t="s">
        <v>6</v>
      </c>
      <c r="F266">
        <v>17.783999999999999</v>
      </c>
    </row>
    <row r="267" spans="1:6" x14ac:dyDescent="0.25">
      <c r="A267" t="s">
        <v>14</v>
      </c>
      <c r="B267" s="7">
        <v>44673</v>
      </c>
      <c r="C267">
        <f t="shared" si="3"/>
        <v>2022</v>
      </c>
      <c r="E267" t="s">
        <v>6</v>
      </c>
      <c r="F267">
        <v>17.6967</v>
      </c>
    </row>
    <row r="268" spans="1:6" x14ac:dyDescent="0.25">
      <c r="A268" t="s">
        <v>14</v>
      </c>
      <c r="B268" s="7">
        <v>44680</v>
      </c>
      <c r="C268">
        <f t="shared" si="3"/>
        <v>2022</v>
      </c>
      <c r="E268" t="s">
        <v>6</v>
      </c>
      <c r="F268">
        <v>19.3248</v>
      </c>
    </row>
    <row r="269" spans="1:6" x14ac:dyDescent="0.25">
      <c r="A269" t="s">
        <v>14</v>
      </c>
      <c r="B269" s="7">
        <v>44685</v>
      </c>
      <c r="C269">
        <f>YEAR((B269))</f>
        <v>2022</v>
      </c>
      <c r="E269" t="s">
        <v>6</v>
      </c>
      <c r="F269">
        <v>20.511399999999998</v>
      </c>
    </row>
    <row r="270" spans="1:6" x14ac:dyDescent="0.25">
      <c r="A270" t="s">
        <v>14</v>
      </c>
      <c r="B270" s="7">
        <v>44699</v>
      </c>
      <c r="C270">
        <f t="shared" si="3"/>
        <v>2022</v>
      </c>
      <c r="E270" t="s">
        <v>6</v>
      </c>
      <c r="F270">
        <v>20.461199999999998</v>
      </c>
    </row>
    <row r="271" spans="1:6" x14ac:dyDescent="0.25">
      <c r="A271" t="s">
        <v>14</v>
      </c>
      <c r="B271" s="7">
        <v>44713</v>
      </c>
      <c r="C271">
        <f t="shared" si="3"/>
        <v>2022</v>
      </c>
      <c r="E271" t="s">
        <v>6</v>
      </c>
      <c r="F271">
        <v>21.339900000000004</v>
      </c>
    </row>
    <row r="272" spans="1:6" x14ac:dyDescent="0.25">
      <c r="A272" t="s">
        <v>14</v>
      </c>
      <c r="B272" s="7">
        <v>44950</v>
      </c>
      <c r="C272">
        <f t="shared" si="3"/>
        <v>2023</v>
      </c>
      <c r="E272" t="s">
        <v>6</v>
      </c>
      <c r="F272">
        <v>5.7330000000000005</v>
      </c>
    </row>
    <row r="273" spans="1:6" x14ac:dyDescent="0.25">
      <c r="A273" t="s">
        <v>14</v>
      </c>
      <c r="B273" s="7">
        <v>44974</v>
      </c>
      <c r="C273">
        <f t="shared" si="3"/>
        <v>2023</v>
      </c>
      <c r="E273" t="s">
        <v>6</v>
      </c>
      <c r="F273">
        <v>8.2151000000000014</v>
      </c>
    </row>
    <row r="274" spans="1:6" x14ac:dyDescent="0.25">
      <c r="A274" t="s">
        <v>14</v>
      </c>
      <c r="B274" s="7">
        <v>44987</v>
      </c>
      <c r="C274">
        <f t="shared" si="3"/>
        <v>2023</v>
      </c>
      <c r="E274" t="s">
        <v>6</v>
      </c>
      <c r="F274">
        <v>10.610999999999999</v>
      </c>
    </row>
    <row r="275" spans="1:6" x14ac:dyDescent="0.25">
      <c r="A275" t="s">
        <v>14</v>
      </c>
      <c r="B275" s="7">
        <v>45001</v>
      </c>
      <c r="C275">
        <f t="shared" si="3"/>
        <v>2023</v>
      </c>
      <c r="E275" t="s">
        <v>6</v>
      </c>
      <c r="F275">
        <v>13.234500000000001</v>
      </c>
    </row>
    <row r="276" spans="1:6" x14ac:dyDescent="0.25">
      <c r="A276" t="s">
        <v>14</v>
      </c>
      <c r="B276" s="7">
        <v>45014</v>
      </c>
      <c r="C276">
        <f t="shared" si="3"/>
        <v>2023</v>
      </c>
      <c r="E276" t="s">
        <v>6</v>
      </c>
      <c r="F276">
        <v>15.264000000000001</v>
      </c>
    </row>
    <row r="277" spans="1:6" x14ac:dyDescent="0.25">
      <c r="A277" t="s">
        <v>14</v>
      </c>
      <c r="B277" s="7">
        <v>45031</v>
      </c>
      <c r="C277">
        <f t="shared" si="3"/>
        <v>2023</v>
      </c>
      <c r="E277" t="s">
        <v>6</v>
      </c>
      <c r="F277">
        <v>16.933800000000002</v>
      </c>
    </row>
    <row r="278" spans="1:6" x14ac:dyDescent="0.25">
      <c r="A278" t="s">
        <v>14</v>
      </c>
      <c r="B278" s="7">
        <v>45041</v>
      </c>
      <c r="C278">
        <f t="shared" si="3"/>
        <v>2023</v>
      </c>
      <c r="E278" t="s">
        <v>6</v>
      </c>
      <c r="F278">
        <v>18.791999999999998</v>
      </c>
    </row>
    <row r="279" spans="1:6" x14ac:dyDescent="0.25">
      <c r="A279" t="s">
        <v>14</v>
      </c>
      <c r="B279" s="7">
        <v>45049</v>
      </c>
      <c r="C279">
        <f t="shared" si="3"/>
        <v>2023</v>
      </c>
      <c r="E279" t="s">
        <v>6</v>
      </c>
      <c r="F279">
        <v>19.670000000000002</v>
      </c>
    </row>
    <row r="280" spans="1:6" x14ac:dyDescent="0.25">
      <c r="A280" t="s">
        <v>14</v>
      </c>
      <c r="B280" s="7">
        <v>45062</v>
      </c>
      <c r="C280">
        <f t="shared" si="3"/>
        <v>2023</v>
      </c>
      <c r="E280" t="s">
        <v>6</v>
      </c>
      <c r="F280">
        <v>20.914999999999999</v>
      </c>
    </row>
    <row r="281" spans="1:6" x14ac:dyDescent="0.25">
      <c r="A281" t="s">
        <v>14</v>
      </c>
      <c r="B281" s="7">
        <v>45077</v>
      </c>
      <c r="C281">
        <f t="shared" si="3"/>
        <v>2023</v>
      </c>
      <c r="E281" t="s">
        <v>6</v>
      </c>
      <c r="F281">
        <v>20.790399999999998</v>
      </c>
    </row>
    <row r="282" spans="1:6" x14ac:dyDescent="0.25">
      <c r="A282" t="s">
        <v>14</v>
      </c>
      <c r="B282" s="7">
        <v>45083</v>
      </c>
      <c r="C282">
        <f t="shared" si="3"/>
        <v>2023</v>
      </c>
      <c r="E282" t="s">
        <v>6</v>
      </c>
      <c r="F282">
        <v>20.262799999999999</v>
      </c>
    </row>
    <row r="283" spans="1:6" x14ac:dyDescent="0.25">
      <c r="A283" t="s">
        <v>14</v>
      </c>
      <c r="B283" s="7">
        <v>45314</v>
      </c>
      <c r="C283">
        <f t="shared" si="3"/>
        <v>2024</v>
      </c>
      <c r="E283" t="s">
        <v>6</v>
      </c>
      <c r="F283">
        <v>4.9717000000000002</v>
      </c>
    </row>
    <row r="284" spans="1:6" x14ac:dyDescent="0.25">
      <c r="A284" t="s">
        <v>14</v>
      </c>
      <c r="B284" s="7">
        <v>45336</v>
      </c>
      <c r="C284">
        <f t="shared" si="3"/>
        <v>2024</v>
      </c>
      <c r="E284" t="s">
        <v>6</v>
      </c>
      <c r="F284">
        <v>7.9373000000000005</v>
      </c>
    </row>
    <row r="285" spans="1:6" x14ac:dyDescent="0.25">
      <c r="A285" t="s">
        <v>14</v>
      </c>
      <c r="B285" s="7">
        <v>45348</v>
      </c>
      <c r="C285">
        <f t="shared" si="3"/>
        <v>2024</v>
      </c>
      <c r="E285" t="s">
        <v>6</v>
      </c>
      <c r="F285">
        <v>10.111500000000001</v>
      </c>
    </row>
    <row r="286" spans="1:6" x14ac:dyDescent="0.25">
      <c r="A286" t="s">
        <v>14</v>
      </c>
      <c r="B286" s="7">
        <v>45365</v>
      </c>
      <c r="C286">
        <f t="shared" si="3"/>
        <v>2024</v>
      </c>
      <c r="E286" t="s">
        <v>6</v>
      </c>
      <c r="F286">
        <v>12.935199999999998</v>
      </c>
    </row>
    <row r="287" spans="1:6" x14ac:dyDescent="0.25">
      <c r="A287" t="s">
        <v>14</v>
      </c>
      <c r="B287" s="7">
        <v>45379</v>
      </c>
      <c r="C287">
        <f t="shared" si="3"/>
        <v>2024</v>
      </c>
      <c r="E287" t="s">
        <v>6</v>
      </c>
      <c r="F287">
        <v>14.8748</v>
      </c>
    </row>
    <row r="288" spans="1:6" x14ac:dyDescent="0.25">
      <c r="A288" t="s">
        <v>14</v>
      </c>
      <c r="B288" s="7">
        <v>45390</v>
      </c>
      <c r="C288">
        <f t="shared" si="3"/>
        <v>2024</v>
      </c>
      <c r="E288" t="s">
        <v>6</v>
      </c>
      <c r="F288">
        <v>15.4224</v>
      </c>
    </row>
    <row r="289" spans="1:6" x14ac:dyDescent="0.25">
      <c r="A289" t="s">
        <v>14</v>
      </c>
      <c r="B289" s="7">
        <v>45404</v>
      </c>
      <c r="C289">
        <f t="shared" si="3"/>
        <v>2024</v>
      </c>
      <c r="E289" t="s">
        <v>6</v>
      </c>
      <c r="F289">
        <v>16.8904</v>
      </c>
    </row>
    <row r="290" spans="1:6" x14ac:dyDescent="0.25">
      <c r="A290" t="s">
        <v>14</v>
      </c>
      <c r="B290" s="7">
        <v>45413</v>
      </c>
      <c r="C290">
        <f t="shared" si="3"/>
        <v>2024</v>
      </c>
      <c r="E290" t="s">
        <v>6</v>
      </c>
      <c r="F290">
        <v>18.000899999999998</v>
      </c>
    </row>
    <row r="291" spans="1:6" x14ac:dyDescent="0.25">
      <c r="A291" t="s">
        <v>14</v>
      </c>
      <c r="B291" s="7">
        <v>45425</v>
      </c>
      <c r="C291">
        <f t="shared" si="3"/>
        <v>2024</v>
      </c>
      <c r="E291" t="s">
        <v>6</v>
      </c>
      <c r="F291">
        <v>19.007199999999997</v>
      </c>
    </row>
    <row r="292" spans="1:6" x14ac:dyDescent="0.25">
      <c r="A292" t="s">
        <v>14</v>
      </c>
      <c r="B292" s="7">
        <v>45441</v>
      </c>
      <c r="C292">
        <f t="shared" si="3"/>
        <v>2024</v>
      </c>
      <c r="E292" t="s">
        <v>6</v>
      </c>
      <c r="F292">
        <v>17.756799999999998</v>
      </c>
    </row>
    <row r="293" spans="1:6" x14ac:dyDescent="0.25">
      <c r="A293" t="s">
        <v>14</v>
      </c>
      <c r="B293" s="7">
        <v>45453</v>
      </c>
      <c r="C293">
        <f t="shared" si="3"/>
        <v>2024</v>
      </c>
      <c r="E293" t="s">
        <v>6</v>
      </c>
      <c r="F293">
        <v>17.963999999999999</v>
      </c>
    </row>
    <row r="294" spans="1:6" x14ac:dyDescent="0.25">
      <c r="A294" t="s">
        <v>14</v>
      </c>
      <c r="B294" s="7">
        <v>44595</v>
      </c>
      <c r="C294">
        <f>YEAR(B294)</f>
        <v>2022</v>
      </c>
      <c r="E294" t="s">
        <v>6</v>
      </c>
      <c r="F294">
        <v>8.0898000000000003</v>
      </c>
    </row>
    <row r="295" spans="1:6" x14ac:dyDescent="0.25">
      <c r="A295" t="s">
        <v>14</v>
      </c>
      <c r="B295" s="7">
        <v>44608</v>
      </c>
      <c r="C295">
        <f t="shared" ref="C295:C358" si="4">YEAR(B295)</f>
        <v>2022</v>
      </c>
      <c r="E295" t="s">
        <v>6</v>
      </c>
      <c r="F295">
        <v>10.7502</v>
      </c>
    </row>
    <row r="296" spans="1:6" x14ac:dyDescent="0.25">
      <c r="A296" t="s">
        <v>14</v>
      </c>
      <c r="B296" s="7">
        <v>44622</v>
      </c>
      <c r="C296">
        <f t="shared" si="4"/>
        <v>2022</v>
      </c>
      <c r="E296" t="s">
        <v>6</v>
      </c>
      <c r="F296">
        <v>13.171200000000001</v>
      </c>
    </row>
    <row r="297" spans="1:6" x14ac:dyDescent="0.25">
      <c r="A297" t="s">
        <v>14</v>
      </c>
      <c r="B297" s="7">
        <v>44636</v>
      </c>
      <c r="C297">
        <f t="shared" si="4"/>
        <v>2022</v>
      </c>
      <c r="E297" t="s">
        <v>6</v>
      </c>
      <c r="F297">
        <v>12.583999999999998</v>
      </c>
    </row>
    <row r="298" spans="1:6" x14ac:dyDescent="0.25">
      <c r="A298" t="s">
        <v>14</v>
      </c>
      <c r="B298" s="7">
        <v>44650</v>
      </c>
      <c r="C298">
        <f t="shared" si="4"/>
        <v>2022</v>
      </c>
      <c r="E298" t="s">
        <v>6</v>
      </c>
      <c r="F298">
        <v>16.5564</v>
      </c>
    </row>
    <row r="299" spans="1:6" x14ac:dyDescent="0.25">
      <c r="A299" t="s">
        <v>14</v>
      </c>
      <c r="B299" s="7">
        <v>44664</v>
      </c>
      <c r="C299">
        <f t="shared" si="4"/>
        <v>2022</v>
      </c>
      <c r="E299" t="s">
        <v>6</v>
      </c>
      <c r="F299">
        <v>18.115200000000002</v>
      </c>
    </row>
    <row r="300" spans="1:6" x14ac:dyDescent="0.25">
      <c r="A300" t="s">
        <v>14</v>
      </c>
      <c r="B300" s="7">
        <v>44672</v>
      </c>
      <c r="C300">
        <f t="shared" si="4"/>
        <v>2022</v>
      </c>
      <c r="E300" t="s">
        <v>6</v>
      </c>
      <c r="F300">
        <v>19.6692</v>
      </c>
    </row>
    <row r="301" spans="1:6" x14ac:dyDescent="0.25">
      <c r="A301" t="s">
        <v>14</v>
      </c>
      <c r="B301" s="7">
        <v>44680</v>
      </c>
      <c r="C301">
        <f t="shared" si="4"/>
        <v>2022</v>
      </c>
      <c r="E301" t="s">
        <v>6</v>
      </c>
      <c r="F301">
        <v>20.550599999999999</v>
      </c>
    </row>
    <row r="302" spans="1:6" x14ac:dyDescent="0.25">
      <c r="A302" t="s">
        <v>14</v>
      </c>
      <c r="B302" s="7">
        <v>44685</v>
      </c>
      <c r="C302">
        <f t="shared" si="4"/>
        <v>2022</v>
      </c>
      <c r="E302" t="s">
        <v>6</v>
      </c>
      <c r="F302">
        <v>19.724599999999999</v>
      </c>
    </row>
    <row r="303" spans="1:6" x14ac:dyDescent="0.25">
      <c r="A303" t="s">
        <v>14</v>
      </c>
      <c r="B303" s="7">
        <v>44699</v>
      </c>
      <c r="C303">
        <f t="shared" si="4"/>
        <v>2022</v>
      </c>
      <c r="E303" t="s">
        <v>6</v>
      </c>
      <c r="F303">
        <v>21.819800000000001</v>
      </c>
    </row>
    <row r="304" spans="1:6" x14ac:dyDescent="0.25">
      <c r="A304" t="s">
        <v>14</v>
      </c>
      <c r="B304" s="7">
        <v>44713</v>
      </c>
      <c r="C304">
        <f t="shared" si="4"/>
        <v>2022</v>
      </c>
      <c r="E304" t="s">
        <v>6</v>
      </c>
      <c r="F304">
        <v>22.72</v>
      </c>
    </row>
    <row r="305" spans="1:6" x14ac:dyDescent="0.25">
      <c r="A305" t="s">
        <v>14</v>
      </c>
      <c r="B305" s="7">
        <v>44952</v>
      </c>
      <c r="C305">
        <f t="shared" si="4"/>
        <v>2023</v>
      </c>
      <c r="E305" t="s">
        <v>6</v>
      </c>
      <c r="F305">
        <v>5.0961999999999996</v>
      </c>
    </row>
    <row r="306" spans="1:6" x14ac:dyDescent="0.25">
      <c r="A306" t="s">
        <v>14</v>
      </c>
      <c r="B306" s="7">
        <v>44974</v>
      </c>
      <c r="C306">
        <f t="shared" si="4"/>
        <v>2023</v>
      </c>
      <c r="E306" t="s">
        <v>6</v>
      </c>
      <c r="F306">
        <v>7.1189999999999998</v>
      </c>
    </row>
    <row r="307" spans="1:6" x14ac:dyDescent="0.25">
      <c r="A307" t="s">
        <v>14</v>
      </c>
      <c r="B307" s="7">
        <v>44984</v>
      </c>
      <c r="C307">
        <f t="shared" si="4"/>
        <v>2023</v>
      </c>
      <c r="E307" t="s">
        <v>6</v>
      </c>
      <c r="F307">
        <v>9.0643999999999991</v>
      </c>
    </row>
    <row r="308" spans="1:6" x14ac:dyDescent="0.25">
      <c r="A308" t="s">
        <v>14</v>
      </c>
      <c r="B308" s="7">
        <v>45000</v>
      </c>
      <c r="C308">
        <f t="shared" si="4"/>
        <v>2023</v>
      </c>
      <c r="E308" t="s">
        <v>6</v>
      </c>
      <c r="F308">
        <v>11.168299999999999</v>
      </c>
    </row>
    <row r="309" spans="1:6" x14ac:dyDescent="0.25">
      <c r="A309" t="s">
        <v>14</v>
      </c>
      <c r="B309" s="7">
        <v>45015</v>
      </c>
      <c r="C309">
        <f t="shared" si="4"/>
        <v>2023</v>
      </c>
      <c r="E309" t="s">
        <v>6</v>
      </c>
      <c r="F309">
        <v>12.615</v>
      </c>
    </row>
    <row r="310" spans="1:6" x14ac:dyDescent="0.25">
      <c r="A310" t="s">
        <v>14</v>
      </c>
      <c r="B310" s="7">
        <v>45029</v>
      </c>
      <c r="C310">
        <f t="shared" si="4"/>
        <v>2023</v>
      </c>
      <c r="E310" t="s">
        <v>6</v>
      </c>
      <c r="F310">
        <v>13.9345</v>
      </c>
    </row>
    <row r="311" spans="1:6" x14ac:dyDescent="0.25">
      <c r="A311" t="s">
        <v>14</v>
      </c>
      <c r="B311" s="7">
        <v>45041</v>
      </c>
      <c r="C311">
        <f t="shared" si="4"/>
        <v>2023</v>
      </c>
      <c r="E311" t="s">
        <v>6</v>
      </c>
      <c r="F311">
        <v>15.344000000000001</v>
      </c>
    </row>
    <row r="312" spans="1:6" x14ac:dyDescent="0.25">
      <c r="A312" t="s">
        <v>14</v>
      </c>
      <c r="B312" s="7">
        <v>45049</v>
      </c>
      <c r="C312">
        <f t="shared" si="4"/>
        <v>2023</v>
      </c>
      <c r="E312" t="s">
        <v>6</v>
      </c>
      <c r="F312">
        <v>15.1944</v>
      </c>
    </row>
    <row r="313" spans="1:6" x14ac:dyDescent="0.25">
      <c r="A313" t="s">
        <v>14</v>
      </c>
      <c r="B313" s="7">
        <v>45062</v>
      </c>
      <c r="C313">
        <f t="shared" si="4"/>
        <v>2023</v>
      </c>
      <c r="E313" t="s">
        <v>6</v>
      </c>
      <c r="F313">
        <v>15.061199999999999</v>
      </c>
    </row>
    <row r="314" spans="1:6" x14ac:dyDescent="0.25">
      <c r="A314" t="s">
        <v>14</v>
      </c>
      <c r="B314" s="7">
        <v>45076</v>
      </c>
      <c r="C314">
        <f t="shared" si="4"/>
        <v>2023</v>
      </c>
      <c r="E314" t="s">
        <v>6</v>
      </c>
      <c r="F314">
        <v>15.968</v>
      </c>
    </row>
    <row r="315" spans="1:6" x14ac:dyDescent="0.25">
      <c r="A315" t="s">
        <v>14</v>
      </c>
      <c r="B315" s="7">
        <v>45083</v>
      </c>
      <c r="C315">
        <f t="shared" si="4"/>
        <v>2023</v>
      </c>
      <c r="E315" t="s">
        <v>6</v>
      </c>
      <c r="F315">
        <v>18.631999999999998</v>
      </c>
    </row>
    <row r="316" spans="1:6" x14ac:dyDescent="0.25">
      <c r="A316" t="s">
        <v>14</v>
      </c>
      <c r="B316" s="7">
        <v>45316</v>
      </c>
      <c r="C316">
        <f t="shared" si="4"/>
        <v>2024</v>
      </c>
      <c r="E316" t="s">
        <v>6</v>
      </c>
      <c r="F316">
        <v>4.739300000000001</v>
      </c>
    </row>
    <row r="317" spans="1:6" x14ac:dyDescent="0.25">
      <c r="A317" t="s">
        <v>14</v>
      </c>
      <c r="B317" s="7">
        <v>45337</v>
      </c>
      <c r="C317">
        <f t="shared" si="4"/>
        <v>2024</v>
      </c>
      <c r="E317" t="s">
        <v>6</v>
      </c>
      <c r="F317">
        <v>8.3186999999999998</v>
      </c>
    </row>
    <row r="318" spans="1:6" x14ac:dyDescent="0.25">
      <c r="A318" t="s">
        <v>14</v>
      </c>
      <c r="B318" s="7">
        <v>45350</v>
      </c>
      <c r="C318">
        <f t="shared" si="4"/>
        <v>2024</v>
      </c>
      <c r="E318" t="s">
        <v>6</v>
      </c>
      <c r="F318">
        <v>10.472000000000001</v>
      </c>
    </row>
    <row r="319" spans="1:6" x14ac:dyDescent="0.25">
      <c r="A319" t="s">
        <v>14</v>
      </c>
      <c r="B319" s="7">
        <v>45364</v>
      </c>
      <c r="C319">
        <f t="shared" si="4"/>
        <v>2024</v>
      </c>
      <c r="E319" t="s">
        <v>6</v>
      </c>
      <c r="F319">
        <v>12.465</v>
      </c>
    </row>
    <row r="320" spans="1:6" x14ac:dyDescent="0.25">
      <c r="A320" t="s">
        <v>14</v>
      </c>
      <c r="B320" s="7">
        <v>45378</v>
      </c>
      <c r="C320">
        <f t="shared" si="4"/>
        <v>2024</v>
      </c>
      <c r="E320" t="s">
        <v>6</v>
      </c>
      <c r="F320">
        <v>13.880699999999999</v>
      </c>
    </row>
    <row r="321" spans="1:6" x14ac:dyDescent="0.25">
      <c r="A321" t="s">
        <v>14</v>
      </c>
      <c r="B321" s="7">
        <v>45393</v>
      </c>
      <c r="C321">
        <f t="shared" si="4"/>
        <v>2024</v>
      </c>
      <c r="E321" t="s">
        <v>6</v>
      </c>
      <c r="F321">
        <v>14.1158</v>
      </c>
    </row>
    <row r="322" spans="1:6" x14ac:dyDescent="0.25">
      <c r="A322" t="s">
        <v>14</v>
      </c>
      <c r="B322" s="7">
        <v>45404</v>
      </c>
      <c r="C322">
        <f t="shared" si="4"/>
        <v>2024</v>
      </c>
      <c r="E322" t="s">
        <v>6</v>
      </c>
      <c r="F322">
        <v>14.5962</v>
      </c>
    </row>
    <row r="323" spans="1:6" x14ac:dyDescent="0.25">
      <c r="A323" t="s">
        <v>14</v>
      </c>
      <c r="B323" s="7">
        <v>45414</v>
      </c>
      <c r="C323">
        <f t="shared" si="4"/>
        <v>2024</v>
      </c>
      <c r="E323" t="s">
        <v>6</v>
      </c>
      <c r="F323">
        <v>17.0487</v>
      </c>
    </row>
    <row r="324" spans="1:6" x14ac:dyDescent="0.25">
      <c r="A324" t="s">
        <v>14</v>
      </c>
      <c r="B324" s="7">
        <v>45425</v>
      </c>
      <c r="C324">
        <f t="shared" si="4"/>
        <v>2024</v>
      </c>
      <c r="E324" t="s">
        <v>6</v>
      </c>
      <c r="F324">
        <v>17.490300000000001</v>
      </c>
    </row>
    <row r="325" spans="1:6" x14ac:dyDescent="0.25">
      <c r="A325" t="s">
        <v>14</v>
      </c>
      <c r="B325" s="7">
        <v>45441</v>
      </c>
      <c r="C325">
        <f t="shared" si="4"/>
        <v>2024</v>
      </c>
      <c r="E325" t="s">
        <v>6</v>
      </c>
      <c r="F325">
        <v>17.7531</v>
      </c>
    </row>
    <row r="326" spans="1:6" x14ac:dyDescent="0.25">
      <c r="A326" t="s">
        <v>14</v>
      </c>
      <c r="B326" s="7">
        <v>45453</v>
      </c>
      <c r="C326">
        <f t="shared" si="4"/>
        <v>2024</v>
      </c>
      <c r="E326" t="s">
        <v>6</v>
      </c>
      <c r="F326">
        <v>17.337200000000003</v>
      </c>
    </row>
    <row r="327" spans="1:6" x14ac:dyDescent="0.25">
      <c r="A327" t="s">
        <v>14</v>
      </c>
      <c r="B327" s="7">
        <v>45316</v>
      </c>
      <c r="C327">
        <f t="shared" si="4"/>
        <v>2024</v>
      </c>
      <c r="E327" t="s">
        <v>6</v>
      </c>
      <c r="F327">
        <v>5.6027999999999993</v>
      </c>
    </row>
    <row r="328" spans="1:6" x14ac:dyDescent="0.25">
      <c r="A328" t="s">
        <v>14</v>
      </c>
      <c r="B328" s="7">
        <v>45337</v>
      </c>
      <c r="C328">
        <f t="shared" si="4"/>
        <v>2024</v>
      </c>
      <c r="E328" t="s">
        <v>6</v>
      </c>
      <c r="F328">
        <v>8.3005999999999993</v>
      </c>
    </row>
    <row r="329" spans="1:6" x14ac:dyDescent="0.25">
      <c r="A329" t="s">
        <v>14</v>
      </c>
      <c r="B329" s="7">
        <v>45350</v>
      </c>
      <c r="C329">
        <f t="shared" si="4"/>
        <v>2024</v>
      </c>
      <c r="E329" t="s">
        <v>6</v>
      </c>
      <c r="F329">
        <v>11.6775</v>
      </c>
    </row>
    <row r="330" spans="1:6" x14ac:dyDescent="0.25">
      <c r="A330" t="s">
        <v>14</v>
      </c>
      <c r="B330" s="7">
        <v>45364</v>
      </c>
      <c r="C330">
        <f t="shared" si="4"/>
        <v>2024</v>
      </c>
      <c r="E330" t="s">
        <v>6</v>
      </c>
      <c r="F330">
        <v>13.23</v>
      </c>
    </row>
    <row r="331" spans="1:6" x14ac:dyDescent="0.25">
      <c r="A331" t="s">
        <v>14</v>
      </c>
      <c r="B331" s="7">
        <v>45378</v>
      </c>
      <c r="C331">
        <f t="shared" si="4"/>
        <v>2024</v>
      </c>
      <c r="E331" t="s">
        <v>6</v>
      </c>
      <c r="F331">
        <v>15.4488</v>
      </c>
    </row>
    <row r="332" spans="1:6" x14ac:dyDescent="0.25">
      <c r="A332" t="s">
        <v>14</v>
      </c>
      <c r="B332" s="7">
        <v>45390</v>
      </c>
      <c r="C332">
        <f t="shared" si="4"/>
        <v>2024</v>
      </c>
      <c r="E332" t="s">
        <v>6</v>
      </c>
      <c r="F332">
        <v>16.945499999999999</v>
      </c>
    </row>
    <row r="333" spans="1:6" x14ac:dyDescent="0.25">
      <c r="A333" t="s">
        <v>14</v>
      </c>
      <c r="B333" s="7">
        <v>45407</v>
      </c>
      <c r="C333">
        <f t="shared" si="4"/>
        <v>2024</v>
      </c>
      <c r="E333" t="s">
        <v>6</v>
      </c>
      <c r="F333">
        <v>16.8795</v>
      </c>
    </row>
    <row r="334" spans="1:6" x14ac:dyDescent="0.25">
      <c r="A334" t="s">
        <v>14</v>
      </c>
      <c r="B334" s="7">
        <v>45413</v>
      </c>
      <c r="C334">
        <f t="shared" si="4"/>
        <v>2024</v>
      </c>
      <c r="E334" t="s">
        <v>6</v>
      </c>
      <c r="F334">
        <v>17.455200000000001</v>
      </c>
    </row>
    <row r="335" spans="1:6" x14ac:dyDescent="0.25">
      <c r="A335" t="s">
        <v>14</v>
      </c>
      <c r="B335" s="7">
        <v>45425</v>
      </c>
      <c r="C335">
        <f t="shared" si="4"/>
        <v>2024</v>
      </c>
      <c r="E335" t="s">
        <v>6</v>
      </c>
      <c r="F335">
        <v>17.835600000000003</v>
      </c>
    </row>
    <row r="336" spans="1:6" x14ac:dyDescent="0.25">
      <c r="A336" t="s">
        <v>14</v>
      </c>
      <c r="B336" s="7">
        <v>45439</v>
      </c>
      <c r="C336">
        <f t="shared" si="4"/>
        <v>2024</v>
      </c>
      <c r="E336" t="s">
        <v>6</v>
      </c>
      <c r="F336">
        <v>15.45</v>
      </c>
    </row>
    <row r="337" spans="1:6" x14ac:dyDescent="0.25">
      <c r="A337" t="s">
        <v>14</v>
      </c>
      <c r="B337" s="7">
        <v>45454</v>
      </c>
      <c r="C337">
        <f t="shared" si="4"/>
        <v>2024</v>
      </c>
      <c r="E337" t="s">
        <v>6</v>
      </c>
      <c r="F337">
        <v>17.71</v>
      </c>
    </row>
    <row r="338" spans="1:6" x14ac:dyDescent="0.25">
      <c r="A338" t="s">
        <v>14</v>
      </c>
      <c r="B338" s="7">
        <v>42387</v>
      </c>
      <c r="C338">
        <f t="shared" si="4"/>
        <v>2016</v>
      </c>
      <c r="E338" t="s">
        <v>6</v>
      </c>
      <c r="F338">
        <v>4.4104000000000001</v>
      </c>
    </row>
    <row r="339" spans="1:6" x14ac:dyDescent="0.25">
      <c r="A339" t="s">
        <v>14</v>
      </c>
      <c r="B339" s="7">
        <v>42387</v>
      </c>
      <c r="C339">
        <f t="shared" si="4"/>
        <v>2016</v>
      </c>
      <c r="E339" t="s">
        <v>6</v>
      </c>
      <c r="F339">
        <v>4.0226999999999995</v>
      </c>
    </row>
    <row r="340" spans="1:6" x14ac:dyDescent="0.25">
      <c r="A340" t="s">
        <v>14</v>
      </c>
      <c r="B340" s="7">
        <v>42423</v>
      </c>
      <c r="C340">
        <f t="shared" si="4"/>
        <v>2016</v>
      </c>
      <c r="E340" t="s">
        <v>6</v>
      </c>
      <c r="F340">
        <v>8.7792000000000012</v>
      </c>
    </row>
    <row r="341" spans="1:6" x14ac:dyDescent="0.25">
      <c r="A341" t="s">
        <v>14</v>
      </c>
      <c r="B341" s="7">
        <v>42423</v>
      </c>
      <c r="C341">
        <f t="shared" si="4"/>
        <v>2016</v>
      </c>
      <c r="E341" t="s">
        <v>6</v>
      </c>
      <c r="F341">
        <v>10.1983</v>
      </c>
    </row>
    <row r="342" spans="1:6" x14ac:dyDescent="0.25">
      <c r="A342" t="s">
        <v>14</v>
      </c>
      <c r="B342" s="7">
        <v>42437</v>
      </c>
      <c r="C342">
        <f t="shared" si="4"/>
        <v>2016</v>
      </c>
      <c r="E342" t="s">
        <v>6</v>
      </c>
      <c r="F342">
        <v>10.6396</v>
      </c>
    </row>
    <row r="343" spans="1:6" x14ac:dyDescent="0.25">
      <c r="A343" t="s">
        <v>14</v>
      </c>
      <c r="B343" s="7">
        <v>42437</v>
      </c>
      <c r="C343">
        <f t="shared" si="4"/>
        <v>2016</v>
      </c>
      <c r="E343" t="s">
        <v>6</v>
      </c>
      <c r="F343">
        <v>12.566400000000002</v>
      </c>
    </row>
    <row r="344" spans="1:6" x14ac:dyDescent="0.25">
      <c r="A344" t="s">
        <v>14</v>
      </c>
      <c r="B344" s="7">
        <v>42451</v>
      </c>
      <c r="C344">
        <f t="shared" si="4"/>
        <v>2016</v>
      </c>
      <c r="E344" t="s">
        <v>6</v>
      </c>
      <c r="F344">
        <v>13.1417</v>
      </c>
    </row>
    <row r="345" spans="1:6" x14ac:dyDescent="0.25">
      <c r="A345" t="s">
        <v>14</v>
      </c>
      <c r="B345" s="7">
        <v>42451</v>
      </c>
      <c r="C345">
        <f t="shared" si="4"/>
        <v>2016</v>
      </c>
      <c r="E345" t="s">
        <v>6</v>
      </c>
      <c r="F345">
        <v>15.063899999999999</v>
      </c>
    </row>
    <row r="346" spans="1:6" x14ac:dyDescent="0.25">
      <c r="A346" t="s">
        <v>14</v>
      </c>
      <c r="B346" s="7">
        <v>42466</v>
      </c>
      <c r="C346">
        <f t="shared" si="4"/>
        <v>2016</v>
      </c>
      <c r="E346" t="s">
        <v>6</v>
      </c>
      <c r="F346">
        <v>13.760500000000002</v>
      </c>
    </row>
    <row r="347" spans="1:6" x14ac:dyDescent="0.25">
      <c r="A347" t="s">
        <v>14</v>
      </c>
      <c r="B347" s="7">
        <v>42467</v>
      </c>
      <c r="C347">
        <f t="shared" si="4"/>
        <v>2016</v>
      </c>
      <c r="E347" t="s">
        <v>6</v>
      </c>
      <c r="F347">
        <v>17.350200000000001</v>
      </c>
    </row>
    <row r="348" spans="1:6" x14ac:dyDescent="0.25">
      <c r="A348" t="s">
        <v>14</v>
      </c>
      <c r="B348" s="7">
        <v>42474</v>
      </c>
      <c r="C348">
        <f t="shared" si="4"/>
        <v>2016</v>
      </c>
      <c r="E348" t="s">
        <v>6</v>
      </c>
      <c r="F348">
        <v>17.640900000000002</v>
      </c>
    </row>
    <row r="349" spans="1:6" x14ac:dyDescent="0.25">
      <c r="A349" t="s">
        <v>14</v>
      </c>
      <c r="B349" s="7">
        <v>42475</v>
      </c>
      <c r="C349">
        <f t="shared" si="4"/>
        <v>2016</v>
      </c>
      <c r="E349" t="s">
        <v>6</v>
      </c>
      <c r="F349">
        <v>15.382400000000001</v>
      </c>
    </row>
    <row r="350" spans="1:6" x14ac:dyDescent="0.25">
      <c r="A350" t="s">
        <v>14</v>
      </c>
      <c r="B350" s="7">
        <v>42482</v>
      </c>
      <c r="C350">
        <f t="shared" si="4"/>
        <v>2016</v>
      </c>
      <c r="E350" t="s">
        <v>6</v>
      </c>
      <c r="F350">
        <v>15.494999999999999</v>
      </c>
    </row>
    <row r="351" spans="1:6" x14ac:dyDescent="0.25">
      <c r="A351" t="s">
        <v>14</v>
      </c>
      <c r="B351" s="7">
        <v>42482</v>
      </c>
      <c r="C351">
        <f t="shared" si="4"/>
        <v>2016</v>
      </c>
      <c r="E351" t="s">
        <v>6</v>
      </c>
      <c r="F351">
        <v>18.595199999999998</v>
      </c>
    </row>
    <row r="352" spans="1:6" x14ac:dyDescent="0.25">
      <c r="A352" t="s">
        <v>14</v>
      </c>
      <c r="B352" s="7">
        <v>42486</v>
      </c>
      <c r="C352">
        <f t="shared" si="4"/>
        <v>2016</v>
      </c>
      <c r="E352" t="s">
        <v>6</v>
      </c>
      <c r="F352">
        <v>16.027000000000001</v>
      </c>
    </row>
    <row r="353" spans="1:6" x14ac:dyDescent="0.25">
      <c r="A353" t="s">
        <v>14</v>
      </c>
      <c r="B353" s="7">
        <v>42486</v>
      </c>
      <c r="C353">
        <f t="shared" si="4"/>
        <v>2016</v>
      </c>
      <c r="E353" t="s">
        <v>6</v>
      </c>
      <c r="F353">
        <v>17.986799999999999</v>
      </c>
    </row>
    <row r="354" spans="1:6" x14ac:dyDescent="0.25">
      <c r="A354" t="s">
        <v>14</v>
      </c>
      <c r="B354" s="7">
        <v>42493</v>
      </c>
      <c r="C354">
        <f t="shared" si="4"/>
        <v>2016</v>
      </c>
      <c r="E354" t="s">
        <v>6</v>
      </c>
      <c r="F354">
        <v>16.594899999999999</v>
      </c>
    </row>
    <row r="355" spans="1:6" x14ac:dyDescent="0.25">
      <c r="A355" t="s">
        <v>14</v>
      </c>
      <c r="B355" s="7">
        <v>42493</v>
      </c>
      <c r="C355">
        <f t="shared" si="4"/>
        <v>2016</v>
      </c>
      <c r="E355" t="s">
        <v>6</v>
      </c>
      <c r="F355">
        <v>20.163</v>
      </c>
    </row>
    <row r="356" spans="1:6" x14ac:dyDescent="0.25">
      <c r="A356" t="s">
        <v>14</v>
      </c>
      <c r="B356" s="7">
        <v>42510</v>
      </c>
      <c r="C356">
        <f t="shared" si="4"/>
        <v>2016</v>
      </c>
      <c r="E356" t="s">
        <v>6</v>
      </c>
      <c r="F356">
        <v>16.858600000000003</v>
      </c>
    </row>
    <row r="357" spans="1:6" x14ac:dyDescent="0.25">
      <c r="A357" t="s">
        <v>14</v>
      </c>
      <c r="B357" s="7">
        <v>42510</v>
      </c>
      <c r="C357">
        <f t="shared" si="4"/>
        <v>2016</v>
      </c>
      <c r="E357" t="s">
        <v>6</v>
      </c>
      <c r="F357">
        <v>20.4678</v>
      </c>
    </row>
    <row r="358" spans="1:6" x14ac:dyDescent="0.25">
      <c r="A358" t="s">
        <v>14</v>
      </c>
      <c r="B358" s="7">
        <v>42521</v>
      </c>
      <c r="C358">
        <f t="shared" si="4"/>
        <v>2016</v>
      </c>
      <c r="E358" t="s">
        <v>6</v>
      </c>
      <c r="F358">
        <v>16.424700000000001</v>
      </c>
    </row>
    <row r="359" spans="1:6" x14ac:dyDescent="0.25">
      <c r="A359" t="s">
        <v>14</v>
      </c>
      <c r="B359" s="7">
        <v>42521</v>
      </c>
      <c r="C359">
        <f t="shared" ref="C359:C422" si="5">YEAR(B359)</f>
        <v>2016</v>
      </c>
      <c r="E359" t="s">
        <v>6</v>
      </c>
      <c r="F359">
        <v>20.351600000000001</v>
      </c>
    </row>
    <row r="360" spans="1:6" x14ac:dyDescent="0.25">
      <c r="A360" t="s">
        <v>14</v>
      </c>
      <c r="B360" s="7">
        <v>42535</v>
      </c>
      <c r="C360">
        <f t="shared" si="5"/>
        <v>2016</v>
      </c>
      <c r="E360" t="s">
        <v>6</v>
      </c>
      <c r="F360">
        <v>18.032299999999999</v>
      </c>
    </row>
    <row r="361" spans="1:6" x14ac:dyDescent="0.25">
      <c r="A361" t="s">
        <v>14</v>
      </c>
      <c r="B361" s="7">
        <v>42535</v>
      </c>
      <c r="C361">
        <f t="shared" si="5"/>
        <v>2016</v>
      </c>
      <c r="E361" t="s">
        <v>6</v>
      </c>
      <c r="F361">
        <v>20.246400000000005</v>
      </c>
    </row>
    <row r="362" spans="1:6" x14ac:dyDescent="0.25">
      <c r="A362" t="s">
        <v>14</v>
      </c>
      <c r="B362" s="7">
        <v>42752</v>
      </c>
      <c r="C362">
        <f t="shared" si="5"/>
        <v>2017</v>
      </c>
      <c r="E362" t="s">
        <v>6</v>
      </c>
      <c r="F362">
        <v>5.5297999999999989</v>
      </c>
    </row>
    <row r="363" spans="1:6" x14ac:dyDescent="0.25">
      <c r="A363" t="s">
        <v>14</v>
      </c>
      <c r="B363" s="7">
        <v>42752</v>
      </c>
      <c r="C363">
        <f t="shared" si="5"/>
        <v>2017</v>
      </c>
      <c r="E363" t="s">
        <v>6</v>
      </c>
      <c r="F363">
        <v>3.9312</v>
      </c>
    </row>
    <row r="364" spans="1:6" x14ac:dyDescent="0.25">
      <c r="A364" t="s">
        <v>14</v>
      </c>
      <c r="B364" s="7">
        <v>42787</v>
      </c>
      <c r="C364">
        <f t="shared" si="5"/>
        <v>2017</v>
      </c>
      <c r="E364" t="s">
        <v>6</v>
      </c>
      <c r="F364">
        <v>11.007999999999999</v>
      </c>
    </row>
    <row r="365" spans="1:6" x14ac:dyDescent="0.25">
      <c r="A365" t="s">
        <v>14</v>
      </c>
      <c r="B365" s="7">
        <v>42787</v>
      </c>
      <c r="C365">
        <f t="shared" si="5"/>
        <v>2017</v>
      </c>
      <c r="E365" t="s">
        <v>6</v>
      </c>
      <c r="F365">
        <v>9.4163999999999994</v>
      </c>
    </row>
    <row r="366" spans="1:6" x14ac:dyDescent="0.25">
      <c r="A366" t="s">
        <v>14</v>
      </c>
      <c r="B366" s="7">
        <v>42801</v>
      </c>
      <c r="C366">
        <f t="shared" si="5"/>
        <v>2017</v>
      </c>
      <c r="E366" t="s">
        <v>6</v>
      </c>
      <c r="F366">
        <v>13.7995</v>
      </c>
    </row>
    <row r="367" spans="1:6" x14ac:dyDescent="0.25">
      <c r="A367" t="s">
        <v>14</v>
      </c>
      <c r="B367" s="7">
        <v>42801</v>
      </c>
      <c r="C367">
        <f t="shared" si="5"/>
        <v>2017</v>
      </c>
      <c r="E367" t="s">
        <v>6</v>
      </c>
      <c r="F367">
        <v>11.226800000000001</v>
      </c>
    </row>
    <row r="368" spans="1:6" x14ac:dyDescent="0.25">
      <c r="A368" t="s">
        <v>14</v>
      </c>
      <c r="B368" s="7">
        <v>42815</v>
      </c>
      <c r="C368">
        <f t="shared" si="5"/>
        <v>2017</v>
      </c>
      <c r="E368" t="s">
        <v>6</v>
      </c>
      <c r="F368">
        <v>15.111599999999999</v>
      </c>
    </row>
    <row r="369" spans="1:6" x14ac:dyDescent="0.25">
      <c r="A369" t="s">
        <v>14</v>
      </c>
      <c r="B369" s="7">
        <v>42815</v>
      </c>
      <c r="C369">
        <f t="shared" si="5"/>
        <v>2017</v>
      </c>
      <c r="E369" t="s">
        <v>6</v>
      </c>
      <c r="F369">
        <v>12.8232</v>
      </c>
    </row>
    <row r="370" spans="1:6" x14ac:dyDescent="0.25">
      <c r="A370" t="s">
        <v>14</v>
      </c>
      <c r="B370" s="7">
        <v>42829</v>
      </c>
      <c r="C370">
        <f t="shared" si="5"/>
        <v>2017</v>
      </c>
      <c r="E370" t="s">
        <v>6</v>
      </c>
      <c r="F370">
        <v>17.962200000000003</v>
      </c>
    </row>
    <row r="371" spans="1:6" x14ac:dyDescent="0.25">
      <c r="A371" t="s">
        <v>14</v>
      </c>
      <c r="B371" s="7">
        <v>42829</v>
      </c>
      <c r="C371">
        <f t="shared" si="5"/>
        <v>2017</v>
      </c>
      <c r="E371" t="s">
        <v>6</v>
      </c>
      <c r="F371">
        <v>14.860800000000001</v>
      </c>
    </row>
    <row r="372" spans="1:6" x14ac:dyDescent="0.25">
      <c r="A372" t="s">
        <v>14</v>
      </c>
      <c r="B372" s="7">
        <v>42839</v>
      </c>
      <c r="C372">
        <f t="shared" si="5"/>
        <v>2017</v>
      </c>
      <c r="E372" t="s">
        <v>6</v>
      </c>
      <c r="F372">
        <v>17.060500000000001</v>
      </c>
    </row>
    <row r="373" spans="1:6" x14ac:dyDescent="0.25">
      <c r="A373" t="s">
        <v>14</v>
      </c>
      <c r="B373" s="7">
        <v>42839</v>
      </c>
      <c r="C373">
        <f t="shared" si="5"/>
        <v>2017</v>
      </c>
      <c r="E373" t="s">
        <v>6</v>
      </c>
      <c r="F373">
        <v>15.463800000000001</v>
      </c>
    </row>
    <row r="374" spans="1:6" x14ac:dyDescent="0.25">
      <c r="A374" t="s">
        <v>14</v>
      </c>
      <c r="B374" s="7">
        <v>42844</v>
      </c>
      <c r="C374">
        <f t="shared" si="5"/>
        <v>2017</v>
      </c>
      <c r="E374" t="s">
        <v>6</v>
      </c>
      <c r="F374">
        <v>18.667300000000001</v>
      </c>
    </row>
    <row r="375" spans="1:6" x14ac:dyDescent="0.25">
      <c r="A375" t="s">
        <v>14</v>
      </c>
      <c r="B375" s="7">
        <v>42844</v>
      </c>
      <c r="C375">
        <f t="shared" si="5"/>
        <v>2017</v>
      </c>
      <c r="E375" t="s">
        <v>6</v>
      </c>
      <c r="F375">
        <v>16.658200000000001</v>
      </c>
    </row>
    <row r="376" spans="1:6" x14ac:dyDescent="0.25">
      <c r="A376" t="s">
        <v>14</v>
      </c>
      <c r="B376" s="7">
        <v>42850</v>
      </c>
      <c r="C376">
        <f t="shared" si="5"/>
        <v>2017</v>
      </c>
      <c r="E376" t="s">
        <v>6</v>
      </c>
      <c r="F376">
        <v>16.6402</v>
      </c>
    </row>
    <row r="377" spans="1:6" x14ac:dyDescent="0.25">
      <c r="A377" t="s">
        <v>14</v>
      </c>
      <c r="B377" s="7">
        <v>42853</v>
      </c>
      <c r="C377">
        <f t="shared" si="5"/>
        <v>2017</v>
      </c>
      <c r="E377" t="s">
        <v>6</v>
      </c>
      <c r="F377">
        <v>19.811399999999999</v>
      </c>
    </row>
    <row r="378" spans="1:6" x14ac:dyDescent="0.25">
      <c r="A378" t="s">
        <v>14</v>
      </c>
      <c r="B378" s="7">
        <v>42858</v>
      </c>
      <c r="C378">
        <f t="shared" si="5"/>
        <v>2017</v>
      </c>
      <c r="E378" t="s">
        <v>6</v>
      </c>
      <c r="F378">
        <v>19.400500000000001</v>
      </c>
    </row>
    <row r="379" spans="1:6" x14ac:dyDescent="0.25">
      <c r="A379" t="s">
        <v>14</v>
      </c>
      <c r="B379" s="7">
        <v>42858</v>
      </c>
      <c r="C379">
        <f t="shared" si="5"/>
        <v>2017</v>
      </c>
      <c r="E379" t="s">
        <v>6</v>
      </c>
      <c r="F379">
        <v>16.364999999999998</v>
      </c>
    </row>
    <row r="380" spans="1:6" x14ac:dyDescent="0.25">
      <c r="A380" t="s">
        <v>14</v>
      </c>
      <c r="B380" s="7">
        <v>42871</v>
      </c>
      <c r="C380">
        <f t="shared" si="5"/>
        <v>2017</v>
      </c>
      <c r="E380" t="s">
        <v>6</v>
      </c>
      <c r="F380">
        <v>20.764800000000001</v>
      </c>
    </row>
    <row r="381" spans="1:6" x14ac:dyDescent="0.25">
      <c r="A381" t="s">
        <v>14</v>
      </c>
      <c r="B381" s="7">
        <v>42871</v>
      </c>
      <c r="C381">
        <f t="shared" si="5"/>
        <v>2017</v>
      </c>
      <c r="E381" t="s">
        <v>6</v>
      </c>
      <c r="F381">
        <v>19.067399999999999</v>
      </c>
    </row>
    <row r="382" spans="1:6" x14ac:dyDescent="0.25">
      <c r="A382" t="s">
        <v>14</v>
      </c>
      <c r="B382" s="7">
        <v>42885</v>
      </c>
      <c r="C382">
        <f t="shared" si="5"/>
        <v>2017</v>
      </c>
      <c r="E382" t="s">
        <v>6</v>
      </c>
      <c r="F382">
        <v>20.5335</v>
      </c>
    </row>
    <row r="383" spans="1:6" x14ac:dyDescent="0.25">
      <c r="A383" t="s">
        <v>14</v>
      </c>
      <c r="B383" s="7">
        <v>42885</v>
      </c>
      <c r="C383">
        <f t="shared" si="5"/>
        <v>2017</v>
      </c>
      <c r="E383" t="s">
        <v>6</v>
      </c>
      <c r="F383">
        <v>19.3644</v>
      </c>
    </row>
    <row r="384" spans="1:6" x14ac:dyDescent="0.25">
      <c r="A384" t="s">
        <v>14</v>
      </c>
      <c r="B384" s="7">
        <v>42893</v>
      </c>
      <c r="C384">
        <f t="shared" si="5"/>
        <v>2017</v>
      </c>
      <c r="E384" t="s">
        <v>6</v>
      </c>
      <c r="F384">
        <v>20.930400000000006</v>
      </c>
    </row>
    <row r="385" spans="1:6" x14ac:dyDescent="0.25">
      <c r="A385" t="s">
        <v>14</v>
      </c>
      <c r="B385" s="7">
        <v>42893</v>
      </c>
      <c r="C385">
        <f t="shared" si="5"/>
        <v>2017</v>
      </c>
      <c r="E385" t="s">
        <v>6</v>
      </c>
      <c r="F385">
        <v>18.645</v>
      </c>
    </row>
    <row r="386" spans="1:6" x14ac:dyDescent="0.25">
      <c r="A386" t="s">
        <v>14</v>
      </c>
      <c r="B386" s="7">
        <v>42907</v>
      </c>
      <c r="C386">
        <f t="shared" si="5"/>
        <v>2017</v>
      </c>
      <c r="E386" t="s">
        <v>6</v>
      </c>
      <c r="F386">
        <v>20.050700000000003</v>
      </c>
    </row>
    <row r="387" spans="1:6" x14ac:dyDescent="0.25">
      <c r="A387" t="s">
        <v>14</v>
      </c>
      <c r="B387" s="7">
        <v>42907</v>
      </c>
      <c r="C387">
        <f t="shared" si="5"/>
        <v>2017</v>
      </c>
      <c r="E387" t="s">
        <v>6</v>
      </c>
      <c r="F387">
        <v>19.302800000000001</v>
      </c>
    </row>
    <row r="388" spans="1:6" x14ac:dyDescent="0.25">
      <c r="A388" t="s">
        <v>14</v>
      </c>
      <c r="B388" s="7">
        <v>43116</v>
      </c>
      <c r="C388">
        <f t="shared" si="5"/>
        <v>2018</v>
      </c>
      <c r="E388" t="s">
        <v>6</v>
      </c>
      <c r="F388">
        <v>4.8048000000000002</v>
      </c>
    </row>
    <row r="389" spans="1:6" x14ac:dyDescent="0.25">
      <c r="A389" t="s">
        <v>14</v>
      </c>
      <c r="B389" s="7">
        <v>43116</v>
      </c>
      <c r="C389">
        <f t="shared" si="5"/>
        <v>2018</v>
      </c>
      <c r="E389" t="s">
        <v>6</v>
      </c>
      <c r="F389">
        <v>3.8827999999999996</v>
      </c>
    </row>
    <row r="390" spans="1:6" x14ac:dyDescent="0.25">
      <c r="A390" t="s">
        <v>14</v>
      </c>
      <c r="B390" s="7">
        <v>43151</v>
      </c>
      <c r="C390">
        <f t="shared" si="5"/>
        <v>2018</v>
      </c>
      <c r="E390" t="s">
        <v>6</v>
      </c>
      <c r="F390">
        <v>10.344599999999998</v>
      </c>
    </row>
    <row r="391" spans="1:6" x14ac:dyDescent="0.25">
      <c r="A391" t="s">
        <v>14</v>
      </c>
      <c r="B391" s="7">
        <v>43151</v>
      </c>
      <c r="C391">
        <f t="shared" si="5"/>
        <v>2018</v>
      </c>
      <c r="E391" t="s">
        <v>6</v>
      </c>
      <c r="F391">
        <v>9.0858000000000008</v>
      </c>
    </row>
    <row r="392" spans="1:6" x14ac:dyDescent="0.25">
      <c r="A392" t="s">
        <v>14</v>
      </c>
      <c r="B392" s="7">
        <v>43165</v>
      </c>
      <c r="C392">
        <f t="shared" si="5"/>
        <v>2018</v>
      </c>
      <c r="E392" t="s">
        <v>6</v>
      </c>
      <c r="F392">
        <v>12.855700000000002</v>
      </c>
    </row>
    <row r="393" spans="1:6" x14ac:dyDescent="0.25">
      <c r="A393" t="s">
        <v>14</v>
      </c>
      <c r="B393" s="7">
        <v>43165</v>
      </c>
      <c r="C393">
        <f t="shared" si="5"/>
        <v>2018</v>
      </c>
      <c r="E393" t="s">
        <v>6</v>
      </c>
      <c r="F393">
        <v>11.650799999999998</v>
      </c>
    </row>
    <row r="394" spans="1:6" x14ac:dyDescent="0.25">
      <c r="A394" t="s">
        <v>14</v>
      </c>
      <c r="B394" s="7">
        <v>43179</v>
      </c>
      <c r="C394">
        <f t="shared" si="5"/>
        <v>2018</v>
      </c>
      <c r="E394" t="s">
        <v>6</v>
      </c>
      <c r="F394">
        <v>14.632400000000001</v>
      </c>
    </row>
    <row r="395" spans="1:6" x14ac:dyDescent="0.25">
      <c r="A395" t="s">
        <v>14</v>
      </c>
      <c r="B395" s="7">
        <v>43179</v>
      </c>
      <c r="C395">
        <f t="shared" si="5"/>
        <v>2018</v>
      </c>
      <c r="E395" t="s">
        <v>6</v>
      </c>
      <c r="F395">
        <v>13.244699999999998</v>
      </c>
    </row>
    <row r="396" spans="1:6" x14ac:dyDescent="0.25">
      <c r="A396" t="s">
        <v>14</v>
      </c>
      <c r="B396" s="7">
        <v>43195</v>
      </c>
      <c r="C396">
        <f t="shared" si="5"/>
        <v>2018</v>
      </c>
      <c r="E396" t="s">
        <v>6</v>
      </c>
      <c r="F396">
        <v>16.777199999999997</v>
      </c>
    </row>
    <row r="397" spans="1:6" x14ac:dyDescent="0.25">
      <c r="A397" t="s">
        <v>14</v>
      </c>
      <c r="B397" s="7">
        <v>43195</v>
      </c>
      <c r="C397">
        <f t="shared" si="5"/>
        <v>2018</v>
      </c>
      <c r="E397" t="s">
        <v>6</v>
      </c>
      <c r="F397">
        <v>15.1228</v>
      </c>
    </row>
    <row r="398" spans="1:6" x14ac:dyDescent="0.25">
      <c r="A398" t="s">
        <v>14</v>
      </c>
      <c r="B398" s="7">
        <v>43201</v>
      </c>
      <c r="C398">
        <f t="shared" si="5"/>
        <v>2018</v>
      </c>
      <c r="E398" t="s">
        <v>6</v>
      </c>
      <c r="F398">
        <v>17.513000000000002</v>
      </c>
    </row>
    <row r="399" spans="1:6" x14ac:dyDescent="0.25">
      <c r="A399" t="s">
        <v>14</v>
      </c>
      <c r="B399" s="7">
        <v>43201</v>
      </c>
      <c r="C399">
        <f t="shared" si="5"/>
        <v>2018</v>
      </c>
      <c r="E399" t="s">
        <v>6</v>
      </c>
      <c r="F399">
        <v>15.6104</v>
      </c>
    </row>
    <row r="400" spans="1:6" x14ac:dyDescent="0.25">
      <c r="A400" t="s">
        <v>14</v>
      </c>
      <c r="B400" s="7">
        <v>43209</v>
      </c>
      <c r="C400">
        <f t="shared" si="5"/>
        <v>2018</v>
      </c>
      <c r="E400" t="s">
        <v>6</v>
      </c>
      <c r="F400">
        <v>18.920000000000002</v>
      </c>
    </row>
    <row r="401" spans="1:6" x14ac:dyDescent="0.25">
      <c r="A401" t="s">
        <v>14</v>
      </c>
      <c r="B401" s="7">
        <v>43209</v>
      </c>
      <c r="C401">
        <f t="shared" si="5"/>
        <v>2018</v>
      </c>
      <c r="E401" t="s">
        <v>6</v>
      </c>
      <c r="F401">
        <v>15.888</v>
      </c>
    </row>
    <row r="402" spans="1:6" x14ac:dyDescent="0.25">
      <c r="A402" t="s">
        <v>14</v>
      </c>
      <c r="B402" s="7">
        <v>43215</v>
      </c>
      <c r="C402">
        <f t="shared" si="5"/>
        <v>2018</v>
      </c>
      <c r="E402" t="s">
        <v>6</v>
      </c>
      <c r="F402">
        <v>19.357200000000002</v>
      </c>
    </row>
    <row r="403" spans="1:6" x14ac:dyDescent="0.25">
      <c r="A403" t="s">
        <v>14</v>
      </c>
      <c r="B403" s="7">
        <v>43215</v>
      </c>
      <c r="C403">
        <f t="shared" si="5"/>
        <v>2018</v>
      </c>
      <c r="E403" t="s">
        <v>6</v>
      </c>
      <c r="F403">
        <v>17.024000000000001</v>
      </c>
    </row>
    <row r="404" spans="1:6" x14ac:dyDescent="0.25">
      <c r="A404" t="s">
        <v>14</v>
      </c>
      <c r="B404" s="7">
        <v>43221</v>
      </c>
      <c r="C404">
        <f t="shared" si="5"/>
        <v>2018</v>
      </c>
      <c r="E404" t="s">
        <v>6</v>
      </c>
      <c r="F404">
        <v>20.462399999999999</v>
      </c>
    </row>
    <row r="405" spans="1:6" x14ac:dyDescent="0.25">
      <c r="A405" t="s">
        <v>14</v>
      </c>
      <c r="B405" s="7">
        <v>43221</v>
      </c>
      <c r="C405">
        <f t="shared" si="5"/>
        <v>2018</v>
      </c>
      <c r="E405" t="s">
        <v>6</v>
      </c>
      <c r="F405">
        <v>18.094000000000001</v>
      </c>
    </row>
    <row r="406" spans="1:6" x14ac:dyDescent="0.25">
      <c r="A406" t="s">
        <v>14</v>
      </c>
      <c r="B406" s="7">
        <v>43235</v>
      </c>
      <c r="C406">
        <f t="shared" si="5"/>
        <v>2018</v>
      </c>
      <c r="E406" t="s">
        <v>6</v>
      </c>
      <c r="F406">
        <v>20.833099999999998</v>
      </c>
    </row>
    <row r="407" spans="1:6" x14ac:dyDescent="0.25">
      <c r="A407" t="s">
        <v>14</v>
      </c>
      <c r="B407" s="7">
        <v>43235</v>
      </c>
      <c r="C407">
        <f t="shared" si="5"/>
        <v>2018</v>
      </c>
      <c r="E407" t="s">
        <v>6</v>
      </c>
      <c r="F407">
        <v>17.977800000000002</v>
      </c>
    </row>
    <row r="408" spans="1:6" x14ac:dyDescent="0.25">
      <c r="A408" t="s">
        <v>14</v>
      </c>
      <c r="B408" s="7">
        <v>43249</v>
      </c>
      <c r="C408">
        <f t="shared" si="5"/>
        <v>2018</v>
      </c>
      <c r="E408" t="s">
        <v>6</v>
      </c>
      <c r="F408">
        <v>20.935199999999998</v>
      </c>
    </row>
    <row r="409" spans="1:6" x14ac:dyDescent="0.25">
      <c r="A409" t="s">
        <v>14</v>
      </c>
      <c r="B409" s="7">
        <v>43249</v>
      </c>
      <c r="C409">
        <f t="shared" si="5"/>
        <v>2018</v>
      </c>
      <c r="E409" t="s">
        <v>6</v>
      </c>
      <c r="F409">
        <v>18.2515</v>
      </c>
    </row>
    <row r="410" spans="1:6" x14ac:dyDescent="0.25">
      <c r="A410" t="s">
        <v>14</v>
      </c>
      <c r="B410" s="7">
        <v>43479</v>
      </c>
      <c r="C410">
        <f t="shared" si="5"/>
        <v>2019</v>
      </c>
      <c r="E410" t="s">
        <v>6</v>
      </c>
      <c r="F410">
        <v>3.7132999999999998</v>
      </c>
    </row>
    <row r="411" spans="1:6" x14ac:dyDescent="0.25">
      <c r="A411" t="s">
        <v>14</v>
      </c>
      <c r="B411" s="7">
        <v>43515</v>
      </c>
      <c r="C411">
        <f t="shared" si="5"/>
        <v>2019</v>
      </c>
      <c r="E411" t="s">
        <v>6</v>
      </c>
      <c r="F411">
        <v>9.0846</v>
      </c>
    </row>
    <row r="412" spans="1:6" x14ac:dyDescent="0.25">
      <c r="A412" t="s">
        <v>14</v>
      </c>
      <c r="B412" s="7">
        <v>43529</v>
      </c>
      <c r="C412">
        <f t="shared" si="5"/>
        <v>2019</v>
      </c>
      <c r="E412" t="s">
        <v>6</v>
      </c>
      <c r="F412">
        <v>11.282700000000002</v>
      </c>
    </row>
    <row r="413" spans="1:6" x14ac:dyDescent="0.25">
      <c r="A413" t="s">
        <v>14</v>
      </c>
      <c r="B413" s="7">
        <v>43543</v>
      </c>
      <c r="C413">
        <f t="shared" si="5"/>
        <v>2019</v>
      </c>
      <c r="E413" t="s">
        <v>6</v>
      </c>
      <c r="F413">
        <v>14.1492</v>
      </c>
    </row>
    <row r="414" spans="1:6" x14ac:dyDescent="0.25">
      <c r="A414" t="s">
        <v>14</v>
      </c>
      <c r="B414" s="7">
        <v>43557</v>
      </c>
      <c r="C414">
        <f t="shared" si="5"/>
        <v>2019</v>
      </c>
      <c r="E414" t="s">
        <v>6</v>
      </c>
      <c r="F414">
        <v>15.68</v>
      </c>
    </row>
    <row r="415" spans="1:6" x14ac:dyDescent="0.25">
      <c r="A415" t="s">
        <v>14</v>
      </c>
      <c r="B415" s="7">
        <v>43564</v>
      </c>
      <c r="C415">
        <f t="shared" si="5"/>
        <v>2019</v>
      </c>
      <c r="E415" t="s">
        <v>6</v>
      </c>
      <c r="F415">
        <v>16.533000000000001</v>
      </c>
    </row>
    <row r="416" spans="1:6" x14ac:dyDescent="0.25">
      <c r="A416" t="s">
        <v>14</v>
      </c>
      <c r="B416" s="7">
        <v>43570</v>
      </c>
      <c r="C416">
        <f t="shared" si="5"/>
        <v>2019</v>
      </c>
      <c r="E416" t="s">
        <v>6</v>
      </c>
      <c r="F416">
        <v>17.297200000000004</v>
      </c>
    </row>
    <row r="417" spans="1:6" x14ac:dyDescent="0.25">
      <c r="A417" t="s">
        <v>14</v>
      </c>
      <c r="B417" s="7">
        <v>43577</v>
      </c>
      <c r="C417">
        <f t="shared" si="5"/>
        <v>2019</v>
      </c>
      <c r="E417" t="s">
        <v>6</v>
      </c>
      <c r="F417">
        <v>16.7501</v>
      </c>
    </row>
    <row r="418" spans="1:6" x14ac:dyDescent="0.25">
      <c r="A418" t="s">
        <v>14</v>
      </c>
      <c r="B418" s="7">
        <v>43584</v>
      </c>
      <c r="C418">
        <f t="shared" si="5"/>
        <v>2019</v>
      </c>
      <c r="E418" t="s">
        <v>6</v>
      </c>
      <c r="F418">
        <v>16.0398</v>
      </c>
    </row>
    <row r="419" spans="1:6" x14ac:dyDescent="0.25">
      <c r="A419" t="s">
        <v>14</v>
      </c>
      <c r="B419" s="7">
        <v>43613</v>
      </c>
      <c r="C419">
        <f t="shared" si="5"/>
        <v>2019</v>
      </c>
      <c r="E419" t="s">
        <v>6</v>
      </c>
      <c r="F419">
        <v>18.956099999999999</v>
      </c>
    </row>
    <row r="420" spans="1:6" x14ac:dyDescent="0.25">
      <c r="A420" t="s">
        <v>14</v>
      </c>
      <c r="B420" s="7">
        <v>43850</v>
      </c>
      <c r="C420">
        <f t="shared" si="5"/>
        <v>2020</v>
      </c>
      <c r="E420" t="s">
        <v>6</v>
      </c>
      <c r="F420">
        <v>4.7547000000000006</v>
      </c>
    </row>
    <row r="421" spans="1:6" x14ac:dyDescent="0.25">
      <c r="A421" t="s">
        <v>14</v>
      </c>
      <c r="B421" s="7">
        <v>43880</v>
      </c>
      <c r="C421">
        <f t="shared" si="5"/>
        <v>2020</v>
      </c>
      <c r="E421" t="s">
        <v>6</v>
      </c>
      <c r="F421">
        <v>9.8704000000000001</v>
      </c>
    </row>
    <row r="422" spans="1:6" x14ac:dyDescent="0.25">
      <c r="A422" t="s">
        <v>14</v>
      </c>
      <c r="B422" s="7">
        <v>43892</v>
      </c>
      <c r="C422">
        <f t="shared" si="5"/>
        <v>2020</v>
      </c>
      <c r="E422" t="s">
        <v>6</v>
      </c>
      <c r="F422">
        <v>10.906000000000001</v>
      </c>
    </row>
    <row r="423" spans="1:6" x14ac:dyDescent="0.25">
      <c r="A423" t="s">
        <v>14</v>
      </c>
      <c r="B423" s="7">
        <v>43906</v>
      </c>
      <c r="C423">
        <f t="shared" ref="C423:C485" si="6">YEAR(B423)</f>
        <v>2020</v>
      </c>
      <c r="E423" t="s">
        <v>6</v>
      </c>
      <c r="F423">
        <v>13.64</v>
      </c>
    </row>
    <row r="424" spans="1:6" x14ac:dyDescent="0.25">
      <c r="A424" t="s">
        <v>14</v>
      </c>
      <c r="B424" s="7">
        <v>43950</v>
      </c>
      <c r="C424">
        <f t="shared" si="6"/>
        <v>2020</v>
      </c>
      <c r="E424" t="s">
        <v>6</v>
      </c>
      <c r="F424">
        <v>18.305</v>
      </c>
    </row>
    <row r="425" spans="1:6" x14ac:dyDescent="0.25">
      <c r="A425" t="s">
        <v>14</v>
      </c>
      <c r="B425" s="7">
        <v>43963</v>
      </c>
      <c r="C425">
        <f t="shared" si="6"/>
        <v>2020</v>
      </c>
      <c r="E425" t="s">
        <v>6</v>
      </c>
      <c r="F425">
        <v>18.266399999999997</v>
      </c>
    </row>
    <row r="426" spans="1:6" x14ac:dyDescent="0.25">
      <c r="A426" t="s">
        <v>14</v>
      </c>
      <c r="B426" s="7">
        <v>43977</v>
      </c>
      <c r="C426">
        <f t="shared" si="6"/>
        <v>2020</v>
      </c>
      <c r="E426" t="s">
        <v>6</v>
      </c>
      <c r="F426">
        <v>17.912400000000002</v>
      </c>
    </row>
    <row r="427" spans="1:6" x14ac:dyDescent="0.25">
      <c r="A427" t="s">
        <v>14</v>
      </c>
      <c r="B427" s="7">
        <v>44223</v>
      </c>
      <c r="C427">
        <f t="shared" si="6"/>
        <v>2021</v>
      </c>
      <c r="E427" t="s">
        <v>6</v>
      </c>
      <c r="F427">
        <v>6.2172349019108983</v>
      </c>
    </row>
    <row r="428" spans="1:6" x14ac:dyDescent="0.25">
      <c r="A428" t="s">
        <v>14</v>
      </c>
      <c r="B428" s="7">
        <v>44244</v>
      </c>
      <c r="C428">
        <f t="shared" si="6"/>
        <v>2021</v>
      </c>
      <c r="E428" t="s">
        <v>6</v>
      </c>
      <c r="F428">
        <v>8.8543295541579354</v>
      </c>
    </row>
    <row r="429" spans="1:6" x14ac:dyDescent="0.25">
      <c r="A429" t="s">
        <v>14</v>
      </c>
      <c r="B429" s="7">
        <v>44258</v>
      </c>
      <c r="C429">
        <f t="shared" si="6"/>
        <v>2021</v>
      </c>
      <c r="E429" t="s">
        <v>6</v>
      </c>
      <c r="F429">
        <v>11.907888730774177</v>
      </c>
    </row>
    <row r="430" spans="1:6" x14ac:dyDescent="0.25">
      <c r="A430" t="s">
        <v>14</v>
      </c>
      <c r="B430" s="7">
        <v>44272</v>
      </c>
      <c r="C430">
        <f t="shared" si="6"/>
        <v>2021</v>
      </c>
      <c r="E430" t="s">
        <v>6</v>
      </c>
      <c r="F430">
        <v>13.959946145677179</v>
      </c>
    </row>
    <row r="431" spans="1:6" x14ac:dyDescent="0.25">
      <c r="A431" t="s">
        <v>14</v>
      </c>
      <c r="B431" s="7">
        <v>44286</v>
      </c>
      <c r="C431">
        <f t="shared" si="6"/>
        <v>2021</v>
      </c>
      <c r="E431" t="s">
        <v>6</v>
      </c>
      <c r="F431">
        <v>15.94766682715896</v>
      </c>
    </row>
    <row r="432" spans="1:6" x14ac:dyDescent="0.25">
      <c r="A432" t="s">
        <v>14</v>
      </c>
      <c r="B432" s="7">
        <v>44300</v>
      </c>
      <c r="C432">
        <f t="shared" si="6"/>
        <v>2021</v>
      </c>
      <c r="E432" t="s">
        <v>6</v>
      </c>
      <c r="F432">
        <v>16.847079172988892</v>
      </c>
    </row>
    <row r="433" spans="1:6" x14ac:dyDescent="0.25">
      <c r="A433" t="s">
        <v>14</v>
      </c>
      <c r="B433" s="7">
        <v>44307</v>
      </c>
      <c r="C433">
        <f t="shared" si="6"/>
        <v>2021</v>
      </c>
      <c r="E433" t="s">
        <v>6</v>
      </c>
      <c r="F433">
        <v>17.673615128971232</v>
      </c>
    </row>
    <row r="434" spans="1:6" x14ac:dyDescent="0.25">
      <c r="A434" t="s">
        <v>14</v>
      </c>
      <c r="B434" s="7">
        <v>44315</v>
      </c>
      <c r="C434">
        <f t="shared" si="6"/>
        <v>2021</v>
      </c>
      <c r="E434" t="s">
        <v>6</v>
      </c>
      <c r="F434">
        <v>17.494817081223879</v>
      </c>
    </row>
    <row r="435" spans="1:6" x14ac:dyDescent="0.25">
      <c r="A435" t="s">
        <v>14</v>
      </c>
      <c r="B435" s="7">
        <v>44321</v>
      </c>
      <c r="C435">
        <f t="shared" si="6"/>
        <v>2021</v>
      </c>
      <c r="E435" t="s">
        <v>6</v>
      </c>
      <c r="F435">
        <v>19.714894814967227</v>
      </c>
    </row>
    <row r="436" spans="1:6" x14ac:dyDescent="0.25">
      <c r="A436" t="s">
        <v>14</v>
      </c>
      <c r="B436" s="7">
        <v>44335</v>
      </c>
      <c r="C436">
        <f t="shared" si="6"/>
        <v>2021</v>
      </c>
      <c r="E436" t="s">
        <v>6</v>
      </c>
      <c r="F436">
        <v>19.764897653038307</v>
      </c>
    </row>
    <row r="437" spans="1:6" x14ac:dyDescent="0.25">
      <c r="A437" t="s">
        <v>14</v>
      </c>
      <c r="B437" s="7">
        <v>44348</v>
      </c>
      <c r="C437">
        <f t="shared" si="6"/>
        <v>2021</v>
      </c>
      <c r="E437" t="s">
        <v>6</v>
      </c>
      <c r="F437">
        <v>20.837102416927618</v>
      </c>
    </row>
    <row r="438" spans="1:6" x14ac:dyDescent="0.25">
      <c r="A438" t="s">
        <v>14</v>
      </c>
      <c r="B438" s="7">
        <v>42386</v>
      </c>
      <c r="C438">
        <f t="shared" si="6"/>
        <v>2016</v>
      </c>
      <c r="E438" t="s">
        <v>6</v>
      </c>
      <c r="F438">
        <v>4.0968</v>
      </c>
    </row>
    <row r="439" spans="1:6" x14ac:dyDescent="0.25">
      <c r="A439" t="s">
        <v>14</v>
      </c>
      <c r="B439" s="7">
        <v>42424</v>
      </c>
      <c r="C439">
        <f t="shared" si="6"/>
        <v>2016</v>
      </c>
      <c r="E439" t="s">
        <v>6</v>
      </c>
      <c r="F439">
        <v>10.3124</v>
      </c>
    </row>
    <row r="440" spans="1:6" x14ac:dyDescent="0.25">
      <c r="A440" t="s">
        <v>14</v>
      </c>
      <c r="B440" s="7">
        <v>42439</v>
      </c>
      <c r="C440">
        <f t="shared" si="6"/>
        <v>2016</v>
      </c>
      <c r="E440" t="s">
        <v>6</v>
      </c>
      <c r="F440">
        <v>13.636800000000001</v>
      </c>
    </row>
    <row r="441" spans="1:6" x14ac:dyDescent="0.25">
      <c r="A441" t="s">
        <v>14</v>
      </c>
      <c r="B441" s="7">
        <v>42452</v>
      </c>
      <c r="C441">
        <f t="shared" si="6"/>
        <v>2016</v>
      </c>
      <c r="E441" t="s">
        <v>6</v>
      </c>
      <c r="F441">
        <v>15.061199999999999</v>
      </c>
    </row>
    <row r="442" spans="1:6" x14ac:dyDescent="0.25">
      <c r="A442" t="s">
        <v>14</v>
      </c>
      <c r="B442" s="7">
        <v>42467</v>
      </c>
      <c r="C442">
        <f t="shared" si="6"/>
        <v>2016</v>
      </c>
      <c r="E442" t="s">
        <v>6</v>
      </c>
      <c r="F442">
        <v>17.472000000000001</v>
      </c>
    </row>
    <row r="443" spans="1:6" x14ac:dyDescent="0.25">
      <c r="A443" t="s">
        <v>14</v>
      </c>
      <c r="B443" s="7">
        <v>42474</v>
      </c>
      <c r="C443">
        <f t="shared" si="6"/>
        <v>2016</v>
      </c>
      <c r="E443" t="s">
        <v>6</v>
      </c>
      <c r="F443">
        <v>17.167999999999999</v>
      </c>
    </row>
    <row r="444" spans="1:6" x14ac:dyDescent="0.25">
      <c r="A444" t="s">
        <v>14</v>
      </c>
      <c r="B444" s="7">
        <v>42482</v>
      </c>
      <c r="C444">
        <f t="shared" si="6"/>
        <v>2016</v>
      </c>
      <c r="E444" t="s">
        <v>6</v>
      </c>
      <c r="F444">
        <v>18.612000000000002</v>
      </c>
    </row>
    <row r="445" spans="1:6" x14ac:dyDescent="0.25">
      <c r="A445" t="s">
        <v>14</v>
      </c>
      <c r="B445" s="7">
        <v>42489</v>
      </c>
      <c r="C445">
        <f t="shared" si="6"/>
        <v>2016</v>
      </c>
      <c r="E445" t="s">
        <v>6</v>
      </c>
      <c r="F445">
        <v>18.392800000000001</v>
      </c>
    </row>
    <row r="446" spans="1:6" x14ac:dyDescent="0.25">
      <c r="A446" t="s">
        <v>14</v>
      </c>
      <c r="B446" s="7">
        <v>42496</v>
      </c>
      <c r="C446">
        <f t="shared" si="6"/>
        <v>2016</v>
      </c>
      <c r="E446" t="s">
        <v>6</v>
      </c>
      <c r="F446">
        <v>19.4208</v>
      </c>
    </row>
    <row r="447" spans="1:6" x14ac:dyDescent="0.25">
      <c r="A447" t="s">
        <v>14</v>
      </c>
      <c r="B447" s="7">
        <v>42510</v>
      </c>
      <c r="C447">
        <f t="shared" si="6"/>
        <v>2016</v>
      </c>
      <c r="E447" t="s">
        <v>6</v>
      </c>
      <c r="F447">
        <v>20.248800000000003</v>
      </c>
    </row>
    <row r="448" spans="1:6" x14ac:dyDescent="0.25">
      <c r="A448" t="s">
        <v>14</v>
      </c>
      <c r="B448" s="7">
        <v>42523</v>
      </c>
      <c r="C448">
        <f t="shared" si="6"/>
        <v>2016</v>
      </c>
      <c r="E448" t="s">
        <v>6</v>
      </c>
      <c r="F448">
        <v>20.370199999999997</v>
      </c>
    </row>
    <row r="449" spans="1:6" x14ac:dyDescent="0.25">
      <c r="A449" t="s">
        <v>14</v>
      </c>
      <c r="B449" s="7">
        <v>42535</v>
      </c>
      <c r="C449">
        <f t="shared" si="6"/>
        <v>2016</v>
      </c>
      <c r="E449" t="s">
        <v>6</v>
      </c>
      <c r="F449">
        <v>21.318899999999999</v>
      </c>
    </row>
    <row r="450" spans="1:6" x14ac:dyDescent="0.25">
      <c r="A450" t="s">
        <v>14</v>
      </c>
      <c r="B450" s="7">
        <v>42753</v>
      </c>
      <c r="C450">
        <f t="shared" si="6"/>
        <v>2017</v>
      </c>
      <c r="E450" t="s">
        <v>6</v>
      </c>
      <c r="F450">
        <v>5.1040000000000001</v>
      </c>
    </row>
    <row r="451" spans="1:6" x14ac:dyDescent="0.25">
      <c r="A451" t="s">
        <v>14</v>
      </c>
      <c r="B451" s="7">
        <v>42789</v>
      </c>
      <c r="C451">
        <f t="shared" si="6"/>
        <v>2017</v>
      </c>
      <c r="E451" t="s">
        <v>6</v>
      </c>
      <c r="F451">
        <v>11.519600000000001</v>
      </c>
    </row>
    <row r="452" spans="1:6" x14ac:dyDescent="0.25">
      <c r="A452" t="s">
        <v>14</v>
      </c>
      <c r="B452" s="7">
        <v>42804</v>
      </c>
      <c r="C452">
        <f t="shared" si="6"/>
        <v>2017</v>
      </c>
      <c r="E452" t="s">
        <v>6</v>
      </c>
      <c r="F452">
        <v>15.008799999999999</v>
      </c>
    </row>
    <row r="453" spans="1:6" x14ac:dyDescent="0.25">
      <c r="A453" t="s">
        <v>14</v>
      </c>
      <c r="B453" s="7">
        <v>42817</v>
      </c>
      <c r="C453">
        <f t="shared" si="6"/>
        <v>2017</v>
      </c>
      <c r="E453" t="s">
        <v>6</v>
      </c>
      <c r="F453">
        <v>17.391000000000002</v>
      </c>
    </row>
    <row r="454" spans="1:6" x14ac:dyDescent="0.25">
      <c r="A454" t="s">
        <v>14</v>
      </c>
      <c r="B454" s="7">
        <v>42832</v>
      </c>
      <c r="C454">
        <f t="shared" si="6"/>
        <v>2017</v>
      </c>
      <c r="E454" t="s">
        <v>6</v>
      </c>
      <c r="F454">
        <v>19.684200000000001</v>
      </c>
    </row>
    <row r="455" spans="1:6" x14ac:dyDescent="0.25">
      <c r="A455" t="s">
        <v>14</v>
      </c>
      <c r="B455" s="7">
        <v>42838</v>
      </c>
      <c r="C455">
        <f t="shared" si="6"/>
        <v>2017</v>
      </c>
      <c r="E455" t="s">
        <v>6</v>
      </c>
      <c r="F455">
        <v>20.144000000000002</v>
      </c>
    </row>
    <row r="456" spans="1:6" x14ac:dyDescent="0.25">
      <c r="A456" t="s">
        <v>14</v>
      </c>
      <c r="B456" s="7">
        <v>42845</v>
      </c>
      <c r="C456">
        <f t="shared" si="6"/>
        <v>2017</v>
      </c>
      <c r="E456" t="s">
        <v>6</v>
      </c>
      <c r="F456">
        <v>21.559699999999999</v>
      </c>
    </row>
    <row r="457" spans="1:6" x14ac:dyDescent="0.25">
      <c r="A457" t="s">
        <v>14</v>
      </c>
      <c r="B457" s="7">
        <v>42853</v>
      </c>
      <c r="C457">
        <f t="shared" si="6"/>
        <v>2017</v>
      </c>
      <c r="E457" t="s">
        <v>6</v>
      </c>
      <c r="F457">
        <v>22.3249</v>
      </c>
    </row>
    <row r="458" spans="1:6" x14ac:dyDescent="0.25">
      <c r="A458" t="s">
        <v>14</v>
      </c>
      <c r="B458" s="7">
        <v>42859</v>
      </c>
      <c r="C458">
        <f t="shared" si="6"/>
        <v>2017</v>
      </c>
      <c r="E458" t="s">
        <v>6</v>
      </c>
      <c r="F458">
        <v>22.423000000000002</v>
      </c>
    </row>
    <row r="459" spans="1:6" x14ac:dyDescent="0.25">
      <c r="A459" t="s">
        <v>14</v>
      </c>
      <c r="B459" s="7">
        <v>42873</v>
      </c>
      <c r="C459">
        <f t="shared" si="6"/>
        <v>2017</v>
      </c>
      <c r="E459" t="s">
        <v>6</v>
      </c>
      <c r="F459">
        <v>23.824199999999998</v>
      </c>
    </row>
    <row r="460" spans="1:6" x14ac:dyDescent="0.25">
      <c r="A460" t="s">
        <v>14</v>
      </c>
      <c r="B460" s="7">
        <v>42887</v>
      </c>
      <c r="C460">
        <f t="shared" si="6"/>
        <v>2017</v>
      </c>
      <c r="E460" t="s">
        <v>6</v>
      </c>
      <c r="F460">
        <v>23.8596</v>
      </c>
    </row>
    <row r="461" spans="1:6" x14ac:dyDescent="0.25">
      <c r="A461" t="s">
        <v>14</v>
      </c>
      <c r="B461" s="7">
        <v>42894</v>
      </c>
      <c r="C461">
        <f t="shared" si="6"/>
        <v>2017</v>
      </c>
      <c r="E461" t="s">
        <v>6</v>
      </c>
      <c r="F461">
        <v>23.692900000000005</v>
      </c>
    </row>
    <row r="462" spans="1:6" x14ac:dyDescent="0.25">
      <c r="A462" t="s">
        <v>14</v>
      </c>
      <c r="B462" s="7">
        <v>42908</v>
      </c>
      <c r="C462">
        <f t="shared" si="6"/>
        <v>2017</v>
      </c>
      <c r="E462" t="s">
        <v>6</v>
      </c>
      <c r="F462">
        <v>22.8583</v>
      </c>
    </row>
    <row r="463" spans="1:6" x14ac:dyDescent="0.25">
      <c r="A463" t="s">
        <v>14</v>
      </c>
      <c r="B463" s="7">
        <v>43116</v>
      </c>
      <c r="C463">
        <f t="shared" si="6"/>
        <v>2018</v>
      </c>
      <c r="E463" t="s">
        <v>6</v>
      </c>
      <c r="F463">
        <v>4.3664999999999994</v>
      </c>
    </row>
    <row r="464" spans="1:6" x14ac:dyDescent="0.25">
      <c r="A464" t="s">
        <v>14</v>
      </c>
      <c r="B464" s="7">
        <v>43151</v>
      </c>
      <c r="C464">
        <f t="shared" si="6"/>
        <v>2018</v>
      </c>
      <c r="E464" t="s">
        <v>6</v>
      </c>
      <c r="F464">
        <v>9.3225000000000016</v>
      </c>
    </row>
    <row r="465" spans="1:6" x14ac:dyDescent="0.25">
      <c r="A465" t="s">
        <v>14</v>
      </c>
      <c r="B465" s="7">
        <v>43165</v>
      </c>
      <c r="C465">
        <f t="shared" si="6"/>
        <v>2018</v>
      </c>
      <c r="E465" t="s">
        <v>6</v>
      </c>
      <c r="F465">
        <v>12.8369</v>
      </c>
    </row>
    <row r="466" spans="1:6" x14ac:dyDescent="0.25">
      <c r="A466" t="s">
        <v>14</v>
      </c>
      <c r="B466" s="7">
        <v>43179</v>
      </c>
      <c r="C466">
        <f t="shared" si="6"/>
        <v>2018</v>
      </c>
      <c r="E466" t="s">
        <v>6</v>
      </c>
      <c r="F466">
        <v>14.657400000000001</v>
      </c>
    </row>
    <row r="467" spans="1:6" x14ac:dyDescent="0.25">
      <c r="A467" t="s">
        <v>14</v>
      </c>
      <c r="B467" s="7">
        <v>43194</v>
      </c>
      <c r="C467">
        <f t="shared" si="6"/>
        <v>2018</v>
      </c>
      <c r="E467" t="s">
        <v>6</v>
      </c>
      <c r="F467">
        <v>16.758600000000001</v>
      </c>
    </row>
    <row r="468" spans="1:6" x14ac:dyDescent="0.25">
      <c r="A468" t="s">
        <v>14</v>
      </c>
      <c r="B468" s="7">
        <v>43201</v>
      </c>
      <c r="C468">
        <f t="shared" si="6"/>
        <v>2018</v>
      </c>
      <c r="E468" t="s">
        <v>6</v>
      </c>
      <c r="F468">
        <v>17.236800000000002</v>
      </c>
    </row>
    <row r="469" spans="1:6" x14ac:dyDescent="0.25">
      <c r="A469" t="s">
        <v>14</v>
      </c>
      <c r="B469" s="7">
        <v>43209</v>
      </c>
      <c r="C469">
        <f t="shared" si="6"/>
        <v>2018</v>
      </c>
      <c r="E469" t="s">
        <v>6</v>
      </c>
      <c r="F469">
        <v>17.750700000000002</v>
      </c>
    </row>
    <row r="470" spans="1:6" x14ac:dyDescent="0.25">
      <c r="A470" t="s">
        <v>14</v>
      </c>
      <c r="B470" s="7">
        <v>43215</v>
      </c>
      <c r="C470">
        <f t="shared" si="6"/>
        <v>2018</v>
      </c>
      <c r="E470" t="s">
        <v>6</v>
      </c>
      <c r="F470">
        <v>18.916800000000002</v>
      </c>
    </row>
    <row r="471" spans="1:6" x14ac:dyDescent="0.25">
      <c r="A471" t="s">
        <v>14</v>
      </c>
      <c r="B471" s="7">
        <v>43221</v>
      </c>
      <c r="C471">
        <f t="shared" si="6"/>
        <v>2018</v>
      </c>
      <c r="E471" t="s">
        <v>6</v>
      </c>
      <c r="F471">
        <v>19.771000000000001</v>
      </c>
    </row>
    <row r="472" spans="1:6" x14ac:dyDescent="0.25">
      <c r="A472" t="s">
        <v>14</v>
      </c>
      <c r="B472" s="7">
        <v>43235</v>
      </c>
      <c r="C472">
        <f t="shared" si="6"/>
        <v>2018</v>
      </c>
      <c r="E472" t="s">
        <v>6</v>
      </c>
      <c r="F472">
        <v>19.929600000000001</v>
      </c>
    </row>
    <row r="473" spans="1:6" x14ac:dyDescent="0.25">
      <c r="A473" t="s">
        <v>14</v>
      </c>
      <c r="B473" s="7">
        <v>43249</v>
      </c>
      <c r="C473">
        <f t="shared" si="6"/>
        <v>2018</v>
      </c>
      <c r="E473" t="s">
        <v>6</v>
      </c>
      <c r="F473">
        <v>20.310400000000001</v>
      </c>
    </row>
    <row r="474" spans="1:6" x14ac:dyDescent="0.25">
      <c r="A474" t="s">
        <v>14</v>
      </c>
      <c r="B474" s="7">
        <v>43479</v>
      </c>
      <c r="C474">
        <f t="shared" si="6"/>
        <v>2019</v>
      </c>
      <c r="E474" t="s">
        <v>6</v>
      </c>
      <c r="F474">
        <v>4.1318000000000001</v>
      </c>
    </row>
    <row r="475" spans="1:6" x14ac:dyDescent="0.25">
      <c r="A475" t="s">
        <v>14</v>
      </c>
      <c r="B475" s="7">
        <v>43515</v>
      </c>
      <c r="C475">
        <f t="shared" si="6"/>
        <v>2019</v>
      </c>
      <c r="E475" t="s">
        <v>6</v>
      </c>
      <c r="F475">
        <v>9.7136999999999993</v>
      </c>
    </row>
    <row r="476" spans="1:6" x14ac:dyDescent="0.25">
      <c r="A476" t="s">
        <v>14</v>
      </c>
      <c r="B476" s="7">
        <v>43529</v>
      </c>
      <c r="C476">
        <f t="shared" si="6"/>
        <v>2019</v>
      </c>
      <c r="E476" t="s">
        <v>6</v>
      </c>
      <c r="F476">
        <v>12.059599999999998</v>
      </c>
    </row>
    <row r="477" spans="1:6" x14ac:dyDescent="0.25">
      <c r="A477" t="s">
        <v>14</v>
      </c>
      <c r="B477" s="7">
        <v>43543</v>
      </c>
      <c r="C477">
        <f t="shared" si="6"/>
        <v>2019</v>
      </c>
      <c r="E477" t="s">
        <v>6</v>
      </c>
      <c r="F477">
        <v>14.828099999999999</v>
      </c>
    </row>
    <row r="478" spans="1:6" x14ac:dyDescent="0.25">
      <c r="A478" t="s">
        <v>14</v>
      </c>
      <c r="B478" s="7">
        <v>43557</v>
      </c>
      <c r="C478">
        <f t="shared" si="6"/>
        <v>2019</v>
      </c>
      <c r="E478" t="s">
        <v>6</v>
      </c>
      <c r="F478">
        <v>17.16</v>
      </c>
    </row>
    <row r="479" spans="1:6" x14ac:dyDescent="0.25">
      <c r="A479" t="s">
        <v>14</v>
      </c>
      <c r="B479" s="7">
        <v>43564</v>
      </c>
      <c r="C479">
        <f t="shared" si="6"/>
        <v>2019</v>
      </c>
      <c r="E479" t="s">
        <v>6</v>
      </c>
      <c r="F479">
        <v>17.0183</v>
      </c>
    </row>
    <row r="480" spans="1:6" x14ac:dyDescent="0.25">
      <c r="A480" t="s">
        <v>14</v>
      </c>
      <c r="B480" s="7">
        <v>43570</v>
      </c>
      <c r="C480">
        <f t="shared" si="6"/>
        <v>2019</v>
      </c>
      <c r="E480" t="s">
        <v>6</v>
      </c>
      <c r="F480">
        <v>17.153000000000002</v>
      </c>
    </row>
    <row r="481" spans="1:6" x14ac:dyDescent="0.25">
      <c r="A481" t="s">
        <v>14</v>
      </c>
      <c r="B481" s="7">
        <v>43577</v>
      </c>
      <c r="C481">
        <f t="shared" si="6"/>
        <v>2019</v>
      </c>
      <c r="E481" t="s">
        <v>6</v>
      </c>
      <c r="F481">
        <v>18.1996</v>
      </c>
    </row>
    <row r="482" spans="1:6" x14ac:dyDescent="0.25">
      <c r="A482" t="s">
        <v>14</v>
      </c>
      <c r="B482" s="7">
        <v>43584</v>
      </c>
      <c r="C482">
        <f t="shared" si="6"/>
        <v>2019</v>
      </c>
      <c r="E482" t="s">
        <v>6</v>
      </c>
      <c r="F482">
        <v>16.344999999999999</v>
      </c>
    </row>
    <row r="483" spans="1:6" x14ac:dyDescent="0.25">
      <c r="A483" t="s">
        <v>14</v>
      </c>
      <c r="B483" s="7">
        <v>43613</v>
      </c>
      <c r="C483">
        <f t="shared" si="6"/>
        <v>2019</v>
      </c>
      <c r="E483" t="s">
        <v>6</v>
      </c>
      <c r="F483">
        <v>20.093399999999999</v>
      </c>
    </row>
    <row r="484" spans="1:6" x14ac:dyDescent="0.25">
      <c r="A484" t="s">
        <v>14</v>
      </c>
      <c r="B484" s="7">
        <v>43851</v>
      </c>
      <c r="C484">
        <f t="shared" si="6"/>
        <v>2020</v>
      </c>
      <c r="E484" t="s">
        <v>6</v>
      </c>
      <c r="F484">
        <v>5.3330999999999991</v>
      </c>
    </row>
    <row r="485" spans="1:6" x14ac:dyDescent="0.25">
      <c r="A485" t="s">
        <v>14</v>
      </c>
      <c r="B485" s="7">
        <v>43880</v>
      </c>
      <c r="C485">
        <f t="shared" si="6"/>
        <v>2020</v>
      </c>
      <c r="E485" t="s">
        <v>6</v>
      </c>
      <c r="F485">
        <v>11.4168</v>
      </c>
    </row>
    <row r="486" spans="1:6" x14ac:dyDescent="0.25">
      <c r="A486" t="s">
        <v>14</v>
      </c>
      <c r="B486" s="7">
        <v>43894</v>
      </c>
      <c r="C486">
        <f t="shared" ref="C486:C549" si="7">YEAR(B486)</f>
        <v>2020</v>
      </c>
      <c r="E486" t="s">
        <v>6</v>
      </c>
      <c r="F486">
        <v>12.3223</v>
      </c>
    </row>
    <row r="487" spans="1:6" x14ac:dyDescent="0.25">
      <c r="A487" t="s">
        <v>14</v>
      </c>
      <c r="B487" s="7">
        <v>43907</v>
      </c>
      <c r="C487">
        <f t="shared" si="7"/>
        <v>2020</v>
      </c>
      <c r="E487" t="s">
        <v>6</v>
      </c>
      <c r="F487">
        <v>15.345000000000001</v>
      </c>
    </row>
    <row r="488" spans="1:6" x14ac:dyDescent="0.25">
      <c r="A488" t="s">
        <v>14</v>
      </c>
      <c r="B488" s="7">
        <v>43951</v>
      </c>
      <c r="C488">
        <f t="shared" si="7"/>
        <v>2020</v>
      </c>
      <c r="E488" t="s">
        <v>6</v>
      </c>
      <c r="F488">
        <v>20.304000000000002</v>
      </c>
    </row>
    <row r="489" spans="1:6" x14ac:dyDescent="0.25">
      <c r="A489" t="s">
        <v>14</v>
      </c>
      <c r="B489" s="7">
        <v>43963</v>
      </c>
      <c r="C489">
        <f t="shared" si="7"/>
        <v>2020</v>
      </c>
      <c r="E489" t="s">
        <v>6</v>
      </c>
      <c r="F489">
        <v>20.374199999999998</v>
      </c>
    </row>
    <row r="490" spans="1:6" x14ac:dyDescent="0.25">
      <c r="A490" t="s">
        <v>14</v>
      </c>
      <c r="B490" s="7">
        <v>43979</v>
      </c>
      <c r="C490">
        <f t="shared" si="7"/>
        <v>2020</v>
      </c>
      <c r="E490" t="s">
        <v>6</v>
      </c>
      <c r="F490">
        <v>21.040500000000002</v>
      </c>
    </row>
    <row r="491" spans="1:6" x14ac:dyDescent="0.25">
      <c r="A491" t="s">
        <v>14</v>
      </c>
      <c r="B491" s="7">
        <v>44223</v>
      </c>
      <c r="C491">
        <f t="shared" si="7"/>
        <v>2021</v>
      </c>
      <c r="E491" t="s">
        <v>6</v>
      </c>
      <c r="F491">
        <v>6.9319183664277553</v>
      </c>
    </row>
    <row r="492" spans="1:6" x14ac:dyDescent="0.25">
      <c r="A492" t="s">
        <v>14</v>
      </c>
      <c r="B492" s="7">
        <v>44258</v>
      </c>
      <c r="C492">
        <f t="shared" si="7"/>
        <v>2021</v>
      </c>
      <c r="E492" t="s">
        <v>6</v>
      </c>
      <c r="F492">
        <v>13.780894783470638</v>
      </c>
    </row>
    <row r="493" spans="1:6" x14ac:dyDescent="0.25">
      <c r="A493" t="s">
        <v>14</v>
      </c>
      <c r="B493" s="7">
        <v>44272</v>
      </c>
      <c r="C493">
        <f t="shared" si="7"/>
        <v>2021</v>
      </c>
      <c r="E493" t="s">
        <v>6</v>
      </c>
      <c r="F493">
        <v>16.191051188890199</v>
      </c>
    </row>
    <row r="494" spans="1:6" x14ac:dyDescent="0.25">
      <c r="A494" t="s">
        <v>14</v>
      </c>
      <c r="B494" s="7">
        <v>44286</v>
      </c>
      <c r="C494">
        <f t="shared" si="7"/>
        <v>2021</v>
      </c>
      <c r="E494" t="s">
        <v>6</v>
      </c>
      <c r="F494">
        <v>17.405492056011052</v>
      </c>
    </row>
    <row r="495" spans="1:6" x14ac:dyDescent="0.25">
      <c r="A495" t="s">
        <v>14</v>
      </c>
      <c r="B495" s="7">
        <v>44300</v>
      </c>
      <c r="C495">
        <f t="shared" si="7"/>
        <v>2021</v>
      </c>
      <c r="E495" t="s">
        <v>6</v>
      </c>
      <c r="F495">
        <v>18.476749288753865</v>
      </c>
    </row>
    <row r="496" spans="1:6" x14ac:dyDescent="0.25">
      <c r="A496" t="s">
        <v>14</v>
      </c>
      <c r="B496" s="7">
        <v>44307</v>
      </c>
      <c r="C496">
        <f t="shared" si="7"/>
        <v>2021</v>
      </c>
      <c r="E496" t="s">
        <v>6</v>
      </c>
      <c r="F496">
        <v>18.760523213785294</v>
      </c>
    </row>
    <row r="497" spans="1:6" x14ac:dyDescent="0.25">
      <c r="A497" t="s">
        <v>14</v>
      </c>
      <c r="B497" s="7">
        <v>44315</v>
      </c>
      <c r="C497">
        <f t="shared" si="7"/>
        <v>2021</v>
      </c>
      <c r="E497" t="s">
        <v>6</v>
      </c>
      <c r="F497">
        <v>19.48157763281246</v>
      </c>
    </row>
    <row r="498" spans="1:6" x14ac:dyDescent="0.25">
      <c r="A498" t="s">
        <v>14</v>
      </c>
      <c r="B498" s="7">
        <v>44321</v>
      </c>
      <c r="C498">
        <f t="shared" si="7"/>
        <v>2021</v>
      </c>
      <c r="E498" t="s">
        <v>6</v>
      </c>
      <c r="F498">
        <v>17.781141937861513</v>
      </c>
    </row>
    <row r="499" spans="1:6" x14ac:dyDescent="0.25">
      <c r="A499" t="s">
        <v>14</v>
      </c>
      <c r="B499" s="7">
        <v>44335</v>
      </c>
      <c r="C499">
        <f t="shared" si="7"/>
        <v>2021</v>
      </c>
      <c r="E499" t="s">
        <v>6</v>
      </c>
      <c r="F499">
        <v>20.557990280205107</v>
      </c>
    </row>
    <row r="500" spans="1:6" x14ac:dyDescent="0.25">
      <c r="A500" t="s">
        <v>14</v>
      </c>
      <c r="B500" s="7">
        <v>44348</v>
      </c>
      <c r="C500">
        <f t="shared" si="7"/>
        <v>2021</v>
      </c>
      <c r="E500" t="s">
        <v>6</v>
      </c>
      <c r="F500">
        <v>19.39898301327348</v>
      </c>
    </row>
    <row r="501" spans="1:6" x14ac:dyDescent="0.25">
      <c r="A501" t="s">
        <v>14</v>
      </c>
      <c r="B501" s="7">
        <v>42386</v>
      </c>
      <c r="C501">
        <f t="shared" si="7"/>
        <v>2016</v>
      </c>
      <c r="E501" t="s">
        <v>6</v>
      </c>
      <c r="F501">
        <v>5.0204000000000004</v>
      </c>
    </row>
    <row r="502" spans="1:6" x14ac:dyDescent="0.25">
      <c r="A502" t="s">
        <v>14</v>
      </c>
      <c r="B502" s="7">
        <v>42386</v>
      </c>
      <c r="C502">
        <f t="shared" si="7"/>
        <v>2016</v>
      </c>
      <c r="E502" t="s">
        <v>6</v>
      </c>
      <c r="F502">
        <v>4.4855999999999998</v>
      </c>
    </row>
    <row r="503" spans="1:6" x14ac:dyDescent="0.25">
      <c r="A503" t="s">
        <v>14</v>
      </c>
      <c r="B503" s="7">
        <v>42386</v>
      </c>
      <c r="C503">
        <f t="shared" si="7"/>
        <v>2016</v>
      </c>
      <c r="E503" t="s">
        <v>6</v>
      </c>
      <c r="F503">
        <v>4.4676</v>
      </c>
    </row>
    <row r="504" spans="1:6" x14ac:dyDescent="0.25">
      <c r="A504" t="s">
        <v>14</v>
      </c>
      <c r="B504" s="7">
        <v>42389</v>
      </c>
      <c r="C504">
        <f t="shared" si="7"/>
        <v>2016</v>
      </c>
      <c r="E504" t="s">
        <v>6</v>
      </c>
      <c r="F504">
        <v>4.758</v>
      </c>
    </row>
    <row r="505" spans="1:6" x14ac:dyDescent="0.25">
      <c r="A505" t="s">
        <v>14</v>
      </c>
      <c r="B505" s="7">
        <v>42424</v>
      </c>
      <c r="C505">
        <f t="shared" si="7"/>
        <v>2016</v>
      </c>
      <c r="E505" t="s">
        <v>6</v>
      </c>
      <c r="F505">
        <v>12.196100000000001</v>
      </c>
    </row>
    <row r="506" spans="1:6" x14ac:dyDescent="0.25">
      <c r="A506" t="s">
        <v>14</v>
      </c>
      <c r="B506" s="7">
        <v>42424</v>
      </c>
      <c r="C506">
        <f t="shared" si="7"/>
        <v>2016</v>
      </c>
      <c r="E506" t="s">
        <v>6</v>
      </c>
      <c r="F506">
        <v>11.2395</v>
      </c>
    </row>
    <row r="507" spans="1:6" x14ac:dyDescent="0.25">
      <c r="A507" t="s">
        <v>14</v>
      </c>
      <c r="B507" s="7">
        <v>42424</v>
      </c>
      <c r="C507">
        <f t="shared" si="7"/>
        <v>2016</v>
      </c>
      <c r="E507" t="s">
        <v>6</v>
      </c>
      <c r="F507">
        <v>9.4307999999999996</v>
      </c>
    </row>
    <row r="508" spans="1:6" x14ac:dyDescent="0.25">
      <c r="A508" t="s">
        <v>14</v>
      </c>
      <c r="B508" s="7">
        <v>42424</v>
      </c>
      <c r="C508">
        <f t="shared" si="7"/>
        <v>2016</v>
      </c>
      <c r="E508" t="s">
        <v>6</v>
      </c>
      <c r="F508">
        <v>9.2748000000000008</v>
      </c>
    </row>
    <row r="509" spans="1:6" x14ac:dyDescent="0.25">
      <c r="A509" t="s">
        <v>14</v>
      </c>
      <c r="B509" s="7">
        <v>42438</v>
      </c>
      <c r="C509">
        <f t="shared" si="7"/>
        <v>2016</v>
      </c>
      <c r="E509" t="s">
        <v>6</v>
      </c>
      <c r="F509">
        <v>11.587200000000001</v>
      </c>
    </row>
    <row r="510" spans="1:6" x14ac:dyDescent="0.25">
      <c r="A510" t="s">
        <v>14</v>
      </c>
      <c r="B510" s="7">
        <v>42439</v>
      </c>
      <c r="C510">
        <f t="shared" si="7"/>
        <v>2016</v>
      </c>
      <c r="E510" t="s">
        <v>6</v>
      </c>
      <c r="F510">
        <v>15.09</v>
      </c>
    </row>
    <row r="511" spans="1:6" x14ac:dyDescent="0.25">
      <c r="A511" t="s">
        <v>14</v>
      </c>
      <c r="B511" s="7">
        <v>42439</v>
      </c>
      <c r="C511">
        <f t="shared" si="7"/>
        <v>2016</v>
      </c>
      <c r="E511" t="s">
        <v>6</v>
      </c>
      <c r="F511">
        <v>14.128999999999998</v>
      </c>
    </row>
    <row r="512" spans="1:6" x14ac:dyDescent="0.25">
      <c r="A512" t="s">
        <v>14</v>
      </c>
      <c r="B512" s="7">
        <v>42439</v>
      </c>
      <c r="C512">
        <f t="shared" si="7"/>
        <v>2016</v>
      </c>
      <c r="E512" t="s">
        <v>6</v>
      </c>
      <c r="F512">
        <v>11.226700000000001</v>
      </c>
    </row>
    <row r="513" spans="1:6" x14ac:dyDescent="0.25">
      <c r="A513" t="s">
        <v>14</v>
      </c>
      <c r="B513" s="7">
        <v>42452</v>
      </c>
      <c r="C513">
        <f t="shared" si="7"/>
        <v>2016</v>
      </c>
      <c r="E513" t="s">
        <v>6</v>
      </c>
      <c r="F513">
        <v>17.301000000000002</v>
      </c>
    </row>
    <row r="514" spans="1:6" x14ac:dyDescent="0.25">
      <c r="A514" t="s">
        <v>14</v>
      </c>
      <c r="B514" s="7">
        <v>42452</v>
      </c>
      <c r="C514">
        <f t="shared" si="7"/>
        <v>2016</v>
      </c>
      <c r="E514" t="s">
        <v>6</v>
      </c>
      <c r="F514">
        <v>15.54</v>
      </c>
    </row>
    <row r="515" spans="1:6" x14ac:dyDescent="0.25">
      <c r="A515" t="s">
        <v>14</v>
      </c>
      <c r="B515" s="7">
        <v>42452</v>
      </c>
      <c r="C515">
        <f t="shared" si="7"/>
        <v>2016</v>
      </c>
      <c r="E515" t="s">
        <v>6</v>
      </c>
      <c r="F515">
        <v>13.2258</v>
      </c>
    </row>
    <row r="516" spans="1:6" x14ac:dyDescent="0.25">
      <c r="A516" t="s">
        <v>14</v>
      </c>
      <c r="B516" s="7">
        <v>42452</v>
      </c>
      <c r="C516">
        <f t="shared" si="7"/>
        <v>2016</v>
      </c>
      <c r="E516" t="s">
        <v>6</v>
      </c>
      <c r="F516">
        <v>13.281999999999998</v>
      </c>
    </row>
    <row r="517" spans="1:6" x14ac:dyDescent="0.25">
      <c r="A517" t="s">
        <v>14</v>
      </c>
      <c r="B517" s="7">
        <v>42467</v>
      </c>
      <c r="C517">
        <f t="shared" si="7"/>
        <v>2016</v>
      </c>
      <c r="E517" t="s">
        <v>6</v>
      </c>
      <c r="F517">
        <v>19.822900000000001</v>
      </c>
    </row>
    <row r="518" spans="1:6" x14ac:dyDescent="0.25">
      <c r="A518" t="s">
        <v>14</v>
      </c>
      <c r="B518" s="7">
        <v>42467</v>
      </c>
      <c r="C518">
        <f t="shared" si="7"/>
        <v>2016</v>
      </c>
      <c r="E518" t="s">
        <v>6</v>
      </c>
      <c r="F518">
        <v>17.417400000000001</v>
      </c>
    </row>
    <row r="519" spans="1:6" x14ac:dyDescent="0.25">
      <c r="A519" t="s">
        <v>14</v>
      </c>
      <c r="B519" s="7">
        <v>42467</v>
      </c>
      <c r="C519">
        <f t="shared" si="7"/>
        <v>2016</v>
      </c>
      <c r="E519" t="s">
        <v>6</v>
      </c>
      <c r="F519">
        <v>15.3</v>
      </c>
    </row>
    <row r="520" spans="1:6" x14ac:dyDescent="0.25">
      <c r="A520" t="s">
        <v>14</v>
      </c>
      <c r="B520" s="7">
        <v>42467</v>
      </c>
      <c r="C520">
        <f t="shared" si="7"/>
        <v>2016</v>
      </c>
      <c r="E520" t="s">
        <v>6</v>
      </c>
      <c r="F520">
        <v>15.123999999999999</v>
      </c>
    </row>
    <row r="521" spans="1:6" x14ac:dyDescent="0.25">
      <c r="A521" t="s">
        <v>14</v>
      </c>
      <c r="B521" s="7">
        <v>42474</v>
      </c>
      <c r="C521">
        <f t="shared" si="7"/>
        <v>2016</v>
      </c>
      <c r="E521" t="s">
        <v>6</v>
      </c>
      <c r="F521">
        <v>15.631000000000002</v>
      </c>
    </row>
    <row r="522" spans="1:6" x14ac:dyDescent="0.25">
      <c r="A522" t="s">
        <v>14</v>
      </c>
      <c r="B522" s="7">
        <v>42475</v>
      </c>
      <c r="C522">
        <f t="shared" si="7"/>
        <v>2016</v>
      </c>
      <c r="E522" t="s">
        <v>6</v>
      </c>
      <c r="F522">
        <v>19.618500000000001</v>
      </c>
    </row>
    <row r="523" spans="1:6" x14ac:dyDescent="0.25">
      <c r="A523" t="s">
        <v>14</v>
      </c>
      <c r="B523" s="7">
        <v>42475</v>
      </c>
      <c r="C523">
        <f t="shared" si="7"/>
        <v>2016</v>
      </c>
      <c r="E523" t="s">
        <v>6</v>
      </c>
      <c r="F523">
        <v>17.6311</v>
      </c>
    </row>
    <row r="524" spans="1:6" x14ac:dyDescent="0.25">
      <c r="A524" t="s">
        <v>14</v>
      </c>
      <c r="B524" s="7">
        <v>42475</v>
      </c>
      <c r="C524">
        <f t="shared" si="7"/>
        <v>2016</v>
      </c>
      <c r="E524" t="s">
        <v>6</v>
      </c>
      <c r="F524">
        <v>15.853599999999998</v>
      </c>
    </row>
    <row r="525" spans="1:6" x14ac:dyDescent="0.25">
      <c r="A525" t="s">
        <v>14</v>
      </c>
      <c r="B525" s="7">
        <v>42482</v>
      </c>
      <c r="C525">
        <f t="shared" si="7"/>
        <v>2016</v>
      </c>
      <c r="E525" t="s">
        <v>6</v>
      </c>
      <c r="F525">
        <v>20.432100000000002</v>
      </c>
    </row>
    <row r="526" spans="1:6" x14ac:dyDescent="0.25">
      <c r="A526" t="s">
        <v>14</v>
      </c>
      <c r="B526" s="7">
        <v>42482</v>
      </c>
      <c r="C526">
        <f t="shared" si="7"/>
        <v>2016</v>
      </c>
      <c r="E526" t="s">
        <v>6</v>
      </c>
      <c r="F526">
        <v>17.929400000000001</v>
      </c>
    </row>
    <row r="527" spans="1:6" x14ac:dyDescent="0.25">
      <c r="A527" t="s">
        <v>14</v>
      </c>
      <c r="B527" s="7">
        <v>42482</v>
      </c>
      <c r="C527">
        <f t="shared" si="7"/>
        <v>2016</v>
      </c>
      <c r="E527" t="s">
        <v>6</v>
      </c>
      <c r="F527">
        <v>15.902999999999999</v>
      </c>
    </row>
    <row r="528" spans="1:6" x14ac:dyDescent="0.25">
      <c r="A528" t="s">
        <v>14</v>
      </c>
      <c r="B528" s="7">
        <v>42482</v>
      </c>
      <c r="C528">
        <f t="shared" si="7"/>
        <v>2016</v>
      </c>
      <c r="E528" t="s">
        <v>6</v>
      </c>
      <c r="F528">
        <v>15.250999999999999</v>
      </c>
    </row>
    <row r="529" spans="1:6" x14ac:dyDescent="0.25">
      <c r="A529" t="s">
        <v>14</v>
      </c>
      <c r="B529" s="7">
        <v>42489</v>
      </c>
      <c r="C529">
        <f t="shared" si="7"/>
        <v>2016</v>
      </c>
      <c r="E529" t="s">
        <v>6</v>
      </c>
      <c r="F529">
        <v>21.367199999999997</v>
      </c>
    </row>
    <row r="530" spans="1:6" x14ac:dyDescent="0.25">
      <c r="A530" t="s">
        <v>14</v>
      </c>
      <c r="B530" s="7">
        <v>42489</v>
      </c>
      <c r="C530">
        <f t="shared" si="7"/>
        <v>2016</v>
      </c>
      <c r="E530" t="s">
        <v>6</v>
      </c>
      <c r="F530">
        <v>18.768000000000001</v>
      </c>
    </row>
    <row r="531" spans="1:6" x14ac:dyDescent="0.25">
      <c r="A531" t="s">
        <v>14</v>
      </c>
      <c r="B531" s="7">
        <v>42489</v>
      </c>
      <c r="C531">
        <f t="shared" si="7"/>
        <v>2016</v>
      </c>
      <c r="E531" t="s">
        <v>6</v>
      </c>
      <c r="F531">
        <v>16.2181</v>
      </c>
    </row>
    <row r="532" spans="1:6" x14ac:dyDescent="0.25">
      <c r="A532" t="s">
        <v>14</v>
      </c>
      <c r="B532" s="7">
        <v>42489</v>
      </c>
      <c r="C532">
        <f t="shared" si="7"/>
        <v>2016</v>
      </c>
      <c r="E532" t="s">
        <v>6</v>
      </c>
      <c r="F532">
        <v>16.453599999999998</v>
      </c>
    </row>
    <row r="533" spans="1:6" x14ac:dyDescent="0.25">
      <c r="A533" t="s">
        <v>14</v>
      </c>
      <c r="B533" s="7">
        <v>42494</v>
      </c>
      <c r="C533">
        <f t="shared" si="7"/>
        <v>2016</v>
      </c>
      <c r="E533" t="s">
        <v>6</v>
      </c>
      <c r="F533">
        <v>17.5168</v>
      </c>
    </row>
    <row r="534" spans="1:6" x14ac:dyDescent="0.25">
      <c r="A534" t="s">
        <v>14</v>
      </c>
      <c r="B534" s="7">
        <v>42496</v>
      </c>
      <c r="C534">
        <f t="shared" si="7"/>
        <v>2016</v>
      </c>
      <c r="E534" t="s">
        <v>6</v>
      </c>
      <c r="F534">
        <v>20.984000000000002</v>
      </c>
    </row>
    <row r="535" spans="1:6" x14ac:dyDescent="0.25">
      <c r="A535" t="s">
        <v>14</v>
      </c>
      <c r="B535" s="7">
        <v>42496</v>
      </c>
      <c r="C535">
        <f t="shared" si="7"/>
        <v>2016</v>
      </c>
      <c r="E535" t="s">
        <v>6</v>
      </c>
      <c r="F535">
        <v>19.8352</v>
      </c>
    </row>
    <row r="536" spans="1:6" x14ac:dyDescent="0.25">
      <c r="A536" t="s">
        <v>14</v>
      </c>
      <c r="B536" s="7">
        <v>42496</v>
      </c>
      <c r="C536">
        <f t="shared" si="7"/>
        <v>2016</v>
      </c>
      <c r="E536" t="s">
        <v>6</v>
      </c>
      <c r="F536">
        <v>16.9938</v>
      </c>
    </row>
    <row r="537" spans="1:6" x14ac:dyDescent="0.25">
      <c r="A537" t="s">
        <v>14</v>
      </c>
      <c r="B537" s="7">
        <v>42509</v>
      </c>
      <c r="C537">
        <f t="shared" si="7"/>
        <v>2016</v>
      </c>
      <c r="E537" t="s">
        <v>6</v>
      </c>
      <c r="F537">
        <v>21.454999999999998</v>
      </c>
    </row>
    <row r="538" spans="1:6" x14ac:dyDescent="0.25">
      <c r="A538" t="s">
        <v>14</v>
      </c>
      <c r="B538" s="7">
        <v>42509</v>
      </c>
      <c r="C538">
        <f t="shared" si="7"/>
        <v>2016</v>
      </c>
      <c r="E538" t="s">
        <v>6</v>
      </c>
      <c r="F538">
        <v>18.9468</v>
      </c>
    </row>
    <row r="539" spans="1:6" x14ac:dyDescent="0.25">
      <c r="A539" t="s">
        <v>14</v>
      </c>
      <c r="B539" s="7">
        <v>42509</v>
      </c>
      <c r="C539">
        <f t="shared" si="7"/>
        <v>2016</v>
      </c>
      <c r="E539" t="s">
        <v>6</v>
      </c>
      <c r="F539">
        <v>18.04</v>
      </c>
    </row>
    <row r="540" spans="1:6" x14ac:dyDescent="0.25">
      <c r="A540" t="s">
        <v>14</v>
      </c>
      <c r="B540" s="7">
        <v>42510</v>
      </c>
      <c r="C540">
        <f t="shared" si="7"/>
        <v>2016</v>
      </c>
      <c r="E540" t="s">
        <v>6</v>
      </c>
      <c r="F540">
        <v>20.445600000000002</v>
      </c>
    </row>
    <row r="541" spans="1:6" x14ac:dyDescent="0.25">
      <c r="A541" t="s">
        <v>14</v>
      </c>
      <c r="B541" s="7">
        <v>42522</v>
      </c>
      <c r="C541">
        <f t="shared" si="7"/>
        <v>2016</v>
      </c>
      <c r="E541" t="s">
        <v>6</v>
      </c>
      <c r="F541">
        <v>18.638999999999999</v>
      </c>
    </row>
    <row r="542" spans="1:6" x14ac:dyDescent="0.25">
      <c r="A542" t="s">
        <v>14</v>
      </c>
      <c r="B542" s="7">
        <v>42523</v>
      </c>
      <c r="C542">
        <f t="shared" si="7"/>
        <v>2016</v>
      </c>
      <c r="E542" t="s">
        <v>6</v>
      </c>
      <c r="F542">
        <v>21.87</v>
      </c>
    </row>
    <row r="543" spans="1:6" x14ac:dyDescent="0.25">
      <c r="A543" t="s">
        <v>14</v>
      </c>
      <c r="B543" s="7">
        <v>42523</v>
      </c>
      <c r="C543">
        <f t="shared" si="7"/>
        <v>2016</v>
      </c>
      <c r="E543" t="s">
        <v>6</v>
      </c>
      <c r="F543">
        <v>20.708099999999998</v>
      </c>
    </row>
    <row r="544" spans="1:6" x14ac:dyDescent="0.25">
      <c r="A544" t="s">
        <v>14</v>
      </c>
      <c r="B544" s="7">
        <v>42523</v>
      </c>
      <c r="C544">
        <f t="shared" si="7"/>
        <v>2016</v>
      </c>
      <c r="E544" t="s">
        <v>6</v>
      </c>
      <c r="F544">
        <v>18.211200000000002</v>
      </c>
    </row>
    <row r="545" spans="1:6" x14ac:dyDescent="0.25">
      <c r="A545" t="s">
        <v>14</v>
      </c>
      <c r="B545" s="7">
        <v>42531</v>
      </c>
      <c r="C545">
        <f t="shared" si="7"/>
        <v>2016</v>
      </c>
      <c r="E545" t="s">
        <v>6</v>
      </c>
      <c r="F545">
        <v>20.832000000000004</v>
      </c>
    </row>
    <row r="546" spans="1:6" x14ac:dyDescent="0.25">
      <c r="A546" t="s">
        <v>14</v>
      </c>
      <c r="B546" s="7">
        <v>42535</v>
      </c>
      <c r="C546">
        <f t="shared" si="7"/>
        <v>2016</v>
      </c>
      <c r="E546" t="s">
        <v>6</v>
      </c>
      <c r="F546">
        <v>22.302000000000003</v>
      </c>
    </row>
    <row r="547" spans="1:6" x14ac:dyDescent="0.25">
      <c r="A547" t="s">
        <v>14</v>
      </c>
      <c r="B547" s="7">
        <v>42535</v>
      </c>
      <c r="C547">
        <f t="shared" si="7"/>
        <v>2016</v>
      </c>
      <c r="E547" t="s">
        <v>6</v>
      </c>
      <c r="F547">
        <v>19.825800000000001</v>
      </c>
    </row>
    <row r="548" spans="1:6" x14ac:dyDescent="0.25">
      <c r="A548" t="s">
        <v>14</v>
      </c>
      <c r="B548" s="7">
        <v>42753</v>
      </c>
      <c r="C548">
        <f t="shared" si="7"/>
        <v>2017</v>
      </c>
      <c r="E548" t="s">
        <v>6</v>
      </c>
      <c r="F548">
        <v>5.0960000000000001</v>
      </c>
    </row>
    <row r="549" spans="1:6" x14ac:dyDescent="0.25">
      <c r="A549" t="s">
        <v>14</v>
      </c>
      <c r="B549" s="7">
        <v>42753</v>
      </c>
      <c r="C549">
        <f t="shared" si="7"/>
        <v>2017</v>
      </c>
      <c r="E549" t="s">
        <v>6</v>
      </c>
      <c r="F549">
        <v>5.0466000000000006</v>
      </c>
    </row>
    <row r="550" spans="1:6" x14ac:dyDescent="0.25">
      <c r="A550" t="s">
        <v>14</v>
      </c>
      <c r="B550" s="7">
        <v>42753</v>
      </c>
      <c r="C550">
        <f t="shared" ref="C550:C613" si="8">YEAR(B550)</f>
        <v>2017</v>
      </c>
      <c r="E550" t="s">
        <v>6</v>
      </c>
      <c r="F550">
        <v>5.4350999999999985</v>
      </c>
    </row>
    <row r="551" spans="1:6" x14ac:dyDescent="0.25">
      <c r="A551" t="s">
        <v>14</v>
      </c>
      <c r="B551" s="7">
        <v>42753</v>
      </c>
      <c r="C551">
        <f t="shared" si="8"/>
        <v>2017</v>
      </c>
      <c r="E551" t="s">
        <v>6</v>
      </c>
      <c r="F551">
        <v>5.9670000000000005</v>
      </c>
    </row>
    <row r="552" spans="1:6" x14ac:dyDescent="0.25">
      <c r="A552" t="s">
        <v>14</v>
      </c>
      <c r="B552" s="7">
        <v>42788</v>
      </c>
      <c r="C552">
        <f t="shared" si="8"/>
        <v>2017</v>
      </c>
      <c r="E552" t="s">
        <v>6</v>
      </c>
      <c r="F552">
        <v>12.300900000000002</v>
      </c>
    </row>
    <row r="553" spans="1:6" x14ac:dyDescent="0.25">
      <c r="A553" t="s">
        <v>14</v>
      </c>
      <c r="B553" s="7">
        <v>42789</v>
      </c>
      <c r="C553">
        <f t="shared" si="8"/>
        <v>2017</v>
      </c>
      <c r="E553" t="s">
        <v>6</v>
      </c>
      <c r="F553">
        <v>10.933</v>
      </c>
    </row>
    <row r="554" spans="1:6" x14ac:dyDescent="0.25">
      <c r="A554" t="s">
        <v>14</v>
      </c>
      <c r="B554" s="7">
        <v>42789</v>
      </c>
      <c r="C554">
        <f t="shared" si="8"/>
        <v>2017</v>
      </c>
      <c r="E554" t="s">
        <v>6</v>
      </c>
      <c r="F554">
        <v>11.904000000000002</v>
      </c>
    </row>
    <row r="555" spans="1:6" x14ac:dyDescent="0.25">
      <c r="A555" t="s">
        <v>14</v>
      </c>
      <c r="B555" s="7">
        <v>42789</v>
      </c>
      <c r="C555">
        <f t="shared" si="8"/>
        <v>2017</v>
      </c>
      <c r="E555" t="s">
        <v>6</v>
      </c>
      <c r="F555">
        <v>11.153999999999998</v>
      </c>
    </row>
    <row r="556" spans="1:6" x14ac:dyDescent="0.25">
      <c r="A556" t="s">
        <v>14</v>
      </c>
      <c r="B556" s="7">
        <v>42803</v>
      </c>
      <c r="C556">
        <f t="shared" si="8"/>
        <v>2017</v>
      </c>
      <c r="E556" t="s">
        <v>6</v>
      </c>
      <c r="F556">
        <v>15.537600000000003</v>
      </c>
    </row>
    <row r="557" spans="1:6" x14ac:dyDescent="0.25">
      <c r="A557" t="s">
        <v>14</v>
      </c>
      <c r="B557" s="7">
        <v>42803</v>
      </c>
      <c r="C557">
        <f t="shared" si="8"/>
        <v>2017</v>
      </c>
      <c r="E557" t="s">
        <v>6</v>
      </c>
      <c r="F557">
        <v>15.332100000000001</v>
      </c>
    </row>
    <row r="558" spans="1:6" x14ac:dyDescent="0.25">
      <c r="A558" t="s">
        <v>14</v>
      </c>
      <c r="B558" s="7">
        <v>42804</v>
      </c>
      <c r="C558">
        <f t="shared" si="8"/>
        <v>2017</v>
      </c>
      <c r="E558" t="s">
        <v>6</v>
      </c>
      <c r="F558">
        <v>14.284599999999998</v>
      </c>
    </row>
    <row r="559" spans="1:6" x14ac:dyDescent="0.25">
      <c r="A559" t="s">
        <v>14</v>
      </c>
      <c r="B559" s="7">
        <v>42804</v>
      </c>
      <c r="C559">
        <f t="shared" si="8"/>
        <v>2017</v>
      </c>
      <c r="E559" t="s">
        <v>6</v>
      </c>
      <c r="F559">
        <v>14.5383</v>
      </c>
    </row>
    <row r="560" spans="1:6" x14ac:dyDescent="0.25">
      <c r="A560" t="s">
        <v>14</v>
      </c>
      <c r="B560" s="7">
        <v>42816</v>
      </c>
      <c r="C560">
        <f t="shared" si="8"/>
        <v>2017</v>
      </c>
      <c r="E560" t="s">
        <v>6</v>
      </c>
      <c r="F560">
        <v>17.3004</v>
      </c>
    </row>
    <row r="561" spans="1:6" x14ac:dyDescent="0.25">
      <c r="A561" t="s">
        <v>14</v>
      </c>
      <c r="B561" s="7">
        <v>42817</v>
      </c>
      <c r="C561">
        <f t="shared" si="8"/>
        <v>2017</v>
      </c>
      <c r="E561" t="s">
        <v>6</v>
      </c>
      <c r="F561">
        <v>15.833999999999998</v>
      </c>
    </row>
    <row r="562" spans="1:6" x14ac:dyDescent="0.25">
      <c r="A562" t="s">
        <v>14</v>
      </c>
      <c r="B562" s="7">
        <v>42817</v>
      </c>
      <c r="C562">
        <f t="shared" si="8"/>
        <v>2017</v>
      </c>
      <c r="E562" t="s">
        <v>6</v>
      </c>
      <c r="F562">
        <v>16.7029</v>
      </c>
    </row>
    <row r="563" spans="1:6" x14ac:dyDescent="0.25">
      <c r="A563" t="s">
        <v>14</v>
      </c>
      <c r="B563" s="7">
        <v>42817</v>
      </c>
      <c r="C563">
        <f t="shared" si="8"/>
        <v>2017</v>
      </c>
      <c r="E563" t="s">
        <v>6</v>
      </c>
      <c r="F563">
        <v>16.610599999999998</v>
      </c>
    </row>
    <row r="564" spans="1:6" x14ac:dyDescent="0.25">
      <c r="A564" t="s">
        <v>14</v>
      </c>
      <c r="B564" s="7">
        <v>42831</v>
      </c>
      <c r="C564">
        <f t="shared" si="8"/>
        <v>2017</v>
      </c>
      <c r="E564" t="s">
        <v>6</v>
      </c>
      <c r="F564">
        <v>20.302099999999999</v>
      </c>
    </row>
    <row r="565" spans="1:6" x14ac:dyDescent="0.25">
      <c r="A565" t="s">
        <v>14</v>
      </c>
      <c r="B565" s="7">
        <v>42832</v>
      </c>
      <c r="C565">
        <f t="shared" si="8"/>
        <v>2017</v>
      </c>
      <c r="E565" t="s">
        <v>6</v>
      </c>
      <c r="F565">
        <v>17.552</v>
      </c>
    </row>
    <row r="566" spans="1:6" x14ac:dyDescent="0.25">
      <c r="A566" t="s">
        <v>14</v>
      </c>
      <c r="B566" s="7">
        <v>42832</v>
      </c>
      <c r="C566">
        <f t="shared" si="8"/>
        <v>2017</v>
      </c>
      <c r="E566" t="s">
        <v>6</v>
      </c>
      <c r="F566">
        <v>18.972800000000003</v>
      </c>
    </row>
    <row r="567" spans="1:6" x14ac:dyDescent="0.25">
      <c r="A567" t="s">
        <v>14</v>
      </c>
      <c r="B567" s="7">
        <v>42832</v>
      </c>
      <c r="C567">
        <f t="shared" si="8"/>
        <v>2017</v>
      </c>
      <c r="E567" t="s">
        <v>6</v>
      </c>
      <c r="F567">
        <v>18.937799999999999</v>
      </c>
    </row>
    <row r="568" spans="1:6" x14ac:dyDescent="0.25">
      <c r="A568" t="s">
        <v>14</v>
      </c>
      <c r="B568" s="7">
        <v>42837</v>
      </c>
      <c r="C568">
        <f t="shared" si="8"/>
        <v>2017</v>
      </c>
      <c r="E568" t="s">
        <v>6</v>
      </c>
      <c r="F568">
        <v>20.720700000000001</v>
      </c>
    </row>
    <row r="569" spans="1:6" x14ac:dyDescent="0.25">
      <c r="A569" t="s">
        <v>14</v>
      </c>
      <c r="B569" s="7">
        <v>42838</v>
      </c>
      <c r="C569">
        <f t="shared" si="8"/>
        <v>2017</v>
      </c>
      <c r="E569" t="s">
        <v>6</v>
      </c>
      <c r="F569">
        <v>18.531100000000002</v>
      </c>
    </row>
    <row r="570" spans="1:6" x14ac:dyDescent="0.25">
      <c r="A570" t="s">
        <v>14</v>
      </c>
      <c r="B570" s="7">
        <v>42838</v>
      </c>
      <c r="C570">
        <f t="shared" si="8"/>
        <v>2017</v>
      </c>
      <c r="E570" t="s">
        <v>6</v>
      </c>
      <c r="F570">
        <v>19.588800000000003</v>
      </c>
    </row>
    <row r="571" spans="1:6" x14ac:dyDescent="0.25">
      <c r="A571" t="s">
        <v>14</v>
      </c>
      <c r="B571" s="7">
        <v>42838</v>
      </c>
      <c r="C571">
        <f t="shared" si="8"/>
        <v>2017</v>
      </c>
      <c r="E571" t="s">
        <v>6</v>
      </c>
      <c r="F571">
        <v>19.1751</v>
      </c>
    </row>
    <row r="572" spans="1:6" x14ac:dyDescent="0.25">
      <c r="A572" t="s">
        <v>14</v>
      </c>
      <c r="B572" s="7">
        <v>42844</v>
      </c>
      <c r="C572">
        <f t="shared" si="8"/>
        <v>2017</v>
      </c>
      <c r="E572" t="s">
        <v>6</v>
      </c>
      <c r="F572">
        <v>21.203699999999998</v>
      </c>
    </row>
    <row r="573" spans="1:6" x14ac:dyDescent="0.25">
      <c r="A573" t="s">
        <v>14</v>
      </c>
      <c r="B573" s="7">
        <v>42845</v>
      </c>
      <c r="C573">
        <f t="shared" si="8"/>
        <v>2017</v>
      </c>
      <c r="E573" t="s">
        <v>6</v>
      </c>
      <c r="F573">
        <v>18.908000000000001</v>
      </c>
    </row>
    <row r="574" spans="1:6" x14ac:dyDescent="0.25">
      <c r="A574" t="s">
        <v>14</v>
      </c>
      <c r="B574" s="7">
        <v>42845</v>
      </c>
      <c r="C574">
        <f t="shared" si="8"/>
        <v>2017</v>
      </c>
      <c r="E574" t="s">
        <v>6</v>
      </c>
      <c r="F574">
        <v>19.421499999999998</v>
      </c>
    </row>
    <row r="575" spans="1:6" x14ac:dyDescent="0.25">
      <c r="A575" t="s">
        <v>14</v>
      </c>
      <c r="B575" s="7">
        <v>42845</v>
      </c>
      <c r="C575">
        <f t="shared" si="8"/>
        <v>2017</v>
      </c>
      <c r="E575" t="s">
        <v>6</v>
      </c>
      <c r="F575">
        <v>20.1936</v>
      </c>
    </row>
    <row r="576" spans="1:6" x14ac:dyDescent="0.25">
      <c r="A576" t="s">
        <v>14</v>
      </c>
      <c r="B576" s="7">
        <v>42853</v>
      </c>
      <c r="C576">
        <f t="shared" si="8"/>
        <v>2017</v>
      </c>
      <c r="E576" t="s">
        <v>6</v>
      </c>
      <c r="F576">
        <v>19.071399999999997</v>
      </c>
    </row>
    <row r="577" spans="1:6" x14ac:dyDescent="0.25">
      <c r="A577" t="s">
        <v>14</v>
      </c>
      <c r="B577" s="7">
        <v>42853</v>
      </c>
      <c r="C577">
        <f t="shared" si="8"/>
        <v>2017</v>
      </c>
      <c r="E577" t="s">
        <v>6</v>
      </c>
      <c r="F577">
        <v>20.347199999999997</v>
      </c>
    </row>
    <row r="578" spans="1:6" x14ac:dyDescent="0.25">
      <c r="A578" t="s">
        <v>14</v>
      </c>
      <c r="B578" s="7">
        <v>42853</v>
      </c>
      <c r="C578">
        <f t="shared" si="8"/>
        <v>2017</v>
      </c>
      <c r="E578" t="s">
        <v>6</v>
      </c>
      <c r="F578">
        <v>20.553000000000001</v>
      </c>
    </row>
    <row r="579" spans="1:6" x14ac:dyDescent="0.25">
      <c r="A579" t="s">
        <v>14</v>
      </c>
      <c r="B579" s="7">
        <v>42853</v>
      </c>
      <c r="C579">
        <f t="shared" si="8"/>
        <v>2017</v>
      </c>
      <c r="E579" t="s">
        <v>6</v>
      </c>
      <c r="F579">
        <v>22.151000000000003</v>
      </c>
    </row>
    <row r="580" spans="1:6" x14ac:dyDescent="0.25">
      <c r="A580" t="s">
        <v>14</v>
      </c>
      <c r="B580" s="7">
        <v>42858</v>
      </c>
      <c r="C580">
        <f t="shared" si="8"/>
        <v>2017</v>
      </c>
      <c r="E580" t="s">
        <v>6</v>
      </c>
      <c r="F580">
        <v>23.3748</v>
      </c>
    </row>
    <row r="581" spans="1:6" x14ac:dyDescent="0.25">
      <c r="A581" t="s">
        <v>14</v>
      </c>
      <c r="B581" s="7">
        <v>42859</v>
      </c>
      <c r="C581">
        <f t="shared" si="8"/>
        <v>2017</v>
      </c>
      <c r="E581" t="s">
        <v>6</v>
      </c>
      <c r="F581">
        <v>21.057599999999997</v>
      </c>
    </row>
    <row r="582" spans="1:6" x14ac:dyDescent="0.25">
      <c r="A582" t="s">
        <v>14</v>
      </c>
      <c r="B582" s="7">
        <v>42860</v>
      </c>
      <c r="C582">
        <f t="shared" si="8"/>
        <v>2017</v>
      </c>
      <c r="E582" t="s">
        <v>6</v>
      </c>
      <c r="F582">
        <v>19.488000000000003</v>
      </c>
    </row>
    <row r="583" spans="1:6" x14ac:dyDescent="0.25">
      <c r="A583" t="s">
        <v>14</v>
      </c>
      <c r="B583" s="7">
        <v>42860</v>
      </c>
      <c r="C583">
        <f t="shared" si="8"/>
        <v>2017</v>
      </c>
      <c r="E583" t="s">
        <v>6</v>
      </c>
      <c r="F583">
        <v>20.897999999999996</v>
      </c>
    </row>
    <row r="584" spans="1:6" x14ac:dyDescent="0.25">
      <c r="A584" t="s">
        <v>14</v>
      </c>
      <c r="B584" s="7">
        <v>42872</v>
      </c>
      <c r="C584">
        <f t="shared" si="8"/>
        <v>2017</v>
      </c>
      <c r="E584" t="s">
        <v>6</v>
      </c>
      <c r="F584">
        <v>23.063099999999999</v>
      </c>
    </row>
    <row r="585" spans="1:6" x14ac:dyDescent="0.25">
      <c r="A585" t="s">
        <v>14</v>
      </c>
      <c r="B585" s="7">
        <v>42873</v>
      </c>
      <c r="C585">
        <f t="shared" si="8"/>
        <v>2017</v>
      </c>
      <c r="E585" t="s">
        <v>6</v>
      </c>
      <c r="F585">
        <v>20.915199999999999</v>
      </c>
    </row>
    <row r="586" spans="1:6" x14ac:dyDescent="0.25">
      <c r="A586" t="s">
        <v>14</v>
      </c>
      <c r="B586" s="7">
        <v>42873</v>
      </c>
      <c r="C586">
        <f t="shared" si="8"/>
        <v>2017</v>
      </c>
      <c r="E586" t="s">
        <v>6</v>
      </c>
      <c r="F586">
        <v>21.977199999999996</v>
      </c>
    </row>
    <row r="587" spans="1:6" x14ac:dyDescent="0.25">
      <c r="A587" t="s">
        <v>14</v>
      </c>
      <c r="B587" s="7">
        <v>42873</v>
      </c>
      <c r="C587">
        <f t="shared" si="8"/>
        <v>2017</v>
      </c>
      <c r="E587" t="s">
        <v>6</v>
      </c>
      <c r="F587">
        <v>21.648000000000003</v>
      </c>
    </row>
    <row r="588" spans="1:6" x14ac:dyDescent="0.25">
      <c r="A588" t="s">
        <v>14</v>
      </c>
      <c r="B588" s="7">
        <v>42886</v>
      </c>
      <c r="C588">
        <f t="shared" si="8"/>
        <v>2017</v>
      </c>
      <c r="E588" t="s">
        <v>6</v>
      </c>
      <c r="F588">
        <v>23.957999999999998</v>
      </c>
    </row>
    <row r="589" spans="1:6" x14ac:dyDescent="0.25">
      <c r="A589" t="s">
        <v>14</v>
      </c>
      <c r="B589" s="7">
        <v>42887</v>
      </c>
      <c r="C589">
        <f t="shared" si="8"/>
        <v>2017</v>
      </c>
      <c r="E589" t="s">
        <v>6</v>
      </c>
      <c r="F589">
        <v>20.253599999999999</v>
      </c>
    </row>
    <row r="590" spans="1:6" x14ac:dyDescent="0.25">
      <c r="A590" t="s">
        <v>14</v>
      </c>
      <c r="B590" s="7">
        <v>42887</v>
      </c>
      <c r="C590">
        <f t="shared" si="8"/>
        <v>2017</v>
      </c>
      <c r="E590" t="s">
        <v>6</v>
      </c>
      <c r="F590">
        <v>22.2911</v>
      </c>
    </row>
    <row r="591" spans="1:6" x14ac:dyDescent="0.25">
      <c r="A591" t="s">
        <v>14</v>
      </c>
      <c r="B591" s="7">
        <v>42887</v>
      </c>
      <c r="C591">
        <f t="shared" si="8"/>
        <v>2017</v>
      </c>
      <c r="E591" t="s">
        <v>6</v>
      </c>
      <c r="F591">
        <v>22.445999999999998</v>
      </c>
    </row>
    <row r="592" spans="1:6" x14ac:dyDescent="0.25">
      <c r="A592" t="s">
        <v>14</v>
      </c>
      <c r="B592" s="7">
        <v>42893</v>
      </c>
      <c r="C592">
        <f t="shared" si="8"/>
        <v>2017</v>
      </c>
      <c r="E592" t="s">
        <v>6</v>
      </c>
      <c r="F592">
        <v>21.300999999999998</v>
      </c>
    </row>
    <row r="593" spans="1:6" x14ac:dyDescent="0.25">
      <c r="A593" t="s">
        <v>14</v>
      </c>
      <c r="B593" s="7">
        <v>42893</v>
      </c>
      <c r="C593">
        <f t="shared" si="8"/>
        <v>2017</v>
      </c>
      <c r="E593" t="s">
        <v>6</v>
      </c>
      <c r="F593">
        <v>21.573600000000003</v>
      </c>
    </row>
    <row r="594" spans="1:6" x14ac:dyDescent="0.25">
      <c r="A594" t="s">
        <v>14</v>
      </c>
      <c r="B594" s="7">
        <v>42894</v>
      </c>
      <c r="C594">
        <f t="shared" si="8"/>
        <v>2017</v>
      </c>
      <c r="E594" t="s">
        <v>6</v>
      </c>
      <c r="F594">
        <v>23.470199999999998</v>
      </c>
    </row>
    <row r="595" spans="1:6" x14ac:dyDescent="0.25">
      <c r="A595" t="s">
        <v>14</v>
      </c>
      <c r="B595" s="7">
        <v>42907</v>
      </c>
      <c r="C595">
        <f t="shared" si="8"/>
        <v>2017</v>
      </c>
      <c r="E595" t="s">
        <v>6</v>
      </c>
      <c r="F595">
        <v>20.5625</v>
      </c>
    </row>
    <row r="596" spans="1:6" x14ac:dyDescent="0.25">
      <c r="A596" t="s">
        <v>14</v>
      </c>
      <c r="B596" s="7">
        <v>42907</v>
      </c>
      <c r="C596">
        <f t="shared" si="8"/>
        <v>2017</v>
      </c>
      <c r="E596" t="s">
        <v>6</v>
      </c>
      <c r="F596">
        <v>21.905999999999999</v>
      </c>
    </row>
    <row r="597" spans="1:6" x14ac:dyDescent="0.25">
      <c r="A597" t="s">
        <v>14</v>
      </c>
      <c r="B597" s="7">
        <v>42908</v>
      </c>
      <c r="C597">
        <f t="shared" si="8"/>
        <v>2017</v>
      </c>
      <c r="E597" t="s">
        <v>6</v>
      </c>
      <c r="F597">
        <v>23.157800000000002</v>
      </c>
    </row>
    <row r="598" spans="1:6" x14ac:dyDescent="0.25">
      <c r="A598" t="s">
        <v>14</v>
      </c>
      <c r="B598" s="7">
        <v>43115</v>
      </c>
      <c r="C598">
        <f t="shared" si="8"/>
        <v>2018</v>
      </c>
      <c r="E598" t="s">
        <v>6</v>
      </c>
      <c r="F598">
        <v>4.2911999999999999</v>
      </c>
    </row>
    <row r="599" spans="1:6" x14ac:dyDescent="0.25">
      <c r="A599" t="s">
        <v>14</v>
      </c>
      <c r="B599" s="7">
        <v>43115</v>
      </c>
      <c r="C599">
        <f t="shared" si="8"/>
        <v>2018</v>
      </c>
      <c r="E599" t="s">
        <v>6</v>
      </c>
      <c r="F599">
        <v>5.2806000000000006</v>
      </c>
    </row>
    <row r="600" spans="1:6" x14ac:dyDescent="0.25">
      <c r="A600" t="s">
        <v>14</v>
      </c>
      <c r="B600" s="7">
        <v>43116</v>
      </c>
      <c r="C600">
        <f t="shared" si="8"/>
        <v>2018</v>
      </c>
      <c r="E600" t="s">
        <v>6</v>
      </c>
      <c r="F600">
        <v>4.6694000000000004</v>
      </c>
    </row>
    <row r="601" spans="1:6" x14ac:dyDescent="0.25">
      <c r="A601" t="s">
        <v>14</v>
      </c>
      <c r="B601" s="7">
        <v>43116</v>
      </c>
      <c r="C601">
        <f t="shared" si="8"/>
        <v>2018</v>
      </c>
      <c r="E601" t="s">
        <v>6</v>
      </c>
      <c r="F601">
        <v>5.0616000000000012</v>
      </c>
    </row>
    <row r="602" spans="1:6" x14ac:dyDescent="0.25">
      <c r="A602" t="s">
        <v>14</v>
      </c>
      <c r="B602" s="7">
        <v>43150</v>
      </c>
      <c r="C602">
        <f t="shared" si="8"/>
        <v>2018</v>
      </c>
      <c r="E602" t="s">
        <v>6</v>
      </c>
      <c r="F602">
        <v>9.9429999999999996</v>
      </c>
    </row>
    <row r="603" spans="1:6" x14ac:dyDescent="0.25">
      <c r="A603" t="s">
        <v>14</v>
      </c>
      <c r="B603" s="7">
        <v>43150</v>
      </c>
      <c r="C603">
        <f t="shared" si="8"/>
        <v>2018</v>
      </c>
      <c r="E603" t="s">
        <v>6</v>
      </c>
      <c r="F603">
        <v>10.384</v>
      </c>
    </row>
    <row r="604" spans="1:6" x14ac:dyDescent="0.25">
      <c r="A604" t="s">
        <v>14</v>
      </c>
      <c r="B604" s="7">
        <v>43151</v>
      </c>
      <c r="C604">
        <f t="shared" si="8"/>
        <v>2018</v>
      </c>
      <c r="E604" t="s">
        <v>6</v>
      </c>
      <c r="F604">
        <v>8.9551999999999996</v>
      </c>
    </row>
    <row r="605" spans="1:6" x14ac:dyDescent="0.25">
      <c r="A605" t="s">
        <v>14</v>
      </c>
      <c r="B605" s="7">
        <v>43151</v>
      </c>
      <c r="C605">
        <f t="shared" si="8"/>
        <v>2018</v>
      </c>
      <c r="E605" t="s">
        <v>6</v>
      </c>
      <c r="F605">
        <v>10.104000000000001</v>
      </c>
    </row>
    <row r="606" spans="1:6" x14ac:dyDescent="0.25">
      <c r="A606" t="s">
        <v>14</v>
      </c>
      <c r="B606" s="7">
        <v>43164</v>
      </c>
      <c r="C606">
        <f t="shared" si="8"/>
        <v>2018</v>
      </c>
      <c r="E606" t="s">
        <v>6</v>
      </c>
      <c r="F606">
        <v>12.623800000000001</v>
      </c>
    </row>
    <row r="607" spans="1:6" x14ac:dyDescent="0.25">
      <c r="A607" t="s">
        <v>14</v>
      </c>
      <c r="B607" s="7">
        <v>43164</v>
      </c>
      <c r="C607">
        <f t="shared" si="8"/>
        <v>2018</v>
      </c>
      <c r="E607" t="s">
        <v>6</v>
      </c>
      <c r="F607">
        <v>13.277000000000001</v>
      </c>
    </row>
    <row r="608" spans="1:6" x14ac:dyDescent="0.25">
      <c r="A608" t="s">
        <v>14</v>
      </c>
      <c r="B608" s="7">
        <v>43165</v>
      </c>
      <c r="C608">
        <f t="shared" si="8"/>
        <v>2018</v>
      </c>
      <c r="E608" t="s">
        <v>6</v>
      </c>
      <c r="F608">
        <v>11.276800000000001</v>
      </c>
    </row>
    <row r="609" spans="1:6" x14ac:dyDescent="0.25">
      <c r="A609" t="s">
        <v>14</v>
      </c>
      <c r="B609" s="7">
        <v>43165</v>
      </c>
      <c r="C609">
        <f t="shared" si="8"/>
        <v>2018</v>
      </c>
      <c r="E609" t="s">
        <v>6</v>
      </c>
      <c r="F609">
        <v>13.3527</v>
      </c>
    </row>
    <row r="610" spans="1:6" x14ac:dyDescent="0.25">
      <c r="A610" t="s">
        <v>14</v>
      </c>
      <c r="B610" s="7">
        <v>43178</v>
      </c>
      <c r="C610">
        <f t="shared" si="8"/>
        <v>2018</v>
      </c>
      <c r="E610" t="s">
        <v>6</v>
      </c>
      <c r="F610">
        <v>14.0128</v>
      </c>
    </row>
    <row r="611" spans="1:6" x14ac:dyDescent="0.25">
      <c r="A611" t="s">
        <v>14</v>
      </c>
      <c r="B611" s="7">
        <v>43178</v>
      </c>
      <c r="C611">
        <f t="shared" si="8"/>
        <v>2018</v>
      </c>
      <c r="E611" t="s">
        <v>6</v>
      </c>
      <c r="F611">
        <v>15.7628</v>
      </c>
    </row>
    <row r="612" spans="1:6" x14ac:dyDescent="0.25">
      <c r="A612" t="s">
        <v>14</v>
      </c>
      <c r="B612" s="7">
        <v>43179</v>
      </c>
      <c r="C612">
        <f t="shared" si="8"/>
        <v>2018</v>
      </c>
      <c r="E612" t="s">
        <v>6</v>
      </c>
      <c r="F612">
        <v>13.127099999999999</v>
      </c>
    </row>
    <row r="613" spans="1:6" x14ac:dyDescent="0.25">
      <c r="A613" t="s">
        <v>14</v>
      </c>
      <c r="B613" s="7">
        <v>43179</v>
      </c>
      <c r="C613">
        <f t="shared" si="8"/>
        <v>2018</v>
      </c>
      <c r="E613" t="s">
        <v>6</v>
      </c>
      <c r="F613">
        <v>14.7339</v>
      </c>
    </row>
    <row r="614" spans="1:6" x14ac:dyDescent="0.25">
      <c r="A614" t="s">
        <v>14</v>
      </c>
      <c r="B614" s="7">
        <v>43194</v>
      </c>
      <c r="C614">
        <f t="shared" ref="C614:C677" si="9">YEAR(B614)</f>
        <v>2018</v>
      </c>
      <c r="E614" t="s">
        <v>6</v>
      </c>
      <c r="F614">
        <v>16.005600000000001</v>
      </c>
    </row>
    <row r="615" spans="1:6" x14ac:dyDescent="0.25">
      <c r="A615" t="s">
        <v>14</v>
      </c>
      <c r="B615" s="7">
        <v>43194</v>
      </c>
      <c r="C615">
        <f t="shared" si="9"/>
        <v>2018</v>
      </c>
      <c r="E615" t="s">
        <v>6</v>
      </c>
      <c r="F615">
        <v>18.276600000000002</v>
      </c>
    </row>
    <row r="616" spans="1:6" x14ac:dyDescent="0.25">
      <c r="A616" t="s">
        <v>14</v>
      </c>
      <c r="B616" s="7">
        <v>43195</v>
      </c>
      <c r="C616">
        <f t="shared" si="9"/>
        <v>2018</v>
      </c>
      <c r="E616" t="s">
        <v>6</v>
      </c>
      <c r="F616">
        <v>14.439400000000001</v>
      </c>
    </row>
    <row r="617" spans="1:6" x14ac:dyDescent="0.25">
      <c r="A617" t="s">
        <v>14</v>
      </c>
      <c r="B617" s="7">
        <v>43195</v>
      </c>
      <c r="C617">
        <f t="shared" si="9"/>
        <v>2018</v>
      </c>
      <c r="E617" t="s">
        <v>6</v>
      </c>
      <c r="F617">
        <v>16.700600000000001</v>
      </c>
    </row>
    <row r="618" spans="1:6" x14ac:dyDescent="0.25">
      <c r="A618" t="s">
        <v>14</v>
      </c>
      <c r="B618" s="7">
        <v>43200</v>
      </c>
      <c r="C618">
        <f t="shared" si="9"/>
        <v>2018</v>
      </c>
      <c r="E618" t="s">
        <v>6</v>
      </c>
      <c r="F618">
        <v>16.164400000000004</v>
      </c>
    </row>
    <row r="619" spans="1:6" x14ac:dyDescent="0.25">
      <c r="A619" t="s">
        <v>14</v>
      </c>
      <c r="B619" s="7">
        <v>43200</v>
      </c>
      <c r="C619">
        <f t="shared" si="9"/>
        <v>2018</v>
      </c>
      <c r="E619" t="s">
        <v>6</v>
      </c>
      <c r="F619">
        <v>18.335199999999997</v>
      </c>
    </row>
    <row r="620" spans="1:6" x14ac:dyDescent="0.25">
      <c r="A620" t="s">
        <v>14</v>
      </c>
      <c r="B620" s="7">
        <v>43201</v>
      </c>
      <c r="C620">
        <f t="shared" si="9"/>
        <v>2018</v>
      </c>
      <c r="E620" t="s">
        <v>6</v>
      </c>
      <c r="F620">
        <v>14.702199999999999</v>
      </c>
    </row>
    <row r="621" spans="1:6" x14ac:dyDescent="0.25">
      <c r="A621" t="s">
        <v>14</v>
      </c>
      <c r="B621" s="7">
        <v>43201</v>
      </c>
      <c r="C621">
        <f t="shared" si="9"/>
        <v>2018</v>
      </c>
      <c r="E621" t="s">
        <v>6</v>
      </c>
      <c r="F621">
        <v>17.832200000000004</v>
      </c>
    </row>
    <row r="622" spans="1:6" x14ac:dyDescent="0.25">
      <c r="A622" t="s">
        <v>14</v>
      </c>
      <c r="B622" s="7">
        <v>43206</v>
      </c>
      <c r="C622">
        <f t="shared" si="9"/>
        <v>2018</v>
      </c>
      <c r="E622" t="s">
        <v>6</v>
      </c>
      <c r="F622">
        <v>16.367999999999999</v>
      </c>
    </row>
    <row r="623" spans="1:6" x14ac:dyDescent="0.25">
      <c r="A623" t="s">
        <v>14</v>
      </c>
      <c r="B623" s="7">
        <v>43206</v>
      </c>
      <c r="C623">
        <f t="shared" si="9"/>
        <v>2018</v>
      </c>
      <c r="E623" t="s">
        <v>6</v>
      </c>
      <c r="F623">
        <v>18.904</v>
      </c>
    </row>
    <row r="624" spans="1:6" x14ac:dyDescent="0.25">
      <c r="A624" t="s">
        <v>14</v>
      </c>
      <c r="B624" s="7">
        <v>43209</v>
      </c>
      <c r="C624">
        <f t="shared" si="9"/>
        <v>2018</v>
      </c>
      <c r="E624" t="s">
        <v>6</v>
      </c>
      <c r="F624">
        <v>15.820200000000002</v>
      </c>
    </row>
    <row r="625" spans="1:6" x14ac:dyDescent="0.25">
      <c r="A625" t="s">
        <v>14</v>
      </c>
      <c r="B625" s="7">
        <v>43209</v>
      </c>
      <c r="C625">
        <f t="shared" si="9"/>
        <v>2018</v>
      </c>
      <c r="E625" t="s">
        <v>6</v>
      </c>
      <c r="F625">
        <v>18.990400000000001</v>
      </c>
    </row>
    <row r="626" spans="1:6" x14ac:dyDescent="0.25">
      <c r="A626" t="s">
        <v>14</v>
      </c>
      <c r="B626" s="7">
        <v>43215</v>
      </c>
      <c r="C626">
        <f t="shared" si="9"/>
        <v>2018</v>
      </c>
      <c r="E626" t="s">
        <v>6</v>
      </c>
      <c r="F626">
        <v>15.709200000000001</v>
      </c>
    </row>
    <row r="627" spans="1:6" x14ac:dyDescent="0.25">
      <c r="A627" t="s">
        <v>14</v>
      </c>
      <c r="B627" s="7">
        <v>43215</v>
      </c>
      <c r="C627">
        <f t="shared" si="9"/>
        <v>2018</v>
      </c>
      <c r="E627" t="s">
        <v>6</v>
      </c>
      <c r="F627">
        <v>17.629200000000004</v>
      </c>
    </row>
    <row r="628" spans="1:6" x14ac:dyDescent="0.25">
      <c r="A628" t="s">
        <v>14</v>
      </c>
      <c r="B628" s="7">
        <v>43215</v>
      </c>
      <c r="C628">
        <f t="shared" si="9"/>
        <v>2018</v>
      </c>
      <c r="E628" t="s">
        <v>6</v>
      </c>
      <c r="F628">
        <v>20.212200000000003</v>
      </c>
    </row>
    <row r="629" spans="1:6" x14ac:dyDescent="0.25">
      <c r="A629" t="s">
        <v>14</v>
      </c>
      <c r="B629" s="7">
        <v>43215</v>
      </c>
      <c r="C629">
        <f t="shared" si="9"/>
        <v>2018</v>
      </c>
      <c r="E629" t="s">
        <v>6</v>
      </c>
      <c r="F629">
        <v>19.511100000000003</v>
      </c>
    </row>
    <row r="630" spans="1:6" x14ac:dyDescent="0.25">
      <c r="A630" t="s">
        <v>14</v>
      </c>
      <c r="B630" s="7">
        <v>43221</v>
      </c>
      <c r="C630">
        <f t="shared" si="9"/>
        <v>2018</v>
      </c>
      <c r="E630" t="s">
        <v>6</v>
      </c>
      <c r="F630">
        <v>17.254300000000001</v>
      </c>
    </row>
    <row r="631" spans="1:6" x14ac:dyDescent="0.25">
      <c r="A631" t="s">
        <v>14</v>
      </c>
      <c r="B631" s="7">
        <v>43221</v>
      </c>
      <c r="C631">
        <f t="shared" si="9"/>
        <v>2018</v>
      </c>
      <c r="E631" t="s">
        <v>6</v>
      </c>
      <c r="F631">
        <v>18.990400000000001</v>
      </c>
    </row>
    <row r="632" spans="1:6" x14ac:dyDescent="0.25">
      <c r="A632" t="s">
        <v>14</v>
      </c>
      <c r="B632" s="7">
        <v>43221</v>
      </c>
      <c r="C632">
        <f t="shared" si="9"/>
        <v>2018</v>
      </c>
      <c r="E632" t="s">
        <v>6</v>
      </c>
      <c r="F632">
        <v>20.213000000000001</v>
      </c>
    </row>
    <row r="633" spans="1:6" x14ac:dyDescent="0.25">
      <c r="A633" t="s">
        <v>14</v>
      </c>
      <c r="B633" s="7">
        <v>43221</v>
      </c>
      <c r="C633">
        <f t="shared" si="9"/>
        <v>2018</v>
      </c>
      <c r="E633" t="s">
        <v>6</v>
      </c>
      <c r="F633">
        <v>20.743199999999998</v>
      </c>
    </row>
    <row r="634" spans="1:6" x14ac:dyDescent="0.25">
      <c r="A634" t="s">
        <v>14</v>
      </c>
      <c r="B634" s="7">
        <v>43234</v>
      </c>
      <c r="C634">
        <f t="shared" si="9"/>
        <v>2018</v>
      </c>
      <c r="E634" t="s">
        <v>6</v>
      </c>
      <c r="F634">
        <v>18.177</v>
      </c>
    </row>
    <row r="635" spans="1:6" x14ac:dyDescent="0.25">
      <c r="A635" t="s">
        <v>14</v>
      </c>
      <c r="B635" s="7">
        <v>43234</v>
      </c>
      <c r="C635">
        <f t="shared" si="9"/>
        <v>2018</v>
      </c>
      <c r="E635" t="s">
        <v>6</v>
      </c>
      <c r="F635">
        <v>21.1936</v>
      </c>
    </row>
    <row r="636" spans="1:6" x14ac:dyDescent="0.25">
      <c r="A636" t="s">
        <v>14</v>
      </c>
      <c r="B636" s="7">
        <v>43235</v>
      </c>
      <c r="C636">
        <f t="shared" si="9"/>
        <v>2018</v>
      </c>
      <c r="E636" t="s">
        <v>6</v>
      </c>
      <c r="F636">
        <v>17.12</v>
      </c>
    </row>
    <row r="637" spans="1:6" x14ac:dyDescent="0.25">
      <c r="A637" t="s">
        <v>14</v>
      </c>
      <c r="B637" s="7">
        <v>43235</v>
      </c>
      <c r="C637">
        <f t="shared" si="9"/>
        <v>2018</v>
      </c>
      <c r="E637" t="s">
        <v>6</v>
      </c>
      <c r="F637">
        <v>20.638199999999998</v>
      </c>
    </row>
    <row r="638" spans="1:6" x14ac:dyDescent="0.25">
      <c r="A638" t="s">
        <v>14</v>
      </c>
      <c r="B638" s="7">
        <v>43248</v>
      </c>
      <c r="C638">
        <f t="shared" si="9"/>
        <v>2018</v>
      </c>
      <c r="E638" t="s">
        <v>6</v>
      </c>
      <c r="F638">
        <v>19.418800000000001</v>
      </c>
    </row>
    <row r="639" spans="1:6" x14ac:dyDescent="0.25">
      <c r="A639" t="s">
        <v>14</v>
      </c>
      <c r="B639" s="7">
        <v>43248</v>
      </c>
      <c r="C639">
        <f t="shared" si="9"/>
        <v>2018</v>
      </c>
      <c r="E639" t="s">
        <v>6</v>
      </c>
      <c r="F639">
        <v>21.730399999999996</v>
      </c>
    </row>
    <row r="640" spans="1:6" x14ac:dyDescent="0.25">
      <c r="A640" t="s">
        <v>14</v>
      </c>
      <c r="B640" s="7">
        <v>43249</v>
      </c>
      <c r="C640">
        <f t="shared" si="9"/>
        <v>2018</v>
      </c>
      <c r="E640" t="s">
        <v>6</v>
      </c>
      <c r="F640">
        <v>17.313800000000001</v>
      </c>
    </row>
    <row r="641" spans="1:6" x14ac:dyDescent="0.25">
      <c r="A641" t="s">
        <v>14</v>
      </c>
      <c r="B641" s="7">
        <v>43249</v>
      </c>
      <c r="C641">
        <f t="shared" si="9"/>
        <v>2018</v>
      </c>
      <c r="E641" t="s">
        <v>6</v>
      </c>
      <c r="F641">
        <v>21.0396</v>
      </c>
    </row>
    <row r="642" spans="1:6" x14ac:dyDescent="0.25">
      <c r="A642" t="s">
        <v>14</v>
      </c>
      <c r="B642" s="7">
        <v>43479</v>
      </c>
      <c r="C642">
        <f t="shared" si="9"/>
        <v>2019</v>
      </c>
      <c r="E642" t="s">
        <v>6</v>
      </c>
      <c r="F642">
        <v>4.6560000000000006</v>
      </c>
    </row>
    <row r="643" spans="1:6" x14ac:dyDescent="0.25">
      <c r="A643" t="s">
        <v>14</v>
      </c>
      <c r="B643" s="7">
        <v>43479</v>
      </c>
      <c r="C643">
        <f t="shared" si="9"/>
        <v>2019</v>
      </c>
      <c r="E643" t="s">
        <v>6</v>
      </c>
      <c r="F643">
        <v>4.2772000000000006</v>
      </c>
    </row>
    <row r="644" spans="1:6" x14ac:dyDescent="0.25">
      <c r="A644" t="s">
        <v>14</v>
      </c>
      <c r="B644" s="7">
        <v>43479</v>
      </c>
      <c r="C644">
        <f t="shared" si="9"/>
        <v>2019</v>
      </c>
      <c r="E644" t="s">
        <v>6</v>
      </c>
      <c r="F644">
        <v>4.8944000000000001</v>
      </c>
    </row>
    <row r="645" spans="1:6" x14ac:dyDescent="0.25">
      <c r="A645" t="s">
        <v>14</v>
      </c>
      <c r="B645" s="7">
        <v>43479</v>
      </c>
      <c r="C645">
        <f t="shared" si="9"/>
        <v>2019</v>
      </c>
      <c r="E645" t="s">
        <v>6</v>
      </c>
      <c r="F645">
        <v>3.9389999999999996</v>
      </c>
    </row>
    <row r="646" spans="1:6" x14ac:dyDescent="0.25">
      <c r="A646" t="s">
        <v>14</v>
      </c>
      <c r="B646" s="7">
        <v>43514</v>
      </c>
      <c r="C646">
        <f t="shared" si="9"/>
        <v>2019</v>
      </c>
      <c r="E646" t="s">
        <v>6</v>
      </c>
      <c r="F646">
        <v>10.8528</v>
      </c>
    </row>
    <row r="647" spans="1:6" x14ac:dyDescent="0.25">
      <c r="A647" t="s">
        <v>14</v>
      </c>
      <c r="B647" s="7">
        <v>43514</v>
      </c>
      <c r="C647">
        <f t="shared" si="9"/>
        <v>2019</v>
      </c>
      <c r="E647" t="s">
        <v>6</v>
      </c>
      <c r="F647">
        <v>10.956800000000001</v>
      </c>
    </row>
    <row r="648" spans="1:6" x14ac:dyDescent="0.25">
      <c r="A648" t="s">
        <v>14</v>
      </c>
      <c r="B648" s="7">
        <v>43514</v>
      </c>
      <c r="C648">
        <f t="shared" si="9"/>
        <v>2019</v>
      </c>
      <c r="E648" t="s">
        <v>6</v>
      </c>
      <c r="F648">
        <v>11.326199999999998</v>
      </c>
    </row>
    <row r="649" spans="1:6" x14ac:dyDescent="0.25">
      <c r="A649" t="s">
        <v>14</v>
      </c>
      <c r="B649" s="7">
        <v>43514</v>
      </c>
      <c r="C649">
        <f t="shared" si="9"/>
        <v>2019</v>
      </c>
      <c r="E649" t="s">
        <v>6</v>
      </c>
      <c r="F649">
        <v>9.9293999999999993</v>
      </c>
    </row>
    <row r="650" spans="1:6" x14ac:dyDescent="0.25">
      <c r="A650" t="s">
        <v>14</v>
      </c>
      <c r="B650" s="7">
        <v>43528</v>
      </c>
      <c r="C650">
        <f t="shared" si="9"/>
        <v>2019</v>
      </c>
      <c r="E650" t="s">
        <v>6</v>
      </c>
      <c r="F650">
        <v>13.165999999999999</v>
      </c>
    </row>
    <row r="651" spans="1:6" x14ac:dyDescent="0.25">
      <c r="A651" t="s">
        <v>14</v>
      </c>
      <c r="B651" s="7">
        <v>43528</v>
      </c>
      <c r="C651">
        <f t="shared" si="9"/>
        <v>2019</v>
      </c>
      <c r="E651" t="s">
        <v>6</v>
      </c>
      <c r="F651">
        <v>10.804500000000001</v>
      </c>
    </row>
    <row r="652" spans="1:6" x14ac:dyDescent="0.25">
      <c r="A652" t="s">
        <v>14</v>
      </c>
      <c r="B652" s="7">
        <v>43529</v>
      </c>
      <c r="C652">
        <f t="shared" si="9"/>
        <v>2019</v>
      </c>
      <c r="E652" t="s">
        <v>6</v>
      </c>
      <c r="F652">
        <v>12.7376</v>
      </c>
    </row>
    <row r="653" spans="1:6" x14ac:dyDescent="0.25">
      <c r="A653" t="s">
        <v>14</v>
      </c>
      <c r="B653" s="7">
        <v>43542</v>
      </c>
      <c r="C653">
        <f t="shared" si="9"/>
        <v>2019</v>
      </c>
      <c r="E653" t="s">
        <v>6</v>
      </c>
      <c r="F653">
        <v>15.515600000000001</v>
      </c>
    </row>
    <row r="654" spans="1:6" x14ac:dyDescent="0.25">
      <c r="A654" t="s">
        <v>14</v>
      </c>
      <c r="B654" s="7">
        <v>43542</v>
      </c>
      <c r="C654">
        <f t="shared" si="9"/>
        <v>2019</v>
      </c>
      <c r="E654" t="s">
        <v>6</v>
      </c>
      <c r="F654">
        <v>12.581800000000001</v>
      </c>
    </row>
    <row r="655" spans="1:6" x14ac:dyDescent="0.25">
      <c r="A655" t="s">
        <v>14</v>
      </c>
      <c r="B655" s="7">
        <v>43543</v>
      </c>
      <c r="C655">
        <f t="shared" si="9"/>
        <v>2019</v>
      </c>
      <c r="E655" t="s">
        <v>6</v>
      </c>
      <c r="F655">
        <v>15.232000000000001</v>
      </c>
    </row>
    <row r="656" spans="1:6" x14ac:dyDescent="0.25">
      <c r="A656" t="s">
        <v>14</v>
      </c>
      <c r="B656" s="7">
        <v>43557</v>
      </c>
      <c r="C656">
        <f t="shared" si="9"/>
        <v>2019</v>
      </c>
      <c r="E656" t="s">
        <v>6</v>
      </c>
      <c r="F656">
        <v>16.212700000000002</v>
      </c>
    </row>
    <row r="657" spans="1:6" x14ac:dyDescent="0.25">
      <c r="A657" t="s">
        <v>14</v>
      </c>
      <c r="B657" s="7">
        <v>43557</v>
      </c>
      <c r="C657">
        <f t="shared" si="9"/>
        <v>2019</v>
      </c>
      <c r="E657" t="s">
        <v>6</v>
      </c>
      <c r="F657">
        <v>17.384</v>
      </c>
    </row>
    <row r="658" spans="1:6" x14ac:dyDescent="0.25">
      <c r="A658" t="s">
        <v>14</v>
      </c>
      <c r="B658" s="7">
        <v>43557</v>
      </c>
      <c r="C658">
        <f t="shared" si="9"/>
        <v>2019</v>
      </c>
      <c r="E658" t="s">
        <v>6</v>
      </c>
      <c r="F658">
        <v>17.828400000000002</v>
      </c>
    </row>
    <row r="659" spans="1:6" x14ac:dyDescent="0.25">
      <c r="A659" t="s">
        <v>14</v>
      </c>
      <c r="B659" s="7">
        <v>43557</v>
      </c>
      <c r="C659">
        <f t="shared" si="9"/>
        <v>2019</v>
      </c>
      <c r="E659" t="s">
        <v>6</v>
      </c>
      <c r="F659">
        <v>14.051499999999999</v>
      </c>
    </row>
    <row r="660" spans="1:6" x14ac:dyDescent="0.25">
      <c r="A660" t="s">
        <v>14</v>
      </c>
      <c r="B660" s="7">
        <v>43564</v>
      </c>
      <c r="C660">
        <f t="shared" si="9"/>
        <v>2019</v>
      </c>
      <c r="E660" t="s">
        <v>6</v>
      </c>
      <c r="F660">
        <v>16.912500000000001</v>
      </c>
    </row>
    <row r="661" spans="1:6" x14ac:dyDescent="0.25">
      <c r="A661" t="s">
        <v>14</v>
      </c>
      <c r="B661" s="7">
        <v>43564</v>
      </c>
      <c r="C661">
        <f t="shared" si="9"/>
        <v>2019</v>
      </c>
      <c r="E661" t="s">
        <v>6</v>
      </c>
      <c r="F661">
        <v>17.995200000000001</v>
      </c>
    </row>
    <row r="662" spans="1:6" x14ac:dyDescent="0.25">
      <c r="A662" t="s">
        <v>14</v>
      </c>
      <c r="B662" s="7">
        <v>43564</v>
      </c>
      <c r="C662">
        <f t="shared" si="9"/>
        <v>2019</v>
      </c>
      <c r="E662" t="s">
        <v>6</v>
      </c>
      <c r="F662">
        <v>18.420999999999999</v>
      </c>
    </row>
    <row r="663" spans="1:6" x14ac:dyDescent="0.25">
      <c r="A663" t="s">
        <v>14</v>
      </c>
      <c r="B663" s="7">
        <v>43564</v>
      </c>
      <c r="C663">
        <f t="shared" si="9"/>
        <v>2019</v>
      </c>
      <c r="E663" t="s">
        <v>6</v>
      </c>
      <c r="F663">
        <v>15.370899999999999</v>
      </c>
    </row>
    <row r="664" spans="1:6" x14ac:dyDescent="0.25">
      <c r="A664" t="s">
        <v>14</v>
      </c>
      <c r="B664" s="7">
        <v>43570</v>
      </c>
      <c r="C664">
        <f t="shared" si="9"/>
        <v>2019</v>
      </c>
      <c r="E664" t="s">
        <v>6</v>
      </c>
      <c r="F664">
        <v>17.330400000000001</v>
      </c>
    </row>
    <row r="665" spans="1:6" x14ac:dyDescent="0.25">
      <c r="A665" t="s">
        <v>14</v>
      </c>
      <c r="B665" s="7">
        <v>43570</v>
      </c>
      <c r="C665">
        <f t="shared" si="9"/>
        <v>2019</v>
      </c>
      <c r="E665" t="s">
        <v>6</v>
      </c>
      <c r="F665">
        <v>18.035999999999998</v>
      </c>
    </row>
    <row r="666" spans="1:6" x14ac:dyDescent="0.25">
      <c r="A666" t="s">
        <v>14</v>
      </c>
      <c r="B666" s="7">
        <v>43570</v>
      </c>
      <c r="C666">
        <f t="shared" si="9"/>
        <v>2019</v>
      </c>
      <c r="E666" t="s">
        <v>6</v>
      </c>
      <c r="F666">
        <v>19.583600000000001</v>
      </c>
    </row>
    <row r="667" spans="1:6" x14ac:dyDescent="0.25">
      <c r="A667" t="s">
        <v>14</v>
      </c>
      <c r="B667" s="7">
        <v>43570</v>
      </c>
      <c r="C667">
        <f t="shared" si="9"/>
        <v>2019</v>
      </c>
      <c r="E667" t="s">
        <v>6</v>
      </c>
      <c r="F667">
        <v>15.481599999999998</v>
      </c>
    </row>
    <row r="668" spans="1:6" x14ac:dyDescent="0.25">
      <c r="A668" t="s">
        <v>14</v>
      </c>
      <c r="B668" s="7">
        <v>43577</v>
      </c>
      <c r="C668">
        <f t="shared" si="9"/>
        <v>2019</v>
      </c>
      <c r="E668" t="s">
        <v>6</v>
      </c>
      <c r="F668">
        <v>16.8264</v>
      </c>
    </row>
    <row r="669" spans="1:6" x14ac:dyDescent="0.25">
      <c r="A669" t="s">
        <v>14</v>
      </c>
      <c r="B669" s="7">
        <v>43577</v>
      </c>
      <c r="C669">
        <f t="shared" si="9"/>
        <v>2019</v>
      </c>
      <c r="E669" t="s">
        <v>6</v>
      </c>
      <c r="F669">
        <v>18.564</v>
      </c>
    </row>
    <row r="670" spans="1:6" x14ac:dyDescent="0.25">
      <c r="A670" t="s">
        <v>14</v>
      </c>
      <c r="B670" s="7">
        <v>43577</v>
      </c>
      <c r="C670">
        <f t="shared" si="9"/>
        <v>2019</v>
      </c>
      <c r="E670" t="s">
        <v>6</v>
      </c>
      <c r="F670">
        <v>18.948599999999999</v>
      </c>
    </row>
    <row r="671" spans="1:6" x14ac:dyDescent="0.25">
      <c r="A671" t="s">
        <v>14</v>
      </c>
      <c r="B671" s="7">
        <v>43577</v>
      </c>
      <c r="C671">
        <f t="shared" si="9"/>
        <v>2019</v>
      </c>
      <c r="E671" t="s">
        <v>6</v>
      </c>
      <c r="F671">
        <v>15.484999999999999</v>
      </c>
    </row>
    <row r="672" spans="1:6" x14ac:dyDescent="0.25">
      <c r="A672" t="s">
        <v>14</v>
      </c>
      <c r="B672" s="7">
        <v>43584</v>
      </c>
      <c r="C672">
        <f t="shared" si="9"/>
        <v>2019</v>
      </c>
      <c r="E672" t="s">
        <v>6</v>
      </c>
      <c r="F672">
        <v>15.664599999999998</v>
      </c>
    </row>
    <row r="673" spans="1:6" x14ac:dyDescent="0.25">
      <c r="A673" t="s">
        <v>14</v>
      </c>
      <c r="B673" s="7">
        <v>43584</v>
      </c>
      <c r="C673">
        <f t="shared" si="9"/>
        <v>2019</v>
      </c>
      <c r="E673" t="s">
        <v>6</v>
      </c>
      <c r="F673">
        <v>16.6465</v>
      </c>
    </row>
    <row r="674" spans="1:6" x14ac:dyDescent="0.25">
      <c r="A674" t="s">
        <v>14</v>
      </c>
      <c r="B674" s="7">
        <v>43584</v>
      </c>
      <c r="C674">
        <f t="shared" si="9"/>
        <v>2019</v>
      </c>
      <c r="E674" t="s">
        <v>6</v>
      </c>
      <c r="F674">
        <v>18.004799999999999</v>
      </c>
    </row>
    <row r="675" spans="1:6" x14ac:dyDescent="0.25">
      <c r="A675" t="s">
        <v>14</v>
      </c>
      <c r="B675" s="7">
        <v>43584</v>
      </c>
      <c r="C675">
        <f t="shared" si="9"/>
        <v>2019</v>
      </c>
      <c r="E675" t="s">
        <v>6</v>
      </c>
      <c r="F675">
        <v>14.176400000000003</v>
      </c>
    </row>
    <row r="676" spans="1:6" x14ac:dyDescent="0.25">
      <c r="A676" t="s">
        <v>14</v>
      </c>
      <c r="B676" s="7">
        <v>43612</v>
      </c>
      <c r="C676">
        <f t="shared" si="9"/>
        <v>2019</v>
      </c>
      <c r="E676" t="s">
        <v>6</v>
      </c>
      <c r="F676">
        <v>21.337800000000001</v>
      </c>
    </row>
    <row r="677" spans="1:6" x14ac:dyDescent="0.25">
      <c r="A677" t="s">
        <v>14</v>
      </c>
      <c r="B677" s="7">
        <v>43612</v>
      </c>
      <c r="C677">
        <f t="shared" si="9"/>
        <v>2019</v>
      </c>
      <c r="E677" t="s">
        <v>6</v>
      </c>
      <c r="F677">
        <v>17.0625</v>
      </c>
    </row>
    <row r="678" spans="1:6" x14ac:dyDescent="0.25">
      <c r="A678" t="s">
        <v>14</v>
      </c>
      <c r="B678" s="7">
        <v>43613</v>
      </c>
      <c r="C678">
        <f t="shared" ref="C678:C741" si="10">YEAR(B678)</f>
        <v>2019</v>
      </c>
      <c r="E678" t="s">
        <v>6</v>
      </c>
      <c r="F678">
        <v>18.391999999999999</v>
      </c>
    </row>
    <row r="679" spans="1:6" x14ac:dyDescent="0.25">
      <c r="A679" t="s">
        <v>14</v>
      </c>
      <c r="B679" s="7">
        <v>43613</v>
      </c>
      <c r="C679">
        <f t="shared" si="10"/>
        <v>2019</v>
      </c>
      <c r="E679" t="s">
        <v>6</v>
      </c>
      <c r="F679">
        <v>20.178000000000001</v>
      </c>
    </row>
    <row r="680" spans="1:6" x14ac:dyDescent="0.25">
      <c r="A680" t="s">
        <v>14</v>
      </c>
      <c r="B680" s="7">
        <v>43850</v>
      </c>
      <c r="C680">
        <f t="shared" si="10"/>
        <v>2020</v>
      </c>
      <c r="E680" t="s">
        <v>6</v>
      </c>
      <c r="F680">
        <v>4.8761999999999999</v>
      </c>
    </row>
    <row r="681" spans="1:6" x14ac:dyDescent="0.25">
      <c r="A681" t="s">
        <v>14</v>
      </c>
      <c r="B681" s="7">
        <v>43850</v>
      </c>
      <c r="C681">
        <f t="shared" si="10"/>
        <v>2020</v>
      </c>
      <c r="E681" t="s">
        <v>6</v>
      </c>
      <c r="F681">
        <v>6.0888</v>
      </c>
    </row>
    <row r="682" spans="1:6" x14ac:dyDescent="0.25">
      <c r="A682" t="s">
        <v>14</v>
      </c>
      <c r="B682" s="7">
        <v>43851</v>
      </c>
      <c r="C682">
        <f t="shared" si="10"/>
        <v>2020</v>
      </c>
      <c r="E682" t="s">
        <v>6</v>
      </c>
      <c r="F682">
        <v>6.6393999999999993</v>
      </c>
    </row>
    <row r="683" spans="1:6" x14ac:dyDescent="0.25">
      <c r="A683" t="s">
        <v>14</v>
      </c>
      <c r="B683" s="7">
        <v>43878</v>
      </c>
      <c r="C683">
        <f t="shared" si="10"/>
        <v>2020</v>
      </c>
      <c r="E683" t="s">
        <v>6</v>
      </c>
      <c r="F683">
        <v>10.094700000000001</v>
      </c>
    </row>
    <row r="684" spans="1:6" x14ac:dyDescent="0.25">
      <c r="A684" t="s">
        <v>14</v>
      </c>
      <c r="B684" s="7">
        <v>43878</v>
      </c>
      <c r="C684">
        <f t="shared" si="10"/>
        <v>2020</v>
      </c>
      <c r="E684" t="s">
        <v>6</v>
      </c>
      <c r="F684">
        <v>11.238399999999999</v>
      </c>
    </row>
    <row r="685" spans="1:6" x14ac:dyDescent="0.25">
      <c r="A685" t="s">
        <v>14</v>
      </c>
      <c r="B685" s="7">
        <v>43880</v>
      </c>
      <c r="C685">
        <f t="shared" si="10"/>
        <v>2020</v>
      </c>
      <c r="E685" t="s">
        <v>6</v>
      </c>
      <c r="F685">
        <v>11.596500000000001</v>
      </c>
    </row>
    <row r="686" spans="1:6" x14ac:dyDescent="0.25">
      <c r="A686" t="s">
        <v>14</v>
      </c>
      <c r="B686" s="7">
        <v>43892</v>
      </c>
      <c r="C686">
        <f t="shared" si="10"/>
        <v>2020</v>
      </c>
      <c r="E686" t="s">
        <v>6</v>
      </c>
      <c r="F686">
        <v>11.636900000000001</v>
      </c>
    </row>
    <row r="687" spans="1:6" x14ac:dyDescent="0.25">
      <c r="A687" t="s">
        <v>14</v>
      </c>
      <c r="B687" s="7">
        <v>43892</v>
      </c>
      <c r="C687">
        <f t="shared" si="10"/>
        <v>2020</v>
      </c>
      <c r="E687" t="s">
        <v>6</v>
      </c>
      <c r="F687">
        <v>14.870200000000001</v>
      </c>
    </row>
    <row r="688" spans="1:6" x14ac:dyDescent="0.25">
      <c r="A688" t="s">
        <v>14</v>
      </c>
      <c r="B688" s="7">
        <v>43894</v>
      </c>
      <c r="C688">
        <f t="shared" si="10"/>
        <v>2020</v>
      </c>
      <c r="E688" t="s">
        <v>6</v>
      </c>
      <c r="F688">
        <v>13.32</v>
      </c>
    </row>
    <row r="689" spans="1:6" x14ac:dyDescent="0.25">
      <c r="A689" t="s">
        <v>14</v>
      </c>
      <c r="B689" s="7">
        <v>43906</v>
      </c>
      <c r="C689">
        <f t="shared" si="10"/>
        <v>2020</v>
      </c>
      <c r="E689" t="s">
        <v>6</v>
      </c>
      <c r="F689">
        <v>13.488</v>
      </c>
    </row>
    <row r="690" spans="1:6" x14ac:dyDescent="0.25">
      <c r="A690" t="s">
        <v>14</v>
      </c>
      <c r="B690" s="7">
        <v>43906</v>
      </c>
      <c r="C690">
        <f t="shared" si="10"/>
        <v>2020</v>
      </c>
      <c r="E690" t="s">
        <v>6</v>
      </c>
      <c r="F690">
        <v>17.408000000000001</v>
      </c>
    </row>
    <row r="691" spans="1:6" x14ac:dyDescent="0.25">
      <c r="A691" t="s">
        <v>14</v>
      </c>
      <c r="B691" s="7">
        <v>43907</v>
      </c>
      <c r="C691">
        <f t="shared" si="10"/>
        <v>2020</v>
      </c>
      <c r="E691" t="s">
        <v>6</v>
      </c>
      <c r="F691">
        <v>15.384600000000001</v>
      </c>
    </row>
    <row r="692" spans="1:6" x14ac:dyDescent="0.25">
      <c r="A692" t="s">
        <v>14</v>
      </c>
      <c r="B692" s="7">
        <v>43950</v>
      </c>
      <c r="C692">
        <f t="shared" si="10"/>
        <v>2020</v>
      </c>
      <c r="E692" t="s">
        <v>6</v>
      </c>
      <c r="F692">
        <v>17.500999999999998</v>
      </c>
    </row>
    <row r="693" spans="1:6" x14ac:dyDescent="0.25">
      <c r="A693" t="s">
        <v>14</v>
      </c>
      <c r="B693" s="7">
        <v>43950</v>
      </c>
      <c r="C693">
        <f t="shared" si="10"/>
        <v>2020</v>
      </c>
      <c r="E693" t="s">
        <v>6</v>
      </c>
      <c r="F693">
        <v>22.477499999999999</v>
      </c>
    </row>
    <row r="694" spans="1:6" x14ac:dyDescent="0.25">
      <c r="A694" t="s">
        <v>14</v>
      </c>
      <c r="B694" s="7">
        <v>43950</v>
      </c>
      <c r="C694">
        <f t="shared" si="10"/>
        <v>2020</v>
      </c>
      <c r="E694" t="s">
        <v>6</v>
      </c>
      <c r="F694">
        <v>19.583600000000001</v>
      </c>
    </row>
    <row r="695" spans="1:6" x14ac:dyDescent="0.25">
      <c r="A695" t="s">
        <v>14</v>
      </c>
      <c r="B695" s="7">
        <v>43963</v>
      </c>
      <c r="C695">
        <f t="shared" si="10"/>
        <v>2020</v>
      </c>
      <c r="E695" t="s">
        <v>6</v>
      </c>
      <c r="F695">
        <v>23.190299999999997</v>
      </c>
    </row>
    <row r="696" spans="1:6" x14ac:dyDescent="0.25">
      <c r="A696" t="s">
        <v>14</v>
      </c>
      <c r="B696" s="7">
        <v>43964</v>
      </c>
      <c r="C696">
        <f t="shared" si="10"/>
        <v>2020</v>
      </c>
      <c r="E696" t="s">
        <v>6</v>
      </c>
      <c r="F696">
        <v>18.668399999999998</v>
      </c>
    </row>
    <row r="697" spans="1:6" x14ac:dyDescent="0.25">
      <c r="A697" t="s">
        <v>14</v>
      </c>
      <c r="B697" s="7">
        <v>43964</v>
      </c>
      <c r="C697">
        <f t="shared" si="10"/>
        <v>2020</v>
      </c>
      <c r="E697" t="s">
        <v>6</v>
      </c>
      <c r="F697">
        <v>21.14</v>
      </c>
    </row>
    <row r="698" spans="1:6" x14ac:dyDescent="0.25">
      <c r="A698" t="s">
        <v>14</v>
      </c>
      <c r="B698" s="7">
        <v>43978</v>
      </c>
      <c r="C698">
        <f t="shared" si="10"/>
        <v>2020</v>
      </c>
      <c r="E698" t="s">
        <v>6</v>
      </c>
      <c r="F698">
        <v>17.422999999999998</v>
      </c>
    </row>
    <row r="699" spans="1:6" x14ac:dyDescent="0.25">
      <c r="A699" t="s">
        <v>14</v>
      </c>
      <c r="B699" s="7">
        <v>43978</v>
      </c>
      <c r="C699">
        <f t="shared" si="10"/>
        <v>2020</v>
      </c>
      <c r="E699" t="s">
        <v>6</v>
      </c>
      <c r="F699">
        <v>21.057399999999998</v>
      </c>
    </row>
    <row r="700" spans="1:6" x14ac:dyDescent="0.25">
      <c r="A700" t="s">
        <v>14</v>
      </c>
      <c r="B700" s="7">
        <v>44223</v>
      </c>
      <c r="C700">
        <f t="shared" si="10"/>
        <v>2021</v>
      </c>
      <c r="E700" t="s">
        <v>6</v>
      </c>
      <c r="F700">
        <v>6.9315123712321158</v>
      </c>
    </row>
    <row r="701" spans="1:6" x14ac:dyDescent="0.25">
      <c r="A701" t="s">
        <v>14</v>
      </c>
      <c r="B701" s="7">
        <v>44223</v>
      </c>
      <c r="C701">
        <f t="shared" si="10"/>
        <v>2021</v>
      </c>
      <c r="E701" t="s">
        <v>6</v>
      </c>
      <c r="F701">
        <v>5.4313511084294808</v>
      </c>
    </row>
    <row r="702" spans="1:6" x14ac:dyDescent="0.25">
      <c r="A702" t="s">
        <v>14</v>
      </c>
      <c r="B702" s="7">
        <v>44224</v>
      </c>
      <c r="C702">
        <f t="shared" si="10"/>
        <v>2021</v>
      </c>
      <c r="E702" t="s">
        <v>6</v>
      </c>
      <c r="F702">
        <v>5.7144543386675126</v>
      </c>
    </row>
    <row r="703" spans="1:6" x14ac:dyDescent="0.25">
      <c r="A703" t="s">
        <v>14</v>
      </c>
      <c r="B703" s="7">
        <v>44244</v>
      </c>
      <c r="C703">
        <f t="shared" si="10"/>
        <v>2021</v>
      </c>
      <c r="E703" t="s">
        <v>6</v>
      </c>
      <c r="F703">
        <v>8.8291548744930903</v>
      </c>
    </row>
    <row r="704" spans="1:6" x14ac:dyDescent="0.25">
      <c r="A704" t="s">
        <v>14</v>
      </c>
      <c r="B704" s="7">
        <v>44245</v>
      </c>
      <c r="C704">
        <f t="shared" si="10"/>
        <v>2021</v>
      </c>
      <c r="E704" t="s">
        <v>6</v>
      </c>
      <c r="F704">
        <v>8.3138487145662179</v>
      </c>
    </row>
    <row r="705" spans="1:6" x14ac:dyDescent="0.25">
      <c r="A705" t="s">
        <v>14</v>
      </c>
      <c r="B705" s="7">
        <v>44245</v>
      </c>
      <c r="C705">
        <f t="shared" si="10"/>
        <v>2021</v>
      </c>
      <c r="E705" t="s">
        <v>6</v>
      </c>
      <c r="F705">
        <v>8.0472565935445601</v>
      </c>
    </row>
    <row r="706" spans="1:6" x14ac:dyDescent="0.25">
      <c r="A706" t="s">
        <v>14</v>
      </c>
      <c r="B706" s="7">
        <v>44258</v>
      </c>
      <c r="C706">
        <f t="shared" si="10"/>
        <v>2021</v>
      </c>
      <c r="E706" t="s">
        <v>6</v>
      </c>
      <c r="F706">
        <v>11.28362013570101</v>
      </c>
    </row>
    <row r="707" spans="1:6" x14ac:dyDescent="0.25">
      <c r="A707" t="s">
        <v>14</v>
      </c>
      <c r="B707" s="7">
        <v>44258</v>
      </c>
      <c r="C707">
        <f t="shared" si="10"/>
        <v>2021</v>
      </c>
      <c r="E707" t="s">
        <v>6</v>
      </c>
      <c r="F707">
        <v>12.996873220121543</v>
      </c>
    </row>
    <row r="708" spans="1:6" x14ac:dyDescent="0.25">
      <c r="A708" t="s">
        <v>14</v>
      </c>
      <c r="B708" s="7">
        <v>44258</v>
      </c>
      <c r="C708">
        <f t="shared" si="10"/>
        <v>2021</v>
      </c>
      <c r="E708" t="s">
        <v>6</v>
      </c>
      <c r="F708">
        <v>11.020121811353031</v>
      </c>
    </row>
    <row r="709" spans="1:6" x14ac:dyDescent="0.25">
      <c r="A709" t="s">
        <v>14</v>
      </c>
      <c r="B709" s="7">
        <v>44272</v>
      </c>
      <c r="C709">
        <f t="shared" si="10"/>
        <v>2021</v>
      </c>
      <c r="E709" t="s">
        <v>6</v>
      </c>
      <c r="F709">
        <v>13.065476193540855</v>
      </c>
    </row>
    <row r="710" spans="1:6" x14ac:dyDescent="0.25">
      <c r="A710" t="s">
        <v>14</v>
      </c>
      <c r="B710" s="7">
        <v>44272</v>
      </c>
      <c r="C710">
        <f t="shared" si="10"/>
        <v>2021</v>
      </c>
      <c r="E710" t="s">
        <v>6</v>
      </c>
      <c r="F710">
        <v>15.870028059077221</v>
      </c>
    </row>
    <row r="711" spans="1:6" x14ac:dyDescent="0.25">
      <c r="A711" t="s">
        <v>14</v>
      </c>
      <c r="B711" s="7">
        <v>44272</v>
      </c>
      <c r="C711">
        <f t="shared" si="10"/>
        <v>2021</v>
      </c>
      <c r="E711" t="s">
        <v>6</v>
      </c>
      <c r="F711">
        <v>14.223498689674621</v>
      </c>
    </row>
    <row r="712" spans="1:6" x14ac:dyDescent="0.25">
      <c r="A712" t="s">
        <v>14</v>
      </c>
      <c r="B712" s="7">
        <v>44286</v>
      </c>
      <c r="C712">
        <f t="shared" si="10"/>
        <v>2021</v>
      </c>
      <c r="E712" t="s">
        <v>6</v>
      </c>
      <c r="F712">
        <v>17.699191578753037</v>
      </c>
    </row>
    <row r="713" spans="1:6" x14ac:dyDescent="0.25">
      <c r="A713" t="s">
        <v>14</v>
      </c>
      <c r="B713" s="7">
        <v>44287</v>
      </c>
      <c r="C713">
        <f t="shared" si="10"/>
        <v>2021</v>
      </c>
      <c r="E713" t="s">
        <v>6</v>
      </c>
      <c r="F713">
        <v>15.108312942068499</v>
      </c>
    </row>
    <row r="714" spans="1:6" x14ac:dyDescent="0.25">
      <c r="A714" t="s">
        <v>14</v>
      </c>
      <c r="B714" s="7">
        <v>44287</v>
      </c>
      <c r="C714">
        <f t="shared" si="10"/>
        <v>2021</v>
      </c>
      <c r="E714" t="s">
        <v>6</v>
      </c>
      <c r="F714">
        <v>15.438316897742517</v>
      </c>
    </row>
    <row r="715" spans="1:6" x14ac:dyDescent="0.25">
      <c r="A715" t="s">
        <v>14</v>
      </c>
      <c r="B715" s="7">
        <v>44300</v>
      </c>
      <c r="C715">
        <f t="shared" si="10"/>
        <v>2021</v>
      </c>
      <c r="E715" t="s">
        <v>6</v>
      </c>
      <c r="F715">
        <v>18.205173511905102</v>
      </c>
    </row>
    <row r="716" spans="1:6" x14ac:dyDescent="0.25">
      <c r="A716" t="s">
        <v>14</v>
      </c>
      <c r="B716" s="7">
        <v>44301</v>
      </c>
      <c r="C716">
        <f t="shared" si="10"/>
        <v>2021</v>
      </c>
      <c r="E716" t="s">
        <v>6</v>
      </c>
      <c r="F716">
        <v>17.222989608255027</v>
      </c>
    </row>
    <row r="717" spans="1:6" x14ac:dyDescent="0.25">
      <c r="A717" t="s">
        <v>14</v>
      </c>
      <c r="B717" s="7">
        <v>44301</v>
      </c>
      <c r="C717">
        <f t="shared" si="10"/>
        <v>2021</v>
      </c>
      <c r="E717" t="s">
        <v>6</v>
      </c>
      <c r="F717">
        <v>16.211048258733999</v>
      </c>
    </row>
    <row r="718" spans="1:6" x14ac:dyDescent="0.25">
      <c r="A718" t="s">
        <v>14</v>
      </c>
      <c r="B718" s="7">
        <v>44307</v>
      </c>
      <c r="C718">
        <f t="shared" si="10"/>
        <v>2021</v>
      </c>
      <c r="E718" t="s">
        <v>6</v>
      </c>
      <c r="F718">
        <v>16.707643098532472</v>
      </c>
    </row>
    <row r="719" spans="1:6" x14ac:dyDescent="0.25">
      <c r="A719" t="s">
        <v>14</v>
      </c>
      <c r="B719" s="7">
        <v>44307</v>
      </c>
      <c r="C719">
        <f t="shared" si="10"/>
        <v>2021</v>
      </c>
      <c r="E719" t="s">
        <v>6</v>
      </c>
      <c r="F719">
        <v>19.537145853036414</v>
      </c>
    </row>
    <row r="720" spans="1:6" x14ac:dyDescent="0.25">
      <c r="A720" t="s">
        <v>14</v>
      </c>
      <c r="B720" s="7">
        <v>44307</v>
      </c>
      <c r="C720">
        <f t="shared" si="10"/>
        <v>2021</v>
      </c>
      <c r="E720" t="s">
        <v>6</v>
      </c>
      <c r="F720">
        <v>17.291765167818632</v>
      </c>
    </row>
    <row r="721" spans="1:6" x14ac:dyDescent="0.25">
      <c r="A721" t="s">
        <v>14</v>
      </c>
      <c r="B721" s="7">
        <v>44315</v>
      </c>
      <c r="C721">
        <f t="shared" si="10"/>
        <v>2021</v>
      </c>
      <c r="E721" t="s">
        <v>6</v>
      </c>
      <c r="F721">
        <v>19.369444542004405</v>
      </c>
    </row>
    <row r="722" spans="1:6" x14ac:dyDescent="0.25">
      <c r="A722" t="s">
        <v>14</v>
      </c>
      <c r="B722" s="7">
        <v>44316</v>
      </c>
      <c r="C722">
        <f t="shared" si="10"/>
        <v>2021</v>
      </c>
      <c r="E722" t="s">
        <v>6</v>
      </c>
      <c r="F722">
        <v>17.499025054421459</v>
      </c>
    </row>
    <row r="723" spans="1:6" x14ac:dyDescent="0.25">
      <c r="A723" t="s">
        <v>14</v>
      </c>
      <c r="B723" s="7">
        <v>44316</v>
      </c>
      <c r="C723">
        <f t="shared" si="10"/>
        <v>2021</v>
      </c>
      <c r="E723" t="s">
        <v>6</v>
      </c>
      <c r="F723">
        <v>17.650603109848099</v>
      </c>
    </row>
    <row r="724" spans="1:6" x14ac:dyDescent="0.25">
      <c r="A724" t="s">
        <v>14</v>
      </c>
      <c r="B724" s="7">
        <v>44321</v>
      </c>
      <c r="C724">
        <f t="shared" si="10"/>
        <v>2021</v>
      </c>
      <c r="E724" t="s">
        <v>6</v>
      </c>
      <c r="F724">
        <v>20.26370901829625</v>
      </c>
    </row>
    <row r="725" spans="1:6" x14ac:dyDescent="0.25">
      <c r="A725" t="s">
        <v>14</v>
      </c>
      <c r="B725" s="7">
        <v>44322</v>
      </c>
      <c r="C725">
        <f t="shared" si="10"/>
        <v>2021</v>
      </c>
      <c r="E725" t="s">
        <v>6</v>
      </c>
      <c r="F725">
        <v>17.354245507768088</v>
      </c>
    </row>
    <row r="726" spans="1:6" x14ac:dyDescent="0.25">
      <c r="A726" t="s">
        <v>14</v>
      </c>
      <c r="B726" s="7">
        <v>44322</v>
      </c>
      <c r="C726">
        <f t="shared" si="10"/>
        <v>2021</v>
      </c>
      <c r="E726" t="s">
        <v>6</v>
      </c>
      <c r="F726">
        <v>18.87174342283873</v>
      </c>
    </row>
    <row r="727" spans="1:6" x14ac:dyDescent="0.25">
      <c r="A727" t="s">
        <v>14</v>
      </c>
      <c r="B727" s="7">
        <v>44335</v>
      </c>
      <c r="C727">
        <f t="shared" si="10"/>
        <v>2021</v>
      </c>
      <c r="E727" t="s">
        <v>6</v>
      </c>
      <c r="F727">
        <v>22.047358999831484</v>
      </c>
    </row>
    <row r="728" spans="1:6" x14ac:dyDescent="0.25">
      <c r="A728" t="s">
        <v>14</v>
      </c>
      <c r="B728" s="7">
        <v>44336</v>
      </c>
      <c r="C728">
        <f t="shared" si="10"/>
        <v>2021</v>
      </c>
      <c r="E728" t="s">
        <v>6</v>
      </c>
      <c r="F728">
        <v>17.740085747275025</v>
      </c>
    </row>
    <row r="729" spans="1:6" x14ac:dyDescent="0.25">
      <c r="A729" t="s">
        <v>14</v>
      </c>
      <c r="B729" s="7">
        <v>44336</v>
      </c>
      <c r="C729">
        <f t="shared" si="10"/>
        <v>2021</v>
      </c>
      <c r="E729" t="s">
        <v>6</v>
      </c>
      <c r="F729">
        <v>20.371931094087373</v>
      </c>
    </row>
    <row r="730" spans="1:6" x14ac:dyDescent="0.25">
      <c r="A730" t="s">
        <v>14</v>
      </c>
      <c r="B730" s="7">
        <v>44348</v>
      </c>
      <c r="C730">
        <f t="shared" si="10"/>
        <v>2021</v>
      </c>
      <c r="E730" t="s">
        <v>6</v>
      </c>
      <c r="F730">
        <v>21.524553643903822</v>
      </c>
    </row>
    <row r="731" spans="1:6" x14ac:dyDescent="0.25">
      <c r="A731" t="s">
        <v>14</v>
      </c>
      <c r="B731" s="7">
        <v>44349</v>
      </c>
      <c r="C731">
        <f t="shared" si="10"/>
        <v>2021</v>
      </c>
      <c r="E731" t="s">
        <v>6</v>
      </c>
      <c r="F731">
        <v>18.5648614072737</v>
      </c>
    </row>
    <row r="732" spans="1:6" x14ac:dyDescent="0.25">
      <c r="A732" t="s">
        <v>14</v>
      </c>
      <c r="B732" s="7">
        <v>44349</v>
      </c>
      <c r="C732">
        <f t="shared" si="10"/>
        <v>2021</v>
      </c>
      <c r="E732" t="s">
        <v>6</v>
      </c>
      <c r="F732">
        <v>19.349351733779123</v>
      </c>
    </row>
    <row r="734" spans="1:6" x14ac:dyDescent="0.25">
      <c r="A734" t="s">
        <v>15</v>
      </c>
      <c r="B734" s="7">
        <v>43850</v>
      </c>
      <c r="C734">
        <f t="shared" si="10"/>
        <v>2020</v>
      </c>
      <c r="E734" t="s">
        <v>16</v>
      </c>
      <c r="F734">
        <v>6.0801999999999996</v>
      </c>
    </row>
    <row r="735" spans="1:6" x14ac:dyDescent="0.25">
      <c r="A735" t="s">
        <v>15</v>
      </c>
      <c r="B735" s="7">
        <v>43880</v>
      </c>
      <c r="C735">
        <f t="shared" si="10"/>
        <v>2020</v>
      </c>
      <c r="E735" t="s">
        <v>16</v>
      </c>
      <c r="F735">
        <v>12.821400000000001</v>
      </c>
    </row>
    <row r="736" spans="1:6" x14ac:dyDescent="0.25">
      <c r="A736" t="s">
        <v>15</v>
      </c>
      <c r="B736" s="7">
        <v>43892</v>
      </c>
      <c r="C736">
        <f t="shared" si="10"/>
        <v>2020</v>
      </c>
      <c r="E736" t="s">
        <v>16</v>
      </c>
      <c r="F736">
        <v>14.503500000000001</v>
      </c>
    </row>
    <row r="737" spans="1:6" x14ac:dyDescent="0.25">
      <c r="A737" t="s">
        <v>15</v>
      </c>
      <c r="B737" s="7">
        <v>43906</v>
      </c>
      <c r="C737">
        <f t="shared" si="10"/>
        <v>2020</v>
      </c>
      <c r="E737" t="s">
        <v>16</v>
      </c>
      <c r="F737">
        <v>15.633099999999999</v>
      </c>
    </row>
    <row r="738" spans="1:6" x14ac:dyDescent="0.25">
      <c r="A738" t="s">
        <v>15</v>
      </c>
      <c r="B738" s="7">
        <v>43949</v>
      </c>
      <c r="C738">
        <f t="shared" si="10"/>
        <v>2020</v>
      </c>
      <c r="E738" t="s">
        <v>16</v>
      </c>
      <c r="F738">
        <v>18.143800000000002</v>
      </c>
    </row>
    <row r="739" spans="1:6" x14ac:dyDescent="0.25">
      <c r="A739" t="s">
        <v>15</v>
      </c>
      <c r="B739" s="7">
        <v>43963</v>
      </c>
      <c r="C739">
        <f t="shared" si="10"/>
        <v>2020</v>
      </c>
      <c r="E739" t="s">
        <v>16</v>
      </c>
      <c r="F739">
        <v>19.821999999999999</v>
      </c>
    </row>
    <row r="740" spans="1:6" x14ac:dyDescent="0.25">
      <c r="A740" t="s">
        <v>15</v>
      </c>
      <c r="B740" s="7">
        <v>43976</v>
      </c>
      <c r="C740">
        <f t="shared" si="10"/>
        <v>2020</v>
      </c>
      <c r="E740" t="s">
        <v>16</v>
      </c>
      <c r="F740">
        <v>20.206400000000002</v>
      </c>
    </row>
    <row r="741" spans="1:6" x14ac:dyDescent="0.25">
      <c r="A741" t="s">
        <v>15</v>
      </c>
      <c r="B741" s="7">
        <v>44221</v>
      </c>
      <c r="C741">
        <f t="shared" si="10"/>
        <v>2021</v>
      </c>
      <c r="E741" t="s">
        <v>16</v>
      </c>
      <c r="F741">
        <v>6.7398628846985886</v>
      </c>
    </row>
    <row r="742" spans="1:6" x14ac:dyDescent="0.25">
      <c r="A742" t="s">
        <v>15</v>
      </c>
      <c r="B742" s="7">
        <v>44245</v>
      </c>
      <c r="C742">
        <f t="shared" ref="C742:C784" si="11">YEAR(B742)</f>
        <v>2021</v>
      </c>
      <c r="E742" t="s">
        <v>16</v>
      </c>
      <c r="F742">
        <v>10.311391387844139</v>
      </c>
    </row>
    <row r="743" spans="1:6" x14ac:dyDescent="0.25">
      <c r="A743" t="s">
        <v>15</v>
      </c>
      <c r="B743" s="7">
        <v>44256</v>
      </c>
      <c r="C743">
        <f t="shared" si="11"/>
        <v>2021</v>
      </c>
      <c r="E743" t="s">
        <v>16</v>
      </c>
      <c r="F743">
        <v>12.270177875075783</v>
      </c>
    </row>
    <row r="744" spans="1:6" x14ac:dyDescent="0.25">
      <c r="A744" t="s">
        <v>15</v>
      </c>
      <c r="B744" s="7">
        <v>44271</v>
      </c>
      <c r="C744">
        <f t="shared" si="11"/>
        <v>2021</v>
      </c>
      <c r="E744" t="s">
        <v>16</v>
      </c>
      <c r="F744">
        <v>13.619012088702434</v>
      </c>
    </row>
    <row r="745" spans="1:6" x14ac:dyDescent="0.25">
      <c r="A745" t="s">
        <v>15</v>
      </c>
      <c r="B745" s="7">
        <v>44284</v>
      </c>
      <c r="C745">
        <f t="shared" si="11"/>
        <v>2021</v>
      </c>
      <c r="E745" t="s">
        <v>16</v>
      </c>
      <c r="F745">
        <v>15.027232099000203</v>
      </c>
    </row>
    <row r="746" spans="1:6" x14ac:dyDescent="0.25">
      <c r="A746" t="s">
        <v>15</v>
      </c>
      <c r="B746" s="7">
        <v>44298</v>
      </c>
      <c r="C746">
        <f t="shared" si="11"/>
        <v>2021</v>
      </c>
      <c r="E746" t="s">
        <v>16</v>
      </c>
      <c r="F746">
        <v>16.272488100957471</v>
      </c>
    </row>
    <row r="747" spans="1:6" x14ac:dyDescent="0.25">
      <c r="A747" t="s">
        <v>15</v>
      </c>
      <c r="B747" s="7">
        <v>44307</v>
      </c>
      <c r="C747">
        <f t="shared" si="11"/>
        <v>2021</v>
      </c>
      <c r="E747" t="s">
        <v>16</v>
      </c>
      <c r="F747">
        <v>17.020663419496199</v>
      </c>
    </row>
    <row r="748" spans="1:6" x14ac:dyDescent="0.25">
      <c r="A748" t="s">
        <v>15</v>
      </c>
      <c r="B748" s="7">
        <v>44315</v>
      </c>
      <c r="C748">
        <f t="shared" si="11"/>
        <v>2021</v>
      </c>
      <c r="E748" t="s">
        <v>16</v>
      </c>
      <c r="F748">
        <v>18.753000702450848</v>
      </c>
    </row>
    <row r="749" spans="1:6" x14ac:dyDescent="0.25">
      <c r="A749" t="s">
        <v>15</v>
      </c>
      <c r="B749" s="7">
        <v>44321</v>
      </c>
      <c r="C749">
        <f t="shared" si="11"/>
        <v>2021</v>
      </c>
      <c r="E749" t="s">
        <v>16</v>
      </c>
      <c r="F749">
        <v>18.060959017147049</v>
      </c>
    </row>
    <row r="750" spans="1:6" x14ac:dyDescent="0.25">
      <c r="A750" t="s">
        <v>15</v>
      </c>
      <c r="B750" s="7">
        <v>44333</v>
      </c>
      <c r="C750">
        <f t="shared" si="11"/>
        <v>2021</v>
      </c>
      <c r="E750" t="s">
        <v>16</v>
      </c>
      <c r="F750">
        <v>18.922415892599915</v>
      </c>
    </row>
    <row r="751" spans="1:6" x14ac:dyDescent="0.25">
      <c r="A751" t="s">
        <v>15</v>
      </c>
      <c r="B751" s="7">
        <v>44347</v>
      </c>
      <c r="C751">
        <f t="shared" si="11"/>
        <v>2021</v>
      </c>
      <c r="E751" t="s">
        <v>16</v>
      </c>
      <c r="F751">
        <v>20.1101714011625</v>
      </c>
    </row>
    <row r="752" spans="1:6" x14ac:dyDescent="0.25">
      <c r="A752" t="s">
        <v>15</v>
      </c>
      <c r="B752" s="7">
        <v>44607</v>
      </c>
      <c r="C752">
        <f t="shared" si="11"/>
        <v>2022</v>
      </c>
      <c r="E752" t="s">
        <v>16</v>
      </c>
      <c r="F752">
        <v>6.507200000000001</v>
      </c>
    </row>
    <row r="753" spans="1:6" x14ac:dyDescent="0.25">
      <c r="A753" t="s">
        <v>15</v>
      </c>
      <c r="B753" s="7">
        <v>44608</v>
      </c>
      <c r="C753">
        <f t="shared" si="11"/>
        <v>2022</v>
      </c>
      <c r="E753" t="s">
        <v>16</v>
      </c>
      <c r="F753">
        <v>9.6515999999999984</v>
      </c>
    </row>
    <row r="754" spans="1:6" x14ac:dyDescent="0.25">
      <c r="A754" t="s">
        <v>15</v>
      </c>
      <c r="B754" s="7">
        <v>44622</v>
      </c>
      <c r="C754">
        <f t="shared" si="11"/>
        <v>2022</v>
      </c>
      <c r="E754" t="s">
        <v>16</v>
      </c>
      <c r="F754">
        <v>12.1128</v>
      </c>
    </row>
    <row r="755" spans="1:6" x14ac:dyDescent="0.25">
      <c r="A755" t="s">
        <v>15</v>
      </c>
      <c r="B755" s="7">
        <v>44622</v>
      </c>
      <c r="C755">
        <f t="shared" si="11"/>
        <v>2022</v>
      </c>
      <c r="E755" t="s">
        <v>16</v>
      </c>
      <c r="F755">
        <v>16.083900000000003</v>
      </c>
    </row>
    <row r="756" spans="1:6" x14ac:dyDescent="0.25">
      <c r="A756" t="s">
        <v>15</v>
      </c>
      <c r="B756" s="7">
        <v>44635</v>
      </c>
      <c r="C756">
        <f t="shared" si="11"/>
        <v>2022</v>
      </c>
      <c r="E756" t="s">
        <v>16</v>
      </c>
      <c r="F756">
        <v>13.984200000000001</v>
      </c>
    </row>
    <row r="757" spans="1:6" x14ac:dyDescent="0.25">
      <c r="A757" t="s">
        <v>15</v>
      </c>
      <c r="B757" s="7">
        <v>44662</v>
      </c>
      <c r="C757">
        <f t="shared" si="11"/>
        <v>2022</v>
      </c>
      <c r="E757" t="s">
        <v>16</v>
      </c>
      <c r="F757">
        <v>17.474599999999999</v>
      </c>
    </row>
    <row r="758" spans="1:6" x14ac:dyDescent="0.25">
      <c r="A758" t="s">
        <v>15</v>
      </c>
      <c r="B758" s="7">
        <v>44669</v>
      </c>
      <c r="C758">
        <f t="shared" si="11"/>
        <v>2022</v>
      </c>
      <c r="E758" t="s">
        <v>16</v>
      </c>
      <c r="F758">
        <v>18.167499999999997</v>
      </c>
    </row>
    <row r="759" spans="1:6" x14ac:dyDescent="0.25">
      <c r="A759" t="s">
        <v>15</v>
      </c>
      <c r="B759" s="7">
        <v>44677</v>
      </c>
      <c r="C759">
        <f t="shared" si="11"/>
        <v>2022</v>
      </c>
      <c r="E759" t="s">
        <v>16</v>
      </c>
      <c r="F759">
        <v>18.589999999999996</v>
      </c>
    </row>
    <row r="760" spans="1:6" x14ac:dyDescent="0.25">
      <c r="A760" t="s">
        <v>15</v>
      </c>
      <c r="B760" s="7">
        <v>44683</v>
      </c>
      <c r="C760">
        <f t="shared" si="11"/>
        <v>2022</v>
      </c>
      <c r="E760" t="s">
        <v>16</v>
      </c>
      <c r="F760">
        <v>19.700099999999999</v>
      </c>
    </row>
    <row r="761" spans="1:6" x14ac:dyDescent="0.25">
      <c r="A761" t="s">
        <v>15</v>
      </c>
      <c r="B761" s="7">
        <v>44697</v>
      </c>
      <c r="C761">
        <f t="shared" si="11"/>
        <v>2022</v>
      </c>
      <c r="E761" t="s">
        <v>16</v>
      </c>
      <c r="F761">
        <v>20.844000000000001</v>
      </c>
    </row>
    <row r="762" spans="1:6" x14ac:dyDescent="0.25">
      <c r="A762" t="s">
        <v>15</v>
      </c>
      <c r="B762" s="7">
        <v>44711</v>
      </c>
      <c r="C762">
        <f t="shared" si="11"/>
        <v>2022</v>
      </c>
      <c r="E762" t="s">
        <v>16</v>
      </c>
      <c r="F762">
        <v>21.191399999999998</v>
      </c>
    </row>
    <row r="763" spans="1:6" x14ac:dyDescent="0.25">
      <c r="A763" t="s">
        <v>15</v>
      </c>
      <c r="B763" s="7">
        <v>44949</v>
      </c>
      <c r="C763">
        <f t="shared" si="11"/>
        <v>2023</v>
      </c>
      <c r="E763" t="s">
        <v>16</v>
      </c>
      <c r="F763">
        <v>6.8713999999999995</v>
      </c>
    </row>
    <row r="764" spans="1:6" x14ac:dyDescent="0.25">
      <c r="A764" t="s">
        <v>15</v>
      </c>
      <c r="B764" s="7">
        <v>44971</v>
      </c>
      <c r="C764">
        <f t="shared" si="11"/>
        <v>2023</v>
      </c>
      <c r="E764" t="s">
        <v>16</v>
      </c>
      <c r="F764">
        <v>11.225600000000002</v>
      </c>
    </row>
    <row r="765" spans="1:6" x14ac:dyDescent="0.25">
      <c r="A765" t="s">
        <v>15</v>
      </c>
      <c r="B765" s="7">
        <v>44987</v>
      </c>
      <c r="C765">
        <f t="shared" si="11"/>
        <v>2023</v>
      </c>
      <c r="E765" t="s">
        <v>16</v>
      </c>
      <c r="F765">
        <v>15.862</v>
      </c>
    </row>
    <row r="766" spans="1:6" x14ac:dyDescent="0.25">
      <c r="A766" t="s">
        <v>15</v>
      </c>
      <c r="B766" s="7">
        <v>44998</v>
      </c>
      <c r="C766">
        <f t="shared" si="11"/>
        <v>2023</v>
      </c>
      <c r="E766" t="s">
        <v>16</v>
      </c>
      <c r="F766">
        <v>16.912800000000001</v>
      </c>
    </row>
    <row r="767" spans="1:6" x14ac:dyDescent="0.25">
      <c r="A767" t="s">
        <v>15</v>
      </c>
      <c r="B767" s="7">
        <v>45014</v>
      </c>
      <c r="C767">
        <f t="shared" si="11"/>
        <v>2023</v>
      </c>
      <c r="E767" t="s">
        <v>16</v>
      </c>
      <c r="F767">
        <v>20.674400000000002</v>
      </c>
    </row>
    <row r="768" spans="1:6" x14ac:dyDescent="0.25">
      <c r="A768" t="s">
        <v>15</v>
      </c>
      <c r="B768" s="7">
        <v>45027</v>
      </c>
      <c r="C768">
        <f t="shared" si="11"/>
        <v>2023</v>
      </c>
      <c r="E768" t="s">
        <v>16</v>
      </c>
      <c r="F768">
        <v>22.05</v>
      </c>
    </row>
    <row r="769" spans="1:6" x14ac:dyDescent="0.25">
      <c r="A769" t="s">
        <v>15</v>
      </c>
      <c r="B769" s="7">
        <v>45040</v>
      </c>
      <c r="C769">
        <f t="shared" si="11"/>
        <v>2023</v>
      </c>
      <c r="E769" t="s">
        <v>16</v>
      </c>
      <c r="F769">
        <v>23.294399999999996</v>
      </c>
    </row>
    <row r="770" spans="1:6" x14ac:dyDescent="0.25">
      <c r="A770" t="s">
        <v>15</v>
      </c>
      <c r="B770" s="7">
        <v>45047</v>
      </c>
      <c r="C770">
        <f t="shared" si="11"/>
        <v>2023</v>
      </c>
      <c r="E770" t="s">
        <v>16</v>
      </c>
      <c r="F770">
        <v>23.439500000000002</v>
      </c>
    </row>
    <row r="771" spans="1:6" x14ac:dyDescent="0.25">
      <c r="A771" t="s">
        <v>15</v>
      </c>
      <c r="B771" s="7">
        <v>45062</v>
      </c>
      <c r="C771">
        <f t="shared" si="11"/>
        <v>2023</v>
      </c>
      <c r="E771" t="s">
        <v>16</v>
      </c>
      <c r="F771">
        <v>24.252000000000002</v>
      </c>
    </row>
    <row r="772" spans="1:6" x14ac:dyDescent="0.25">
      <c r="A772" t="s">
        <v>15</v>
      </c>
      <c r="B772" s="7">
        <v>45076</v>
      </c>
      <c r="C772">
        <f t="shared" si="11"/>
        <v>2023</v>
      </c>
      <c r="E772" t="s">
        <v>16</v>
      </c>
      <c r="F772">
        <v>24.935600000000001</v>
      </c>
    </row>
    <row r="773" spans="1:6" x14ac:dyDescent="0.25">
      <c r="A773" t="s">
        <v>15</v>
      </c>
      <c r="B773" s="7">
        <v>45083</v>
      </c>
      <c r="C773">
        <f t="shared" si="11"/>
        <v>2023</v>
      </c>
      <c r="E773" t="s">
        <v>16</v>
      </c>
      <c r="F773">
        <v>24.414500000000004</v>
      </c>
    </row>
    <row r="774" spans="1:6" x14ac:dyDescent="0.25">
      <c r="A774" t="s">
        <v>15</v>
      </c>
      <c r="B774" s="7">
        <v>45315</v>
      </c>
      <c r="C774">
        <f t="shared" si="11"/>
        <v>2024</v>
      </c>
      <c r="E774" t="s">
        <v>16</v>
      </c>
      <c r="F774">
        <v>6.6825000000000001</v>
      </c>
    </row>
    <row r="775" spans="1:6" x14ac:dyDescent="0.25">
      <c r="A775" t="s">
        <v>15</v>
      </c>
      <c r="B775" s="7">
        <v>45335</v>
      </c>
      <c r="C775">
        <f t="shared" si="11"/>
        <v>2024</v>
      </c>
      <c r="E775" t="s">
        <v>16</v>
      </c>
      <c r="F775">
        <v>10.244200000000001</v>
      </c>
    </row>
    <row r="776" spans="1:6" x14ac:dyDescent="0.25">
      <c r="A776" t="s">
        <v>15</v>
      </c>
      <c r="B776" s="7">
        <v>45349</v>
      </c>
      <c r="C776">
        <f t="shared" si="11"/>
        <v>2024</v>
      </c>
      <c r="E776" t="s">
        <v>16</v>
      </c>
      <c r="F776">
        <v>12.918300000000002</v>
      </c>
    </row>
    <row r="777" spans="1:6" x14ac:dyDescent="0.25">
      <c r="A777" t="s">
        <v>15</v>
      </c>
      <c r="B777" s="7">
        <v>45363</v>
      </c>
      <c r="C777">
        <f t="shared" si="11"/>
        <v>2024</v>
      </c>
      <c r="E777" t="s">
        <v>16</v>
      </c>
      <c r="F777">
        <v>14.815999999999999</v>
      </c>
    </row>
    <row r="778" spans="1:6" x14ac:dyDescent="0.25">
      <c r="A778" t="s">
        <v>15</v>
      </c>
      <c r="B778" s="7">
        <v>45378</v>
      </c>
      <c r="C778">
        <f t="shared" si="11"/>
        <v>2024</v>
      </c>
      <c r="E778" t="s">
        <v>16</v>
      </c>
      <c r="F778">
        <v>16.666599999999999</v>
      </c>
    </row>
    <row r="779" spans="1:6" x14ac:dyDescent="0.25">
      <c r="A779" t="s">
        <v>15</v>
      </c>
      <c r="B779" s="7">
        <v>45390</v>
      </c>
      <c r="C779">
        <f t="shared" si="11"/>
        <v>2024</v>
      </c>
      <c r="E779" t="s">
        <v>16</v>
      </c>
      <c r="F779">
        <v>17.594999999999999</v>
      </c>
    </row>
    <row r="780" spans="1:6" x14ac:dyDescent="0.25">
      <c r="A780" t="s">
        <v>15</v>
      </c>
      <c r="B780" s="7">
        <v>45406</v>
      </c>
      <c r="C780">
        <f t="shared" si="11"/>
        <v>2024</v>
      </c>
      <c r="E780" t="s">
        <v>16</v>
      </c>
      <c r="F780">
        <v>19.6874</v>
      </c>
    </row>
    <row r="781" spans="1:6" x14ac:dyDescent="0.25">
      <c r="A781" t="s">
        <v>15</v>
      </c>
      <c r="B781" s="7">
        <v>45412</v>
      </c>
      <c r="C781">
        <f t="shared" si="11"/>
        <v>2024</v>
      </c>
      <c r="E781" t="s">
        <v>16</v>
      </c>
      <c r="F781">
        <v>15.558299999999999</v>
      </c>
    </row>
    <row r="782" spans="1:6" x14ac:dyDescent="0.25">
      <c r="A782" t="s">
        <v>15</v>
      </c>
      <c r="B782" s="7">
        <v>45427</v>
      </c>
      <c r="C782">
        <f t="shared" si="11"/>
        <v>2024</v>
      </c>
      <c r="E782" t="s">
        <v>16</v>
      </c>
      <c r="F782">
        <v>18.902399999999997</v>
      </c>
    </row>
    <row r="783" spans="1:6" x14ac:dyDescent="0.25">
      <c r="A783" t="s">
        <v>15</v>
      </c>
      <c r="B783" s="7">
        <v>45441</v>
      </c>
      <c r="C783">
        <f t="shared" si="11"/>
        <v>2024</v>
      </c>
      <c r="E783" t="s">
        <v>16</v>
      </c>
      <c r="F783">
        <v>17.7288</v>
      </c>
    </row>
    <row r="784" spans="1:6" x14ac:dyDescent="0.25">
      <c r="A784" t="s">
        <v>15</v>
      </c>
      <c r="B784" s="7">
        <v>45454</v>
      </c>
      <c r="C784">
        <f t="shared" si="11"/>
        <v>2024</v>
      </c>
      <c r="E784" t="s">
        <v>16</v>
      </c>
      <c r="F784">
        <v>18.723399999999998</v>
      </c>
    </row>
  </sheetData>
  <autoFilter ref="E1:E71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G784"/>
  <sheetViews>
    <sheetView topLeftCell="A713" zoomScale="70" zoomScaleNormal="70" workbookViewId="0">
      <selection activeCell="F734" sqref="F734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57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</v>
      </c>
      <c r="G1" s="1" t="s">
        <v>5</v>
      </c>
    </row>
    <row r="2" spans="1:7" s="3" customFormat="1" x14ac:dyDescent="0.25">
      <c r="A2" s="3" t="s">
        <v>7</v>
      </c>
      <c r="B2" s="4">
        <v>44603</v>
      </c>
      <c r="C2" s="3">
        <v>2022</v>
      </c>
      <c r="D2" s="4"/>
      <c r="E2" s="3" t="s">
        <v>6</v>
      </c>
      <c r="F2" s="3">
        <f>(FruitDMg!F2/FruitFW!F2)*100</f>
        <v>11.399999999999999</v>
      </c>
    </row>
    <row r="3" spans="1:7" s="3" customFormat="1" x14ac:dyDescent="0.25">
      <c r="A3" s="3" t="s">
        <v>7</v>
      </c>
      <c r="B3" s="4">
        <v>44608</v>
      </c>
      <c r="C3" s="3">
        <v>2022</v>
      </c>
      <c r="E3" s="3" t="s">
        <v>6</v>
      </c>
      <c r="F3" s="3">
        <f>(FruitDMg!F3/FruitFW!F3)*100</f>
        <v>13.4</v>
      </c>
    </row>
    <row r="4" spans="1:7" s="3" customFormat="1" x14ac:dyDescent="0.25">
      <c r="A4" s="3" t="s">
        <v>7</v>
      </c>
      <c r="B4" s="4">
        <v>44622</v>
      </c>
      <c r="C4" s="3">
        <v>2022</v>
      </c>
      <c r="E4" s="3" t="s">
        <v>6</v>
      </c>
      <c r="F4" s="3">
        <f>(FruitDMg!F4/FruitFW!F4)*100</f>
        <v>11.699999999999998</v>
      </c>
    </row>
    <row r="5" spans="1:7" s="3" customFormat="1" x14ac:dyDescent="0.25">
      <c r="A5" s="3" t="s">
        <v>7</v>
      </c>
      <c r="B5" s="4">
        <v>44636</v>
      </c>
      <c r="C5" s="3">
        <v>2022</v>
      </c>
      <c r="E5" s="3" t="s">
        <v>6</v>
      </c>
      <c r="F5" s="3">
        <f>(FruitDMg!F5/FruitFW!F5)*100</f>
        <v>12.4</v>
      </c>
    </row>
    <row r="6" spans="1:7" s="3" customFormat="1" x14ac:dyDescent="0.25">
      <c r="A6" s="3" t="s">
        <v>7</v>
      </c>
      <c r="B6" s="4">
        <v>44650</v>
      </c>
      <c r="C6" s="3">
        <v>2022</v>
      </c>
      <c r="E6" s="3" t="s">
        <v>6</v>
      </c>
      <c r="F6" s="3">
        <f>(FruitDMg!F6/FruitFW!F6)*100</f>
        <v>15.100000000000001</v>
      </c>
    </row>
    <row r="7" spans="1:7" s="3" customFormat="1" x14ac:dyDescent="0.25">
      <c r="A7" s="3" t="s">
        <v>7</v>
      </c>
      <c r="B7" s="4">
        <v>44664</v>
      </c>
      <c r="C7" s="3">
        <v>2022</v>
      </c>
      <c r="E7" s="3" t="s">
        <v>6</v>
      </c>
      <c r="F7" s="3">
        <f>(FruitDMg!F7/FruitFW!F7)*100</f>
        <v>15.2</v>
      </c>
    </row>
    <row r="8" spans="1:7" s="3" customFormat="1" x14ac:dyDescent="0.25">
      <c r="A8" s="3" t="s">
        <v>7</v>
      </c>
      <c r="B8" s="4">
        <v>44672</v>
      </c>
      <c r="C8" s="3">
        <v>2022</v>
      </c>
      <c r="E8" s="3" t="s">
        <v>6</v>
      </c>
      <c r="F8" s="3">
        <f>(FruitDMg!F8/FruitFW!F8)*100</f>
        <v>16</v>
      </c>
    </row>
    <row r="9" spans="1:7" s="3" customFormat="1" x14ac:dyDescent="0.25">
      <c r="A9" s="3" t="s">
        <v>7</v>
      </c>
      <c r="B9" s="4">
        <v>44680</v>
      </c>
      <c r="C9" s="3">
        <v>2022</v>
      </c>
      <c r="E9" s="3" t="s">
        <v>6</v>
      </c>
      <c r="F9" s="3">
        <f>(FruitDMg!F9/FruitFW!F9)*100</f>
        <v>16.100000000000001</v>
      </c>
    </row>
    <row r="10" spans="1:7" s="3" customFormat="1" x14ac:dyDescent="0.25">
      <c r="A10" s="3" t="s">
        <v>7</v>
      </c>
      <c r="B10" s="4">
        <v>44685</v>
      </c>
      <c r="C10" s="3">
        <v>2022</v>
      </c>
      <c r="E10" s="3" t="s">
        <v>6</v>
      </c>
      <c r="F10" s="3">
        <f>(FruitDMg!F10/FruitFW!F10)*100</f>
        <v>15.8</v>
      </c>
    </row>
    <row r="11" spans="1:7" s="3" customFormat="1" x14ac:dyDescent="0.25">
      <c r="A11" s="3" t="s">
        <v>7</v>
      </c>
      <c r="B11" s="4">
        <v>44699</v>
      </c>
      <c r="C11" s="3">
        <v>2022</v>
      </c>
      <c r="E11" s="3" t="s">
        <v>6</v>
      </c>
      <c r="F11" s="3">
        <f>(FruitDMg!F11/FruitFW!F11)*100</f>
        <v>15.5</v>
      </c>
    </row>
    <row r="12" spans="1:7" s="3" customFormat="1" x14ac:dyDescent="0.25">
      <c r="A12" s="3" t="s">
        <v>7</v>
      </c>
      <c r="B12" s="4">
        <v>44713</v>
      </c>
      <c r="C12" s="3">
        <v>2022</v>
      </c>
      <c r="E12" s="3" t="s">
        <v>6</v>
      </c>
      <c r="F12" s="3">
        <f>(FruitDMg!F12/FruitFW!F12)*100</f>
        <v>16.3</v>
      </c>
    </row>
    <row r="13" spans="1:7" s="3" customFormat="1" x14ac:dyDescent="0.25">
      <c r="A13" s="3" t="s">
        <v>7</v>
      </c>
      <c r="B13" s="4">
        <v>44952</v>
      </c>
      <c r="C13" s="3">
        <v>2023</v>
      </c>
      <c r="E13" s="3" t="s">
        <v>6</v>
      </c>
      <c r="F13" s="3">
        <f>(FruitDMg!F13/FruitFW!F13)*100</f>
        <v>9.4</v>
      </c>
    </row>
    <row r="14" spans="1:7" s="3" customFormat="1" x14ac:dyDescent="0.25">
      <c r="A14" s="3" t="s">
        <v>7</v>
      </c>
      <c r="B14" s="4">
        <v>44973</v>
      </c>
      <c r="C14" s="3">
        <v>2023</v>
      </c>
      <c r="E14" s="3" t="s">
        <v>6</v>
      </c>
      <c r="F14" s="3">
        <f>(FruitDMg!F14/FruitFW!F14)*100</f>
        <v>12.5</v>
      </c>
    </row>
    <row r="15" spans="1:7" s="3" customFormat="1" x14ac:dyDescent="0.25">
      <c r="A15" s="3" t="s">
        <v>7</v>
      </c>
      <c r="B15" s="4">
        <v>44984</v>
      </c>
      <c r="C15" s="3">
        <v>2023</v>
      </c>
      <c r="E15" s="3" t="s">
        <v>6</v>
      </c>
      <c r="F15" s="3">
        <f>(FruitDMg!F15/FruitFW!F15)*100</f>
        <v>14.099999999999998</v>
      </c>
    </row>
    <row r="16" spans="1:7" s="3" customFormat="1" x14ac:dyDescent="0.25">
      <c r="A16" s="3" t="s">
        <v>7</v>
      </c>
      <c r="B16" s="4">
        <v>45000</v>
      </c>
      <c r="C16" s="3">
        <v>2023</v>
      </c>
      <c r="E16" s="3" t="s">
        <v>6</v>
      </c>
      <c r="F16" s="3">
        <f>(FruitDMg!F16/FruitFW!F16)*100</f>
        <v>15</v>
      </c>
    </row>
    <row r="17" spans="1:6" s="3" customFormat="1" x14ac:dyDescent="0.25">
      <c r="A17" s="3" t="s">
        <v>7</v>
      </c>
      <c r="B17" s="4">
        <v>45015</v>
      </c>
      <c r="C17" s="3">
        <v>2023</v>
      </c>
      <c r="E17" s="3" t="s">
        <v>6</v>
      </c>
      <c r="F17" s="3">
        <f>(FruitDMg!F17/FruitFW!F17)*100</f>
        <v>15.5</v>
      </c>
    </row>
    <row r="18" spans="1:6" s="3" customFormat="1" x14ac:dyDescent="0.25">
      <c r="A18" s="3" t="s">
        <v>7</v>
      </c>
      <c r="B18" s="4">
        <v>45029</v>
      </c>
      <c r="C18" s="3">
        <v>2023</v>
      </c>
      <c r="E18" s="3" t="s">
        <v>6</v>
      </c>
      <c r="F18" s="3">
        <f>(FruitDMg!F18/FruitFW!F18)*100</f>
        <v>15.7</v>
      </c>
    </row>
    <row r="19" spans="1:6" s="3" customFormat="1" x14ac:dyDescent="0.25">
      <c r="A19" s="3" t="s">
        <v>7</v>
      </c>
      <c r="B19" s="4">
        <v>45041</v>
      </c>
      <c r="C19" s="3">
        <v>2023</v>
      </c>
      <c r="E19" s="3" t="s">
        <v>6</v>
      </c>
      <c r="F19" s="3">
        <f>(FruitDMg!F19/FruitFW!F19)*100</f>
        <v>16.5</v>
      </c>
    </row>
    <row r="20" spans="1:6" s="3" customFormat="1" x14ac:dyDescent="0.25">
      <c r="A20" s="3" t="s">
        <v>7</v>
      </c>
      <c r="B20" s="4">
        <v>45049</v>
      </c>
      <c r="C20" s="3">
        <v>2023</v>
      </c>
      <c r="E20" s="3" t="s">
        <v>6</v>
      </c>
      <c r="F20" s="3">
        <f>(FruitDMg!F20/FruitFW!F20)*100</f>
        <v>16.400000000000002</v>
      </c>
    </row>
    <row r="21" spans="1:6" s="3" customFormat="1" x14ac:dyDescent="0.25">
      <c r="A21" s="3" t="s">
        <v>7</v>
      </c>
      <c r="B21" s="4">
        <v>45062</v>
      </c>
      <c r="C21" s="3">
        <v>2023</v>
      </c>
      <c r="E21" s="3" t="s">
        <v>6</v>
      </c>
      <c r="F21" s="3">
        <f>(FruitDMg!F21/FruitFW!F21)*100</f>
        <v>16.7</v>
      </c>
    </row>
    <row r="22" spans="1:6" s="3" customFormat="1" x14ac:dyDescent="0.25">
      <c r="A22" s="3" t="s">
        <v>7</v>
      </c>
      <c r="B22" s="4">
        <v>45076</v>
      </c>
      <c r="C22" s="3">
        <v>2023</v>
      </c>
      <c r="E22" s="3" t="s">
        <v>6</v>
      </c>
      <c r="F22" s="3">
        <f>(FruitDMg!F22/FruitFW!F22)*100</f>
        <v>17</v>
      </c>
    </row>
    <row r="23" spans="1:6" s="3" customFormat="1" x14ac:dyDescent="0.25">
      <c r="A23" s="3" t="s">
        <v>7</v>
      </c>
      <c r="B23" s="4">
        <v>45083</v>
      </c>
      <c r="C23" s="3">
        <v>2023</v>
      </c>
      <c r="E23" s="3" t="s">
        <v>6</v>
      </c>
      <c r="F23" s="3">
        <f>(FruitDMg!F23/FruitFW!F23)*100</f>
        <v>17.100000000000001</v>
      </c>
    </row>
    <row r="24" spans="1:6" s="3" customFormat="1" x14ac:dyDescent="0.25">
      <c r="A24" s="3" t="s">
        <v>7</v>
      </c>
      <c r="B24" s="4">
        <v>45316</v>
      </c>
      <c r="C24" s="3">
        <v>2024</v>
      </c>
      <c r="E24" s="3" t="s">
        <v>6</v>
      </c>
      <c r="F24" s="3">
        <f>(FruitDMg!F24/FruitFW!F24)*100</f>
        <v>9</v>
      </c>
    </row>
    <row r="25" spans="1:6" s="3" customFormat="1" x14ac:dyDescent="0.25">
      <c r="A25" s="3" t="s">
        <v>7</v>
      </c>
      <c r="B25" s="4">
        <v>45337</v>
      </c>
      <c r="C25" s="3">
        <v>2024</v>
      </c>
      <c r="E25" s="3" t="s">
        <v>6</v>
      </c>
      <c r="F25" s="3">
        <f>(FruitDMg!F25/FruitFW!F25)*100</f>
        <v>12.000000000000002</v>
      </c>
    </row>
    <row r="26" spans="1:6" s="3" customFormat="1" x14ac:dyDescent="0.25">
      <c r="A26" s="3" t="s">
        <v>7</v>
      </c>
      <c r="B26" s="4">
        <v>45350</v>
      </c>
      <c r="C26" s="3">
        <v>2024</v>
      </c>
      <c r="E26" s="3" t="s">
        <v>6</v>
      </c>
      <c r="F26" s="3">
        <f>(FruitDMg!F26/FruitFW!F26)*100</f>
        <v>13.5</v>
      </c>
    </row>
    <row r="27" spans="1:6" s="3" customFormat="1" x14ac:dyDescent="0.25">
      <c r="A27" s="3" t="s">
        <v>7</v>
      </c>
      <c r="B27" s="4">
        <v>45364</v>
      </c>
      <c r="C27" s="3">
        <v>2024</v>
      </c>
      <c r="E27" s="3" t="s">
        <v>6</v>
      </c>
      <c r="F27" s="3">
        <f>(FruitDMg!F27/FruitFW!F27)*100</f>
        <v>14.6</v>
      </c>
    </row>
    <row r="28" spans="1:6" s="3" customFormat="1" x14ac:dyDescent="0.25">
      <c r="A28" s="3" t="s">
        <v>7</v>
      </c>
      <c r="B28" s="4">
        <v>45378</v>
      </c>
      <c r="C28" s="3">
        <v>2024</v>
      </c>
      <c r="E28" s="3" t="s">
        <v>6</v>
      </c>
      <c r="F28" s="3">
        <f>(FruitDMg!F28/FruitFW!F28)*100</f>
        <v>15.300000000000002</v>
      </c>
    </row>
    <row r="29" spans="1:6" s="3" customFormat="1" x14ac:dyDescent="0.25">
      <c r="A29" s="3" t="s">
        <v>7</v>
      </c>
      <c r="B29" s="4">
        <v>45390</v>
      </c>
      <c r="C29" s="3">
        <v>2024</v>
      </c>
      <c r="E29" s="3" t="s">
        <v>6</v>
      </c>
      <c r="F29" s="3">
        <f>(FruitDMg!F29/FruitFW!F29)*100</f>
        <v>15.5</v>
      </c>
    </row>
    <row r="30" spans="1:6" s="3" customFormat="1" x14ac:dyDescent="0.25">
      <c r="A30" s="3" t="s">
        <v>7</v>
      </c>
      <c r="B30" s="4">
        <v>45404</v>
      </c>
      <c r="C30" s="3">
        <v>2024</v>
      </c>
      <c r="E30" s="3" t="s">
        <v>6</v>
      </c>
      <c r="F30" s="3">
        <f>(FruitDMg!F30/FruitFW!F30)*100</f>
        <v>16.399999999999999</v>
      </c>
    </row>
    <row r="31" spans="1:6" s="3" customFormat="1" x14ac:dyDescent="0.25">
      <c r="A31" s="3" t="s">
        <v>7</v>
      </c>
      <c r="B31" s="4">
        <v>45414</v>
      </c>
      <c r="C31" s="3">
        <v>2024</v>
      </c>
      <c r="E31" s="3" t="s">
        <v>6</v>
      </c>
      <c r="F31" s="3">
        <f>(FruitDMg!F31/FruitFW!F31)*100</f>
        <v>16.8</v>
      </c>
    </row>
    <row r="32" spans="1:6" s="3" customFormat="1" x14ac:dyDescent="0.25">
      <c r="A32" s="3" t="s">
        <v>7</v>
      </c>
      <c r="B32" s="4">
        <v>45425</v>
      </c>
      <c r="C32" s="3">
        <v>2024</v>
      </c>
      <c r="E32" s="3" t="s">
        <v>6</v>
      </c>
      <c r="F32" s="3">
        <f>(FruitDMg!F32/FruitFW!F32)*100</f>
        <v>17.200000000000003</v>
      </c>
    </row>
    <row r="33" spans="1:6" s="3" customFormat="1" x14ac:dyDescent="0.25">
      <c r="A33" s="3" t="s">
        <v>7</v>
      </c>
      <c r="B33" s="4">
        <v>45439</v>
      </c>
      <c r="C33" s="3">
        <v>2024</v>
      </c>
      <c r="E33" s="3" t="s">
        <v>6</v>
      </c>
      <c r="F33" s="3">
        <f>(FruitDMg!F33/FruitFW!F33)*100</f>
        <v>15.1</v>
      </c>
    </row>
    <row r="34" spans="1:6" s="3" customFormat="1" x14ac:dyDescent="0.25">
      <c r="A34" s="3" t="s">
        <v>7</v>
      </c>
      <c r="B34" s="4">
        <v>45454</v>
      </c>
      <c r="C34" s="3">
        <v>2024</v>
      </c>
      <c r="E34" s="3" t="s">
        <v>6</v>
      </c>
      <c r="F34" s="3">
        <f>(FruitDMg!F34/FruitFW!F34)*100</f>
        <v>17.100000000000001</v>
      </c>
    </row>
    <row r="35" spans="1:6" x14ac:dyDescent="0.25">
      <c r="B35" s="7"/>
    </row>
    <row r="36" spans="1:6" s="5" customFormat="1" x14ac:dyDescent="0.25">
      <c r="A36" s="5" t="s">
        <v>8</v>
      </c>
      <c r="B36" s="6">
        <v>44595</v>
      </c>
      <c r="C36" s="5">
        <v>2022</v>
      </c>
      <c r="E36" s="5" t="s">
        <v>6</v>
      </c>
      <c r="F36" s="5">
        <f>(FruitDMg!F36/FruitFW!F36)*100</f>
        <v>11.6</v>
      </c>
    </row>
    <row r="37" spans="1:6" s="5" customFormat="1" x14ac:dyDescent="0.25">
      <c r="A37" s="5" t="s">
        <v>8</v>
      </c>
      <c r="B37" s="6">
        <v>44608</v>
      </c>
      <c r="C37" s="5">
        <v>2022</v>
      </c>
      <c r="E37" s="5" t="s">
        <v>6</v>
      </c>
      <c r="F37" s="5">
        <f>(FruitDMg!F37/FruitFW!F37)*100</f>
        <v>13.200000000000001</v>
      </c>
    </row>
    <row r="38" spans="1:6" s="5" customFormat="1" x14ac:dyDescent="0.25">
      <c r="A38" s="5" t="s">
        <v>8</v>
      </c>
      <c r="B38" s="6">
        <v>44622</v>
      </c>
      <c r="C38" s="5">
        <v>2022</v>
      </c>
      <c r="E38" s="5" t="s">
        <v>6</v>
      </c>
      <c r="F38" s="5">
        <f>(FruitDMg!F38/FruitFW!F38)*100</f>
        <v>13.3</v>
      </c>
    </row>
    <row r="39" spans="1:6" s="5" customFormat="1" x14ac:dyDescent="0.25">
      <c r="A39" s="5" t="s">
        <v>8</v>
      </c>
      <c r="B39" s="6">
        <v>44636</v>
      </c>
      <c r="C39" s="5">
        <v>2022</v>
      </c>
      <c r="E39" s="5" t="s">
        <v>6</v>
      </c>
      <c r="F39" s="5">
        <f>(FruitDMg!F39/FruitFW!F39)*100</f>
        <v>14.399999999999999</v>
      </c>
    </row>
    <row r="40" spans="1:6" s="5" customFormat="1" x14ac:dyDescent="0.25">
      <c r="A40" s="5" t="s">
        <v>8</v>
      </c>
      <c r="B40" s="6">
        <v>44650</v>
      </c>
      <c r="C40" s="5">
        <v>2022</v>
      </c>
      <c r="E40" s="5" t="s">
        <v>6</v>
      </c>
      <c r="F40" s="5">
        <f>(FruitDMg!F40/FruitFW!F40)*100</f>
        <v>16.799999999999997</v>
      </c>
    </row>
    <row r="41" spans="1:6" s="5" customFormat="1" x14ac:dyDescent="0.25">
      <c r="A41" s="5" t="s">
        <v>8</v>
      </c>
      <c r="B41" s="6">
        <v>44664</v>
      </c>
      <c r="C41" s="5">
        <v>2022</v>
      </c>
      <c r="E41" s="5" t="s">
        <v>6</v>
      </c>
      <c r="F41" s="5">
        <f>(FruitDMg!F41/FruitFW!F41)*100</f>
        <v>17.100000000000001</v>
      </c>
    </row>
    <row r="42" spans="1:6" s="5" customFormat="1" x14ac:dyDescent="0.25">
      <c r="A42" s="5" t="s">
        <v>8</v>
      </c>
      <c r="B42" s="6">
        <v>44672</v>
      </c>
      <c r="C42" s="5">
        <v>2022</v>
      </c>
      <c r="E42" s="5" t="s">
        <v>6</v>
      </c>
      <c r="F42" s="5">
        <f>(FruitDMg!F42/FruitFW!F42)*100</f>
        <v>17.600000000000001</v>
      </c>
    </row>
    <row r="43" spans="1:6" s="5" customFormat="1" x14ac:dyDescent="0.25">
      <c r="A43" s="5" t="s">
        <v>8</v>
      </c>
      <c r="B43" s="6">
        <v>44680</v>
      </c>
      <c r="C43" s="5">
        <v>2022</v>
      </c>
      <c r="E43" s="5" t="s">
        <v>6</v>
      </c>
      <c r="F43" s="5">
        <f>(FruitDMg!F43/FruitFW!F43)*100</f>
        <v>18</v>
      </c>
    </row>
    <row r="44" spans="1:6" s="5" customFormat="1" x14ac:dyDescent="0.25">
      <c r="A44" s="5" t="s">
        <v>8</v>
      </c>
      <c r="B44" s="6">
        <v>44685</v>
      </c>
      <c r="C44" s="5">
        <v>2022</v>
      </c>
      <c r="E44" s="5" t="s">
        <v>6</v>
      </c>
      <c r="F44" s="5">
        <f>(FruitDMg!F44/FruitFW!F44)*100</f>
        <v>18.3</v>
      </c>
    </row>
    <row r="45" spans="1:6" s="5" customFormat="1" x14ac:dyDescent="0.25">
      <c r="A45" s="5" t="s">
        <v>8</v>
      </c>
      <c r="B45" s="6">
        <v>44699</v>
      </c>
      <c r="C45" s="5">
        <v>2022</v>
      </c>
      <c r="E45" s="5" t="s">
        <v>6</v>
      </c>
      <c r="F45" s="5">
        <f>(FruitDMg!F45/FruitFW!F45)*100</f>
        <v>18.7</v>
      </c>
    </row>
    <row r="46" spans="1:6" s="5" customFormat="1" x14ac:dyDescent="0.25">
      <c r="A46" s="5" t="s">
        <v>8</v>
      </c>
      <c r="B46" s="6">
        <v>44713</v>
      </c>
      <c r="C46" s="5">
        <v>2022</v>
      </c>
      <c r="E46" s="5" t="s">
        <v>6</v>
      </c>
      <c r="F46" s="5">
        <f>(FruitDMg!F46/FruitFW!F46)*100</f>
        <v>17.899999999999995</v>
      </c>
    </row>
    <row r="47" spans="1:6" s="5" customFormat="1" x14ac:dyDescent="0.25">
      <c r="A47" s="5" t="s">
        <v>8</v>
      </c>
      <c r="B47" s="6">
        <v>44952</v>
      </c>
      <c r="C47" s="5">
        <v>2023</v>
      </c>
      <c r="E47" s="5" t="s">
        <v>6</v>
      </c>
      <c r="F47" s="5">
        <f>(FruitDMg!F47/FruitFW!F47)*100</f>
        <v>9.6</v>
      </c>
    </row>
    <row r="48" spans="1:6" s="5" customFormat="1" x14ac:dyDescent="0.25">
      <c r="A48" s="5" t="s">
        <v>8</v>
      </c>
      <c r="B48" s="6">
        <v>44974</v>
      </c>
      <c r="C48" s="5">
        <v>2023</v>
      </c>
      <c r="E48" s="5" t="s">
        <v>6</v>
      </c>
      <c r="F48" s="5">
        <f>(FruitDMg!F48/FruitFW!F48)*100</f>
        <v>12.4</v>
      </c>
    </row>
    <row r="49" spans="1:6" s="5" customFormat="1" x14ac:dyDescent="0.25">
      <c r="A49" s="5" t="s">
        <v>8</v>
      </c>
      <c r="B49" s="6">
        <v>44984</v>
      </c>
      <c r="C49" s="5">
        <v>2023</v>
      </c>
      <c r="E49" s="5" t="s">
        <v>6</v>
      </c>
      <c r="F49" s="5">
        <f>(FruitDMg!F49/FruitFW!F49)*100</f>
        <v>13.999999999999998</v>
      </c>
    </row>
    <row r="50" spans="1:6" s="5" customFormat="1" x14ac:dyDescent="0.25">
      <c r="A50" s="5" t="s">
        <v>8</v>
      </c>
      <c r="B50" s="6">
        <v>45000</v>
      </c>
      <c r="C50" s="5">
        <v>2023</v>
      </c>
      <c r="E50" s="5" t="s">
        <v>6</v>
      </c>
      <c r="F50" s="5">
        <f>(FruitDMg!F50/FruitFW!F50)*100</f>
        <v>15.299999999999999</v>
      </c>
    </row>
    <row r="51" spans="1:6" s="5" customFormat="1" x14ac:dyDescent="0.25">
      <c r="A51" s="5" t="s">
        <v>8</v>
      </c>
      <c r="B51" s="6">
        <v>45015</v>
      </c>
      <c r="C51" s="5">
        <v>2023</v>
      </c>
      <c r="E51" s="5" t="s">
        <v>6</v>
      </c>
      <c r="F51" s="5">
        <f>(FruitDMg!F51/FruitFW!F51)*100</f>
        <v>15.900000000000002</v>
      </c>
    </row>
    <row r="52" spans="1:6" s="5" customFormat="1" x14ac:dyDescent="0.25">
      <c r="A52" s="5" t="s">
        <v>8</v>
      </c>
      <c r="B52" s="6">
        <v>45029</v>
      </c>
      <c r="C52" s="5">
        <v>2023</v>
      </c>
      <c r="E52" s="5" t="s">
        <v>6</v>
      </c>
      <c r="F52" s="5">
        <f>(FruitDMg!F52/FruitFW!F52)*100</f>
        <v>16.7</v>
      </c>
    </row>
    <row r="53" spans="1:6" s="5" customFormat="1" x14ac:dyDescent="0.25">
      <c r="A53" s="5" t="s">
        <v>8</v>
      </c>
      <c r="B53" s="6">
        <v>45041</v>
      </c>
      <c r="C53" s="5">
        <v>2023</v>
      </c>
      <c r="E53" s="5" t="s">
        <v>6</v>
      </c>
      <c r="F53" s="5">
        <f>(FruitDMg!F53/FruitFW!F53)*100</f>
        <v>17.600000000000001</v>
      </c>
    </row>
    <row r="54" spans="1:6" s="5" customFormat="1" x14ac:dyDescent="0.25">
      <c r="A54" s="5" t="s">
        <v>8</v>
      </c>
      <c r="B54" s="6">
        <v>45049</v>
      </c>
      <c r="C54" s="5">
        <v>2023</v>
      </c>
      <c r="E54" s="5" t="s">
        <v>6</v>
      </c>
      <c r="F54" s="5">
        <f>(FruitDMg!F54/FruitFW!F54)*100</f>
        <v>17.2</v>
      </c>
    </row>
    <row r="55" spans="1:6" s="5" customFormat="1" x14ac:dyDescent="0.25">
      <c r="A55" s="5" t="s">
        <v>8</v>
      </c>
      <c r="B55" s="6">
        <v>45062</v>
      </c>
      <c r="C55" s="5">
        <v>2023</v>
      </c>
      <c r="E55" s="5" t="s">
        <v>6</v>
      </c>
      <c r="F55" s="5">
        <f>(FruitDMg!F55/FruitFW!F55)*100</f>
        <v>17.399999999999999</v>
      </c>
    </row>
    <row r="56" spans="1:6" s="5" customFormat="1" x14ac:dyDescent="0.25">
      <c r="A56" s="5" t="s">
        <v>8</v>
      </c>
      <c r="B56" s="6">
        <v>45077</v>
      </c>
      <c r="C56" s="5">
        <v>2023</v>
      </c>
      <c r="E56" s="5" t="s">
        <v>6</v>
      </c>
      <c r="F56" s="5">
        <f>(FruitDMg!F56/FruitFW!F56)*100</f>
        <v>17.399999999999995</v>
      </c>
    </row>
    <row r="57" spans="1:6" s="5" customFormat="1" x14ac:dyDescent="0.25">
      <c r="A57" s="5" t="s">
        <v>8</v>
      </c>
      <c r="B57" s="6">
        <v>45083</v>
      </c>
      <c r="C57" s="5">
        <v>2023</v>
      </c>
      <c r="E57" s="5" t="s">
        <v>6</v>
      </c>
      <c r="F57" s="5">
        <f>(FruitDMg!F57/FruitFW!F57)*100</f>
        <v>17.2</v>
      </c>
    </row>
    <row r="58" spans="1:6" x14ac:dyDescent="0.25">
      <c r="B58" s="2"/>
    </row>
    <row r="59" spans="1:6" s="8" customFormat="1" x14ac:dyDescent="0.25">
      <c r="A59" s="8" t="s">
        <v>10</v>
      </c>
      <c r="B59" s="9">
        <v>44595</v>
      </c>
      <c r="C59" s="8">
        <v>2022</v>
      </c>
      <c r="D59" s="9"/>
      <c r="E59" s="8" t="s">
        <v>6</v>
      </c>
      <c r="F59" s="8">
        <f>(FruitDMg!F59/FruitFW!F59)*100</f>
        <v>10.199999999999999</v>
      </c>
    </row>
    <row r="60" spans="1:6" s="8" customFormat="1" x14ac:dyDescent="0.25">
      <c r="A60" s="8" t="s">
        <v>10</v>
      </c>
      <c r="B60" s="9">
        <v>44608</v>
      </c>
      <c r="C60" s="8">
        <v>2022</v>
      </c>
      <c r="E60" s="8" t="s">
        <v>6</v>
      </c>
      <c r="F60" s="8">
        <f>(FruitDMg!F60/FruitFW!F60)*100</f>
        <v>12.9</v>
      </c>
    </row>
    <row r="61" spans="1:6" s="8" customFormat="1" x14ac:dyDescent="0.25">
      <c r="A61" s="8" t="s">
        <v>10</v>
      </c>
      <c r="B61" s="9">
        <v>44622</v>
      </c>
      <c r="C61" s="8">
        <v>2022</v>
      </c>
      <c r="E61" s="8" t="s">
        <v>6</v>
      </c>
      <c r="F61" s="8">
        <f>(FruitDMg!F61/FruitFW!F61)*100</f>
        <v>14.200000000000001</v>
      </c>
    </row>
    <row r="62" spans="1:6" s="8" customFormat="1" x14ac:dyDescent="0.25">
      <c r="A62" s="8" t="s">
        <v>10</v>
      </c>
      <c r="B62" s="9">
        <v>44636</v>
      </c>
      <c r="C62" s="8">
        <v>2022</v>
      </c>
      <c r="E62" s="8" t="s">
        <v>6</v>
      </c>
      <c r="F62" s="8">
        <f>(FruitDMg!F62/FruitFW!F62)*100</f>
        <v>16.2</v>
      </c>
    </row>
    <row r="63" spans="1:6" s="8" customFormat="1" x14ac:dyDescent="0.25">
      <c r="A63" s="8" t="s">
        <v>10</v>
      </c>
      <c r="B63" s="9">
        <v>44650</v>
      </c>
      <c r="C63" s="8">
        <v>2022</v>
      </c>
      <c r="E63" s="8" t="s">
        <v>6</v>
      </c>
      <c r="F63" s="8">
        <f>(FruitDMg!F63/FruitFW!F63)*100</f>
        <v>16.100000000000001</v>
      </c>
    </row>
    <row r="64" spans="1:6" s="8" customFormat="1" x14ac:dyDescent="0.25">
      <c r="A64" s="8" t="s">
        <v>10</v>
      </c>
      <c r="B64" s="9">
        <v>44664</v>
      </c>
      <c r="C64" s="8">
        <v>2022</v>
      </c>
      <c r="E64" s="8" t="s">
        <v>6</v>
      </c>
      <c r="F64" s="8">
        <f>(FruitDMg!F64/FruitFW!F64)*100</f>
        <v>16.600000000000001</v>
      </c>
    </row>
    <row r="65" spans="1:6" s="8" customFormat="1" x14ac:dyDescent="0.25">
      <c r="A65" s="8" t="s">
        <v>10</v>
      </c>
      <c r="B65" s="9">
        <v>44673</v>
      </c>
      <c r="C65" s="8">
        <v>2022</v>
      </c>
      <c r="E65" s="8" t="s">
        <v>6</v>
      </c>
      <c r="F65" s="8">
        <f>(FruitDMg!F65/FruitFW!F65)*100</f>
        <v>17.5</v>
      </c>
    </row>
    <row r="66" spans="1:6" s="8" customFormat="1" x14ac:dyDescent="0.25">
      <c r="A66" s="8" t="s">
        <v>10</v>
      </c>
      <c r="B66" s="9">
        <v>44680</v>
      </c>
      <c r="C66" s="8">
        <v>2022</v>
      </c>
      <c r="E66" s="8" t="s">
        <v>6</v>
      </c>
      <c r="F66" s="8">
        <f>(FruitDMg!F66/FruitFW!F66)*100</f>
        <v>17.2</v>
      </c>
    </row>
    <row r="67" spans="1:6" s="8" customFormat="1" x14ac:dyDescent="0.25">
      <c r="A67" s="8" t="s">
        <v>10</v>
      </c>
      <c r="B67" s="9">
        <v>44685</v>
      </c>
      <c r="C67" s="8">
        <v>2022</v>
      </c>
      <c r="E67" s="8" t="s">
        <v>6</v>
      </c>
      <c r="F67" s="8">
        <f>(FruitDMg!F67/FruitFW!F67)*100</f>
        <v>18.899999999999999</v>
      </c>
    </row>
    <row r="68" spans="1:6" s="8" customFormat="1" x14ac:dyDescent="0.25">
      <c r="A68" s="8" t="s">
        <v>10</v>
      </c>
      <c r="B68" s="9">
        <v>44699</v>
      </c>
      <c r="C68" s="8">
        <v>2022</v>
      </c>
      <c r="E68" s="8" t="s">
        <v>6</v>
      </c>
      <c r="F68" s="8">
        <f>(FruitDMg!F68/FruitFW!F68)*100</f>
        <v>17.600000000000001</v>
      </c>
    </row>
    <row r="69" spans="1:6" s="8" customFormat="1" x14ac:dyDescent="0.25">
      <c r="A69" s="8" t="s">
        <v>10</v>
      </c>
      <c r="B69" s="9">
        <v>44713</v>
      </c>
      <c r="C69" s="8">
        <v>2022</v>
      </c>
      <c r="E69" s="8" t="s">
        <v>6</v>
      </c>
      <c r="F69" s="8">
        <f>(FruitDMg!F69/FruitFW!F69)*100</f>
        <v>17.899999999999999</v>
      </c>
    </row>
    <row r="70" spans="1:6" s="8" customFormat="1" x14ac:dyDescent="0.25">
      <c r="A70" s="8" t="s">
        <v>10</v>
      </c>
      <c r="B70" s="9">
        <v>44952</v>
      </c>
      <c r="C70" s="8">
        <v>2023</v>
      </c>
      <c r="E70" s="8" t="s">
        <v>6</v>
      </c>
      <c r="F70" s="8">
        <f>(FruitDMg!F70/FruitFW!F70)*100</f>
        <v>9.6999999999999993</v>
      </c>
    </row>
    <row r="71" spans="1:6" s="8" customFormat="1" x14ac:dyDescent="0.25">
      <c r="A71" s="8" t="s">
        <v>10</v>
      </c>
      <c r="B71" s="9">
        <v>44973</v>
      </c>
      <c r="C71" s="8">
        <v>2023</v>
      </c>
      <c r="E71" s="8" t="s">
        <v>6</v>
      </c>
      <c r="F71" s="8">
        <f>(FruitDMg!F71/FruitFW!F71)*100</f>
        <v>12.699999999999998</v>
      </c>
    </row>
    <row r="72" spans="1:6" s="8" customFormat="1" x14ac:dyDescent="0.25">
      <c r="A72" s="8" t="s">
        <v>10</v>
      </c>
      <c r="B72" s="9">
        <v>44987</v>
      </c>
      <c r="C72" s="8">
        <v>2023</v>
      </c>
      <c r="E72" s="8" t="s">
        <v>6</v>
      </c>
      <c r="F72" s="8">
        <f>(FruitDMg!F72/FruitFW!F72)*100</f>
        <v>14.399999999999999</v>
      </c>
    </row>
    <row r="73" spans="1:6" s="8" customFormat="1" x14ac:dyDescent="0.25">
      <c r="A73" s="8" t="s">
        <v>10</v>
      </c>
      <c r="B73" s="9">
        <v>45001</v>
      </c>
      <c r="C73" s="8">
        <v>2023</v>
      </c>
      <c r="E73" s="8" t="s">
        <v>6</v>
      </c>
      <c r="F73" s="8">
        <f>(FruitDMg!F73/FruitFW!F73)*100</f>
        <v>16.100000000000001</v>
      </c>
    </row>
    <row r="74" spans="1:6" s="8" customFormat="1" x14ac:dyDescent="0.25">
      <c r="A74" s="8" t="s">
        <v>10</v>
      </c>
      <c r="B74" s="9">
        <v>45014</v>
      </c>
      <c r="C74" s="8">
        <v>2023</v>
      </c>
      <c r="E74" s="8" t="s">
        <v>6</v>
      </c>
      <c r="F74" s="8">
        <f>(FruitDMg!F74/FruitFW!F74)*100</f>
        <v>17</v>
      </c>
    </row>
    <row r="75" spans="1:6" s="8" customFormat="1" x14ac:dyDescent="0.25">
      <c r="A75" s="8" t="s">
        <v>10</v>
      </c>
      <c r="B75" s="9">
        <v>45029</v>
      </c>
      <c r="C75" s="8">
        <v>2023</v>
      </c>
      <c r="E75" s="8" t="s">
        <v>6</v>
      </c>
      <c r="F75" s="8">
        <f>(FruitDMg!F75/FruitFW!F75)*100</f>
        <v>17.600000000000001</v>
      </c>
    </row>
    <row r="76" spans="1:6" s="8" customFormat="1" x14ac:dyDescent="0.25">
      <c r="A76" s="8" t="s">
        <v>10</v>
      </c>
      <c r="B76" s="9">
        <v>45041</v>
      </c>
      <c r="C76" s="8">
        <v>2023</v>
      </c>
      <c r="E76" s="8" t="s">
        <v>6</v>
      </c>
      <c r="F76" s="8">
        <f>(FruitDMg!F76/FruitFW!F76)*100</f>
        <v>18.600000000000001</v>
      </c>
    </row>
    <row r="77" spans="1:6" s="8" customFormat="1" x14ac:dyDescent="0.25">
      <c r="A77" s="8" t="s">
        <v>10</v>
      </c>
      <c r="B77" s="9">
        <v>45049</v>
      </c>
      <c r="C77" s="8">
        <v>2023</v>
      </c>
      <c r="E77" s="8" t="s">
        <v>6</v>
      </c>
      <c r="F77" s="8">
        <f>(FruitDMg!F77/FruitFW!F77)*100</f>
        <v>18.699999999999996</v>
      </c>
    </row>
    <row r="78" spans="1:6" s="8" customFormat="1" x14ac:dyDescent="0.25">
      <c r="A78" s="8" t="s">
        <v>10</v>
      </c>
      <c r="B78" s="9">
        <v>45062</v>
      </c>
      <c r="C78" s="8">
        <v>2023</v>
      </c>
      <c r="E78" s="8" t="s">
        <v>6</v>
      </c>
      <c r="F78" s="8">
        <f>(FruitDMg!F78/FruitFW!F78)*100</f>
        <v>18.2</v>
      </c>
    </row>
    <row r="79" spans="1:6" s="8" customFormat="1" x14ac:dyDescent="0.25">
      <c r="A79" s="8" t="s">
        <v>10</v>
      </c>
      <c r="B79" s="9">
        <v>45076</v>
      </c>
      <c r="C79" s="8">
        <v>2023</v>
      </c>
      <c r="E79" s="8" t="s">
        <v>6</v>
      </c>
      <c r="F79" s="8">
        <f>(FruitDMg!F79/FruitFW!F79)*100</f>
        <v>18.7</v>
      </c>
    </row>
    <row r="80" spans="1:6" s="8" customFormat="1" x14ac:dyDescent="0.25">
      <c r="A80" s="8" t="s">
        <v>10</v>
      </c>
      <c r="B80" s="9">
        <v>45083</v>
      </c>
      <c r="C80" s="8">
        <v>2023</v>
      </c>
      <c r="E80" s="8" t="s">
        <v>6</v>
      </c>
      <c r="F80" s="8">
        <f>(FruitDMg!F80/FruitFW!F80)*100</f>
        <v>18.899999999999999</v>
      </c>
    </row>
    <row r="81" spans="1:6" s="8" customFormat="1" x14ac:dyDescent="0.25">
      <c r="A81" s="8" t="s">
        <v>10</v>
      </c>
      <c r="B81" s="9">
        <v>45314</v>
      </c>
      <c r="C81" s="8">
        <v>2024</v>
      </c>
      <c r="E81" s="8" t="s">
        <v>6</v>
      </c>
      <c r="F81" s="8">
        <f>(FruitDMg!F81/FruitFW!F81)*100</f>
        <v>8.8000000000000025</v>
      </c>
    </row>
    <row r="82" spans="1:6" s="8" customFormat="1" x14ac:dyDescent="0.25">
      <c r="A82" s="8" t="s">
        <v>10</v>
      </c>
      <c r="B82" s="9">
        <v>45337</v>
      </c>
      <c r="C82" s="8">
        <v>2024</v>
      </c>
      <c r="E82" s="8" t="s">
        <v>6</v>
      </c>
      <c r="F82" s="8">
        <f>(FruitDMg!F82/FruitFW!F82)*100</f>
        <v>12.699999999999998</v>
      </c>
    </row>
    <row r="83" spans="1:6" s="8" customFormat="1" x14ac:dyDescent="0.25">
      <c r="A83" s="8" t="s">
        <v>10</v>
      </c>
      <c r="B83" s="9">
        <v>45348</v>
      </c>
      <c r="C83" s="8">
        <v>2024</v>
      </c>
      <c r="E83" s="8" t="s">
        <v>6</v>
      </c>
      <c r="F83" s="8">
        <f>(FruitDMg!F83/FruitFW!F83)*100</f>
        <v>13.600000000000001</v>
      </c>
    </row>
    <row r="84" spans="1:6" s="8" customFormat="1" x14ac:dyDescent="0.25">
      <c r="A84" s="8" t="s">
        <v>10</v>
      </c>
      <c r="B84" s="9">
        <v>45365</v>
      </c>
      <c r="C84" s="8">
        <v>2024</v>
      </c>
      <c r="E84" s="8" t="s">
        <v>6</v>
      </c>
      <c r="F84" s="8">
        <f>(FruitDMg!F84/FruitFW!F84)*100</f>
        <v>15.300000000000002</v>
      </c>
    </row>
    <row r="85" spans="1:6" s="8" customFormat="1" x14ac:dyDescent="0.25">
      <c r="A85" s="8" t="s">
        <v>10</v>
      </c>
      <c r="B85" s="9">
        <v>45379</v>
      </c>
      <c r="C85" s="8">
        <v>2024</v>
      </c>
      <c r="E85" s="8" t="s">
        <v>6</v>
      </c>
      <c r="F85" s="8">
        <f>(FruitDMg!F85/FruitFW!F85)*100</f>
        <v>16.600000000000001</v>
      </c>
    </row>
    <row r="86" spans="1:6" s="8" customFormat="1" x14ac:dyDescent="0.25">
      <c r="A86" s="8" t="s">
        <v>10</v>
      </c>
      <c r="B86" s="9">
        <v>45393</v>
      </c>
      <c r="C86" s="8">
        <v>2024</v>
      </c>
      <c r="E86" s="8" t="s">
        <v>6</v>
      </c>
      <c r="F86" s="8">
        <f>(FruitDMg!F86/FruitFW!F86)*100</f>
        <v>17</v>
      </c>
    </row>
    <row r="87" spans="1:6" s="8" customFormat="1" x14ac:dyDescent="0.25">
      <c r="A87" s="8" t="s">
        <v>10</v>
      </c>
      <c r="B87" s="9">
        <v>45407</v>
      </c>
      <c r="C87" s="8">
        <v>2024</v>
      </c>
      <c r="E87" s="8" t="s">
        <v>6</v>
      </c>
      <c r="F87" s="8">
        <f>(FruitDMg!F87/FruitFW!F87)*100</f>
        <v>17.399999999999999</v>
      </c>
    </row>
    <row r="88" spans="1:6" s="8" customFormat="1" x14ac:dyDescent="0.25">
      <c r="A88" s="8" t="s">
        <v>10</v>
      </c>
      <c r="B88" s="9">
        <v>45414</v>
      </c>
      <c r="C88" s="8">
        <v>2024</v>
      </c>
      <c r="E88" s="8" t="s">
        <v>6</v>
      </c>
      <c r="F88" s="8">
        <f>(FruitDMg!F88/FruitFW!F88)*100</f>
        <v>17.600000000000001</v>
      </c>
    </row>
    <row r="89" spans="1:6" s="8" customFormat="1" x14ac:dyDescent="0.25">
      <c r="A89" s="8" t="s">
        <v>10</v>
      </c>
      <c r="B89" s="9">
        <v>45425</v>
      </c>
      <c r="C89" s="8">
        <v>2024</v>
      </c>
      <c r="E89" s="8" t="s">
        <v>6</v>
      </c>
      <c r="F89" s="8">
        <f>(FruitDMg!F89/FruitFW!F89)*100</f>
        <v>18.399999999999999</v>
      </c>
    </row>
    <row r="90" spans="1:6" s="8" customFormat="1" x14ac:dyDescent="0.25">
      <c r="A90" s="8" t="s">
        <v>10</v>
      </c>
      <c r="B90" s="9">
        <v>45441</v>
      </c>
      <c r="C90" s="8">
        <v>2024</v>
      </c>
      <c r="E90" s="8" t="s">
        <v>6</v>
      </c>
      <c r="F90" s="8">
        <f>(FruitDMg!F90/FruitFW!F90)*100</f>
        <v>18.099999999999998</v>
      </c>
    </row>
    <row r="91" spans="1:6" s="8" customFormat="1" x14ac:dyDescent="0.25">
      <c r="A91" s="8" t="s">
        <v>10</v>
      </c>
      <c r="B91" s="9">
        <v>45453</v>
      </c>
      <c r="C91" s="8">
        <v>2024</v>
      </c>
      <c r="E91" s="8" t="s">
        <v>6</v>
      </c>
      <c r="F91" s="8">
        <f>(FruitDMg!F91/FruitFW!F91)*100</f>
        <v>17.899999999999995</v>
      </c>
    </row>
    <row r="92" spans="1:6" x14ac:dyDescent="0.25">
      <c r="B92" s="7"/>
    </row>
    <row r="93" spans="1:6" s="10" customFormat="1" x14ac:dyDescent="0.25">
      <c r="A93" s="10" t="s">
        <v>11</v>
      </c>
      <c r="B93" s="11">
        <v>44595</v>
      </c>
      <c r="C93" s="10">
        <f>YEAR((B93))</f>
        <v>2022</v>
      </c>
      <c r="E93" s="10" t="s">
        <v>6</v>
      </c>
      <c r="F93" s="10">
        <f>(FruitDMg!F93/FruitFW!F93)*100</f>
        <v>10</v>
      </c>
    </row>
    <row r="94" spans="1:6" s="10" customFormat="1" x14ac:dyDescent="0.25">
      <c r="A94" s="10" t="s">
        <v>11</v>
      </c>
      <c r="B94" s="11">
        <v>44608</v>
      </c>
      <c r="C94" s="10">
        <f t="shared" ref="C94:C125" si="0">YEAR((B94))</f>
        <v>2022</v>
      </c>
      <c r="E94" s="10" t="s">
        <v>6</v>
      </c>
      <c r="F94" s="10">
        <f>(FruitDMg!F94/FruitFW!F94)*100</f>
        <v>12.2</v>
      </c>
    </row>
    <row r="95" spans="1:6" s="10" customFormat="1" x14ac:dyDescent="0.25">
      <c r="A95" s="10" t="s">
        <v>11</v>
      </c>
      <c r="B95" s="11">
        <v>44622</v>
      </c>
      <c r="C95" s="10">
        <f t="shared" si="0"/>
        <v>2022</v>
      </c>
      <c r="E95" s="10" t="s">
        <v>6</v>
      </c>
      <c r="F95" s="10">
        <f>(FruitDMg!F95/FruitFW!F95)*100</f>
        <v>14.099999999999998</v>
      </c>
    </row>
    <row r="96" spans="1:6" s="10" customFormat="1" x14ac:dyDescent="0.25">
      <c r="A96" s="10" t="s">
        <v>11</v>
      </c>
      <c r="B96" s="11">
        <v>44636</v>
      </c>
      <c r="C96" s="10">
        <f t="shared" si="0"/>
        <v>2022</v>
      </c>
      <c r="E96" s="10" t="s">
        <v>6</v>
      </c>
      <c r="F96" s="10">
        <f>(FruitDMg!F96/FruitFW!F96)*100</f>
        <v>13.899999999999999</v>
      </c>
    </row>
    <row r="97" spans="1:6" s="10" customFormat="1" x14ac:dyDescent="0.25">
      <c r="A97" s="10" t="s">
        <v>11</v>
      </c>
      <c r="B97" s="11">
        <v>44650</v>
      </c>
      <c r="C97" s="10">
        <f t="shared" si="0"/>
        <v>2022</v>
      </c>
      <c r="E97" s="10" t="s">
        <v>6</v>
      </c>
      <c r="F97" s="10">
        <f>(FruitDMg!F97/FruitFW!F97)*100</f>
        <v>17.2</v>
      </c>
    </row>
    <row r="98" spans="1:6" s="10" customFormat="1" x14ac:dyDescent="0.25">
      <c r="A98" s="10" t="s">
        <v>11</v>
      </c>
      <c r="B98" s="11">
        <v>44664</v>
      </c>
      <c r="C98" s="10">
        <f t="shared" si="0"/>
        <v>2022</v>
      </c>
      <c r="E98" s="10" t="s">
        <v>6</v>
      </c>
      <c r="F98" s="10">
        <f>(FruitDMg!F98/FruitFW!F98)*100</f>
        <v>15.6</v>
      </c>
    </row>
    <row r="99" spans="1:6" s="10" customFormat="1" x14ac:dyDescent="0.25">
      <c r="A99" s="10" t="s">
        <v>11</v>
      </c>
      <c r="B99" s="11">
        <v>44673</v>
      </c>
      <c r="C99" s="10">
        <f t="shared" si="0"/>
        <v>2022</v>
      </c>
      <c r="E99" s="10" t="s">
        <v>6</v>
      </c>
      <c r="F99" s="10">
        <f>(FruitDMg!F99/FruitFW!F99)*100</f>
        <v>15.9</v>
      </c>
    </row>
    <row r="100" spans="1:6" s="10" customFormat="1" x14ac:dyDescent="0.25">
      <c r="A100" s="10" t="s">
        <v>11</v>
      </c>
      <c r="B100" s="11">
        <v>44680</v>
      </c>
      <c r="C100" s="10">
        <f t="shared" si="0"/>
        <v>2022</v>
      </c>
      <c r="E100" s="10" t="s">
        <v>6</v>
      </c>
      <c r="F100" s="10">
        <f>(FruitDMg!F100/FruitFW!F100)*100</f>
        <v>17.599999999999998</v>
      </c>
    </row>
    <row r="101" spans="1:6" s="10" customFormat="1" x14ac:dyDescent="0.25">
      <c r="A101" s="10" t="s">
        <v>11</v>
      </c>
      <c r="B101" s="11">
        <v>44685</v>
      </c>
      <c r="C101" s="10">
        <f>YEAR((B101))</f>
        <v>2022</v>
      </c>
      <c r="E101" s="10" t="s">
        <v>6</v>
      </c>
      <c r="F101" s="10">
        <f>(FruitDMg!F101/FruitFW!F101)*100</f>
        <v>18.199999999999996</v>
      </c>
    </row>
    <row r="102" spans="1:6" s="10" customFormat="1" x14ac:dyDescent="0.25">
      <c r="A102" s="10" t="s">
        <v>11</v>
      </c>
      <c r="B102" s="11">
        <v>44699</v>
      </c>
      <c r="C102" s="10">
        <f t="shared" si="0"/>
        <v>2022</v>
      </c>
      <c r="E102" s="10" t="s">
        <v>6</v>
      </c>
      <c r="F102" s="10">
        <f>(FruitDMg!F102/FruitFW!F102)*100</f>
        <v>17.7</v>
      </c>
    </row>
    <row r="103" spans="1:6" s="10" customFormat="1" x14ac:dyDescent="0.25">
      <c r="A103" s="10" t="s">
        <v>11</v>
      </c>
      <c r="B103" s="11">
        <v>44713</v>
      </c>
      <c r="C103" s="10">
        <f t="shared" si="0"/>
        <v>2022</v>
      </c>
      <c r="E103" s="10" t="s">
        <v>6</v>
      </c>
      <c r="F103" s="10">
        <f>(FruitDMg!F103/FruitFW!F103)*100</f>
        <v>18.100000000000001</v>
      </c>
    </row>
    <row r="104" spans="1:6" s="10" customFormat="1" x14ac:dyDescent="0.25">
      <c r="A104" s="10" t="s">
        <v>11</v>
      </c>
      <c r="B104" s="11">
        <v>44950</v>
      </c>
      <c r="C104" s="10">
        <f t="shared" si="0"/>
        <v>2023</v>
      </c>
      <c r="E104" s="10" t="s">
        <v>6</v>
      </c>
      <c r="F104" s="10">
        <f>(FruitDMg!F104/FruitFW!F104)*100</f>
        <v>9.0000000000000018</v>
      </c>
    </row>
    <row r="105" spans="1:6" s="10" customFormat="1" x14ac:dyDescent="0.25">
      <c r="A105" s="10" t="s">
        <v>11</v>
      </c>
      <c r="B105" s="11">
        <v>44974</v>
      </c>
      <c r="C105" s="10">
        <f t="shared" si="0"/>
        <v>2023</v>
      </c>
      <c r="E105" s="10" t="s">
        <v>6</v>
      </c>
      <c r="F105" s="10">
        <f>(FruitDMg!F105/FruitFW!F105)*100</f>
        <v>11.300000000000002</v>
      </c>
    </row>
    <row r="106" spans="1:6" s="10" customFormat="1" x14ac:dyDescent="0.25">
      <c r="A106" s="10" t="s">
        <v>11</v>
      </c>
      <c r="B106" s="11">
        <v>44987</v>
      </c>
      <c r="C106" s="10">
        <f t="shared" si="0"/>
        <v>2023</v>
      </c>
      <c r="E106" s="10" t="s">
        <v>6</v>
      </c>
      <c r="F106" s="10">
        <f>(FruitDMg!F106/FruitFW!F106)*100</f>
        <v>13.5</v>
      </c>
    </row>
    <row r="107" spans="1:6" s="10" customFormat="1" x14ac:dyDescent="0.25">
      <c r="A107" s="10" t="s">
        <v>11</v>
      </c>
      <c r="B107" s="11">
        <v>45001</v>
      </c>
      <c r="C107" s="10">
        <f t="shared" si="0"/>
        <v>2023</v>
      </c>
      <c r="E107" s="10" t="s">
        <v>6</v>
      </c>
      <c r="F107" s="10">
        <f>(FruitDMg!F107/FruitFW!F107)*100</f>
        <v>15.299999999999999</v>
      </c>
    </row>
    <row r="108" spans="1:6" s="10" customFormat="1" x14ac:dyDescent="0.25">
      <c r="A108" s="10" t="s">
        <v>11</v>
      </c>
      <c r="B108" s="11">
        <v>45014</v>
      </c>
      <c r="C108" s="10">
        <f t="shared" si="0"/>
        <v>2023</v>
      </c>
      <c r="E108" s="10" t="s">
        <v>6</v>
      </c>
      <c r="F108" s="10">
        <f>(FruitDMg!F108/FruitFW!F108)*100</f>
        <v>16</v>
      </c>
    </row>
    <row r="109" spans="1:6" s="10" customFormat="1" x14ac:dyDescent="0.25">
      <c r="A109" s="10" t="s">
        <v>11</v>
      </c>
      <c r="B109" s="11">
        <v>45031</v>
      </c>
      <c r="C109" s="10">
        <f t="shared" si="0"/>
        <v>2023</v>
      </c>
      <c r="E109" s="10" t="s">
        <v>6</v>
      </c>
      <c r="F109" s="10">
        <f>(FruitDMg!F109/FruitFW!F109)*100</f>
        <v>16.7</v>
      </c>
    </row>
    <row r="110" spans="1:6" s="10" customFormat="1" x14ac:dyDescent="0.25">
      <c r="A110" s="10" t="s">
        <v>11</v>
      </c>
      <c r="B110" s="11">
        <v>45041</v>
      </c>
      <c r="C110" s="10">
        <f t="shared" si="0"/>
        <v>2023</v>
      </c>
      <c r="E110" s="10" t="s">
        <v>6</v>
      </c>
      <c r="F110" s="10">
        <f>(FruitDMg!F110/FruitFW!F110)*100</f>
        <v>17.399999999999999</v>
      </c>
    </row>
    <row r="111" spans="1:6" s="10" customFormat="1" x14ac:dyDescent="0.25">
      <c r="A111" s="10" t="s">
        <v>11</v>
      </c>
      <c r="B111" s="11">
        <v>45049</v>
      </c>
      <c r="C111" s="10">
        <f t="shared" si="0"/>
        <v>2023</v>
      </c>
      <c r="E111" s="10" t="s">
        <v>6</v>
      </c>
      <c r="F111" s="10">
        <f>(FruitDMg!F111/FruitFW!F111)*100</f>
        <v>17.5</v>
      </c>
    </row>
    <row r="112" spans="1:6" s="10" customFormat="1" x14ac:dyDescent="0.25">
      <c r="A112" s="10" t="s">
        <v>11</v>
      </c>
      <c r="B112" s="11">
        <v>45062</v>
      </c>
      <c r="C112" s="10">
        <f t="shared" si="0"/>
        <v>2023</v>
      </c>
      <c r="E112" s="10" t="s">
        <v>6</v>
      </c>
      <c r="F112" s="10">
        <f>(FruitDMg!F112/FruitFW!F112)*100</f>
        <v>17.8</v>
      </c>
    </row>
    <row r="113" spans="1:6" s="10" customFormat="1" x14ac:dyDescent="0.25">
      <c r="A113" s="10" t="s">
        <v>11</v>
      </c>
      <c r="B113" s="11">
        <v>45077</v>
      </c>
      <c r="C113" s="10">
        <f t="shared" si="0"/>
        <v>2023</v>
      </c>
      <c r="E113" s="10" t="s">
        <v>6</v>
      </c>
      <c r="F113" s="10">
        <f>(FruitDMg!F113/FruitFW!F113)*100</f>
        <v>17.8</v>
      </c>
    </row>
    <row r="114" spans="1:6" s="10" customFormat="1" x14ac:dyDescent="0.25">
      <c r="A114" s="10" t="s">
        <v>11</v>
      </c>
      <c r="B114" s="11">
        <v>45083</v>
      </c>
      <c r="C114" s="10">
        <f t="shared" si="0"/>
        <v>2023</v>
      </c>
      <c r="E114" s="10" t="s">
        <v>6</v>
      </c>
      <c r="F114" s="10">
        <f>(FruitDMg!F114/FruitFW!F114)*100</f>
        <v>17.899999999999999</v>
      </c>
    </row>
    <row r="115" spans="1:6" s="10" customFormat="1" x14ac:dyDescent="0.25">
      <c r="A115" s="10" t="s">
        <v>11</v>
      </c>
      <c r="B115" s="11">
        <v>45314</v>
      </c>
      <c r="C115" s="10">
        <f t="shared" si="0"/>
        <v>2024</v>
      </c>
      <c r="E115" s="10" t="s">
        <v>6</v>
      </c>
      <c r="F115" s="10">
        <f>(FruitDMg!F115/FruitFW!F115)*100</f>
        <v>8.3000000000000007</v>
      </c>
    </row>
    <row r="116" spans="1:6" s="10" customFormat="1" x14ac:dyDescent="0.25">
      <c r="A116" s="10" t="s">
        <v>11</v>
      </c>
      <c r="B116" s="11">
        <v>45336</v>
      </c>
      <c r="C116" s="10">
        <f t="shared" si="0"/>
        <v>2024</v>
      </c>
      <c r="E116" s="10" t="s">
        <v>6</v>
      </c>
      <c r="F116" s="10">
        <f>(FruitDMg!F116/FruitFW!F116)*100</f>
        <v>11.9</v>
      </c>
    </row>
    <row r="117" spans="1:6" s="10" customFormat="1" x14ac:dyDescent="0.25">
      <c r="A117" s="10" t="s">
        <v>11</v>
      </c>
      <c r="B117" s="11">
        <v>45348</v>
      </c>
      <c r="C117" s="10">
        <f t="shared" si="0"/>
        <v>2024</v>
      </c>
      <c r="E117" s="10" t="s">
        <v>6</v>
      </c>
      <c r="F117" s="10">
        <f>(FruitDMg!F117/FruitFW!F117)*100</f>
        <v>13.5</v>
      </c>
    </row>
    <row r="118" spans="1:6" s="10" customFormat="1" x14ac:dyDescent="0.25">
      <c r="A118" s="10" t="s">
        <v>11</v>
      </c>
      <c r="B118" s="11">
        <v>45365</v>
      </c>
      <c r="C118" s="10">
        <f t="shared" si="0"/>
        <v>2024</v>
      </c>
      <c r="E118" s="10" t="s">
        <v>6</v>
      </c>
      <c r="F118" s="10">
        <f>(FruitDMg!F118/FruitFW!F118)*100</f>
        <v>15.2</v>
      </c>
    </row>
    <row r="119" spans="1:6" s="10" customFormat="1" x14ac:dyDescent="0.25">
      <c r="A119" s="10" t="s">
        <v>11</v>
      </c>
      <c r="B119" s="11">
        <v>45379</v>
      </c>
      <c r="C119" s="10">
        <f t="shared" si="0"/>
        <v>2024</v>
      </c>
      <c r="E119" s="10" t="s">
        <v>6</v>
      </c>
      <c r="F119" s="10">
        <f>(FruitDMg!F119/FruitFW!F119)*100</f>
        <v>16.400000000000002</v>
      </c>
    </row>
    <row r="120" spans="1:6" s="10" customFormat="1" x14ac:dyDescent="0.25">
      <c r="A120" s="10" t="s">
        <v>11</v>
      </c>
      <c r="B120" s="11">
        <v>45390</v>
      </c>
      <c r="C120" s="10">
        <f t="shared" si="0"/>
        <v>2024</v>
      </c>
      <c r="E120" s="10" t="s">
        <v>6</v>
      </c>
      <c r="F120" s="10">
        <f>(FruitDMg!F120/FruitFW!F120)*100</f>
        <v>16.8</v>
      </c>
    </row>
    <row r="121" spans="1:6" s="10" customFormat="1" x14ac:dyDescent="0.25">
      <c r="A121" s="10" t="s">
        <v>11</v>
      </c>
      <c r="B121" s="11">
        <v>45404</v>
      </c>
      <c r="C121" s="10">
        <f t="shared" si="0"/>
        <v>2024</v>
      </c>
      <c r="E121" s="10" t="s">
        <v>6</v>
      </c>
      <c r="F121" s="10">
        <f>(FruitDMg!F121/FruitFW!F121)*100</f>
        <v>17.2</v>
      </c>
    </row>
    <row r="122" spans="1:6" s="10" customFormat="1" x14ac:dyDescent="0.25">
      <c r="A122" s="10" t="s">
        <v>11</v>
      </c>
      <c r="B122" s="11">
        <v>45413</v>
      </c>
      <c r="C122" s="10">
        <f t="shared" si="0"/>
        <v>2024</v>
      </c>
      <c r="E122" s="10" t="s">
        <v>6</v>
      </c>
      <c r="F122" s="10">
        <f>(FruitDMg!F122/FruitFW!F122)*100</f>
        <v>17.699999999999996</v>
      </c>
    </row>
    <row r="123" spans="1:6" s="10" customFormat="1" x14ac:dyDescent="0.25">
      <c r="A123" s="10" t="s">
        <v>11</v>
      </c>
      <c r="B123" s="11">
        <v>45425</v>
      </c>
      <c r="C123" s="10">
        <f t="shared" si="0"/>
        <v>2024</v>
      </c>
      <c r="E123" s="10" t="s">
        <v>6</v>
      </c>
      <c r="F123" s="10">
        <f>(FruitDMg!F123/FruitFW!F123)*100</f>
        <v>18.399999999999999</v>
      </c>
    </row>
    <row r="124" spans="1:6" s="10" customFormat="1" x14ac:dyDescent="0.25">
      <c r="A124" s="10" t="s">
        <v>11</v>
      </c>
      <c r="B124" s="11">
        <v>45441</v>
      </c>
      <c r="C124" s="10">
        <f t="shared" si="0"/>
        <v>2024</v>
      </c>
      <c r="E124" s="10" t="s">
        <v>6</v>
      </c>
      <c r="F124" s="10">
        <f>(FruitDMg!F124/FruitFW!F124)*100</f>
        <v>17.899999999999995</v>
      </c>
    </row>
    <row r="125" spans="1:6" s="10" customFormat="1" x14ac:dyDescent="0.25">
      <c r="A125" s="10" t="s">
        <v>11</v>
      </c>
      <c r="B125" s="11">
        <v>45453</v>
      </c>
      <c r="C125" s="10">
        <f t="shared" si="0"/>
        <v>2024</v>
      </c>
      <c r="E125" s="10" t="s">
        <v>6</v>
      </c>
      <c r="F125" s="10">
        <f>(FruitDMg!F125/FruitFW!F125)*100</f>
        <v>18</v>
      </c>
    </row>
    <row r="127" spans="1:6" x14ac:dyDescent="0.25">
      <c r="A127" s="12" t="s">
        <v>12</v>
      </c>
      <c r="B127" s="13">
        <v>44595</v>
      </c>
      <c r="C127" s="12">
        <f>YEAR(B127)</f>
        <v>2022</v>
      </c>
      <c r="D127" s="12"/>
      <c r="E127" s="12" t="s">
        <v>6</v>
      </c>
      <c r="F127" s="12">
        <f>(FruitDMg!F127/FruitFW!F127)*100</f>
        <v>9.7000000000000011</v>
      </c>
    </row>
    <row r="128" spans="1:6" x14ac:dyDescent="0.25">
      <c r="A128" s="12" t="s">
        <v>12</v>
      </c>
      <c r="B128" s="13">
        <v>44608</v>
      </c>
      <c r="C128" s="12">
        <f t="shared" ref="C128:C159" si="1">YEAR(B128)</f>
        <v>2022</v>
      </c>
      <c r="D128" s="12"/>
      <c r="E128" s="12" t="s">
        <v>6</v>
      </c>
      <c r="F128" s="12">
        <f>(FruitDMg!F128/FruitFW!F128)*100</f>
        <v>11.4</v>
      </c>
    </row>
    <row r="129" spans="1:6" x14ac:dyDescent="0.25">
      <c r="A129" s="12" t="s">
        <v>12</v>
      </c>
      <c r="B129" s="13">
        <v>44622</v>
      </c>
      <c r="C129" s="12">
        <f t="shared" si="1"/>
        <v>2022</v>
      </c>
      <c r="D129" s="12"/>
      <c r="E129" s="12" t="s">
        <v>6</v>
      </c>
      <c r="F129" s="12">
        <f>(FruitDMg!F129/FruitFW!F129)*100</f>
        <v>12.8</v>
      </c>
    </row>
    <row r="130" spans="1:6" x14ac:dyDescent="0.25">
      <c r="A130" s="12" t="s">
        <v>12</v>
      </c>
      <c r="B130" s="13">
        <v>44636</v>
      </c>
      <c r="C130" s="12">
        <f t="shared" si="1"/>
        <v>2022</v>
      </c>
      <c r="D130" s="12"/>
      <c r="E130" s="12" t="s">
        <v>6</v>
      </c>
      <c r="F130" s="12">
        <f>(FruitDMg!F130/FruitFW!F130)*100</f>
        <v>12.099999999999998</v>
      </c>
    </row>
    <row r="131" spans="1:6" x14ac:dyDescent="0.25">
      <c r="A131" s="12" t="s">
        <v>12</v>
      </c>
      <c r="B131" s="13">
        <v>44650</v>
      </c>
      <c r="C131" s="12">
        <f t="shared" si="1"/>
        <v>2022</v>
      </c>
      <c r="D131" s="12"/>
      <c r="E131" s="12" t="s">
        <v>6</v>
      </c>
      <c r="F131" s="12">
        <f>(FruitDMg!F131/FruitFW!F131)*100</f>
        <v>14.6</v>
      </c>
    </row>
    <row r="132" spans="1:6" x14ac:dyDescent="0.25">
      <c r="A132" s="12" t="s">
        <v>12</v>
      </c>
      <c r="B132" s="13">
        <v>44664</v>
      </c>
      <c r="C132" s="12">
        <f t="shared" si="1"/>
        <v>2022</v>
      </c>
      <c r="D132" s="12"/>
      <c r="E132" s="12" t="s">
        <v>6</v>
      </c>
      <c r="F132" s="12">
        <f>(FruitDMg!F132/FruitFW!F132)*100</f>
        <v>14.400000000000002</v>
      </c>
    </row>
    <row r="133" spans="1:6" x14ac:dyDescent="0.25">
      <c r="A133" s="12" t="s">
        <v>12</v>
      </c>
      <c r="B133" s="13">
        <v>44672</v>
      </c>
      <c r="C133" s="12">
        <f t="shared" si="1"/>
        <v>2022</v>
      </c>
      <c r="D133" s="12"/>
      <c r="E133" s="12" t="s">
        <v>6</v>
      </c>
      <c r="F133" s="12">
        <f>(FruitDMg!F133/FruitFW!F133)*100</f>
        <v>14.799999999999999</v>
      </c>
    </row>
    <row r="134" spans="1:6" x14ac:dyDescent="0.25">
      <c r="A134" s="12" t="s">
        <v>12</v>
      </c>
      <c r="B134" s="13">
        <v>44680</v>
      </c>
      <c r="C134" s="12">
        <f t="shared" si="1"/>
        <v>2022</v>
      </c>
      <c r="D134" s="12"/>
      <c r="E134" s="12" t="s">
        <v>6</v>
      </c>
      <c r="F134" s="12">
        <f>(FruitDMg!F134/FruitFW!F134)*100</f>
        <v>14.7</v>
      </c>
    </row>
    <row r="135" spans="1:6" x14ac:dyDescent="0.25">
      <c r="A135" s="12" t="s">
        <v>12</v>
      </c>
      <c r="B135" s="13">
        <v>44685</v>
      </c>
      <c r="C135" s="12">
        <f t="shared" si="1"/>
        <v>2022</v>
      </c>
      <c r="D135" s="12"/>
      <c r="E135" s="12" t="s">
        <v>6</v>
      </c>
      <c r="F135" s="12">
        <f>(FruitDMg!F135/FruitFW!F135)*100</f>
        <v>14.6</v>
      </c>
    </row>
    <row r="136" spans="1:6" x14ac:dyDescent="0.25">
      <c r="A136" s="12" t="s">
        <v>12</v>
      </c>
      <c r="B136" s="13">
        <v>44699</v>
      </c>
      <c r="C136" s="12">
        <f t="shared" si="1"/>
        <v>2022</v>
      </c>
      <c r="D136" s="12"/>
      <c r="E136" s="12" t="s">
        <v>6</v>
      </c>
      <c r="F136" s="12">
        <f>(FruitDMg!F136/FruitFW!F136)*100</f>
        <v>15.8</v>
      </c>
    </row>
    <row r="137" spans="1:6" x14ac:dyDescent="0.25">
      <c r="A137" s="12" t="s">
        <v>12</v>
      </c>
      <c r="B137" s="13">
        <v>44713</v>
      </c>
      <c r="C137" s="12">
        <f t="shared" si="1"/>
        <v>2022</v>
      </c>
      <c r="D137" s="12"/>
      <c r="E137" s="12" t="s">
        <v>6</v>
      </c>
      <c r="F137" s="12">
        <f>(FruitDMg!F137/FruitFW!F137)*100</f>
        <v>16</v>
      </c>
    </row>
    <row r="138" spans="1:6" x14ac:dyDescent="0.25">
      <c r="A138" s="12" t="s">
        <v>12</v>
      </c>
      <c r="B138" s="13">
        <v>44952</v>
      </c>
      <c r="C138" s="12">
        <f t="shared" si="1"/>
        <v>2023</v>
      </c>
      <c r="D138" s="12"/>
      <c r="E138" s="12" t="s">
        <v>6</v>
      </c>
      <c r="F138" s="12">
        <f>(FruitDMg!F138/FruitFW!F138)*100</f>
        <v>8.2999999999999989</v>
      </c>
    </row>
    <row r="139" spans="1:6" x14ac:dyDescent="0.25">
      <c r="A139" s="12" t="s">
        <v>12</v>
      </c>
      <c r="B139" s="13">
        <v>44974</v>
      </c>
      <c r="C139" s="12">
        <f t="shared" si="1"/>
        <v>2023</v>
      </c>
      <c r="D139" s="12"/>
      <c r="E139" s="12" t="s">
        <v>6</v>
      </c>
      <c r="F139" s="12">
        <f>(FruitDMg!F139/FruitFW!F139)*100</f>
        <v>10.5</v>
      </c>
    </row>
    <row r="140" spans="1:6" x14ac:dyDescent="0.25">
      <c r="A140" s="12" t="s">
        <v>12</v>
      </c>
      <c r="B140" s="13">
        <v>44984</v>
      </c>
      <c r="C140" s="12">
        <f t="shared" si="1"/>
        <v>2023</v>
      </c>
      <c r="D140" s="12"/>
      <c r="E140" s="12" t="s">
        <v>6</v>
      </c>
      <c r="F140" s="12">
        <f>(FruitDMg!F140/FruitFW!F140)*100</f>
        <v>12.4</v>
      </c>
    </row>
    <row r="141" spans="1:6" x14ac:dyDescent="0.25">
      <c r="A141" s="12" t="s">
        <v>12</v>
      </c>
      <c r="B141" s="13">
        <v>45000</v>
      </c>
      <c r="C141" s="12">
        <f t="shared" si="1"/>
        <v>2023</v>
      </c>
      <c r="D141" s="12"/>
      <c r="E141" s="12" t="s">
        <v>6</v>
      </c>
      <c r="F141" s="12">
        <f>(FruitDMg!F141/FruitFW!F141)*100</f>
        <v>14.299999999999999</v>
      </c>
    </row>
    <row r="142" spans="1:6" x14ac:dyDescent="0.25">
      <c r="A142" s="12" t="s">
        <v>12</v>
      </c>
      <c r="B142" s="13">
        <v>45015</v>
      </c>
      <c r="C142" s="12">
        <f t="shared" si="1"/>
        <v>2023</v>
      </c>
      <c r="D142" s="12"/>
      <c r="E142" s="12" t="s">
        <v>6</v>
      </c>
      <c r="F142" s="12">
        <f>(FruitDMg!F142/FruitFW!F142)*100</f>
        <v>15.000000000000002</v>
      </c>
    </row>
    <row r="143" spans="1:6" x14ac:dyDescent="0.25">
      <c r="A143" s="12" t="s">
        <v>12</v>
      </c>
      <c r="B143" s="13">
        <v>45029</v>
      </c>
      <c r="C143" s="12">
        <f t="shared" si="1"/>
        <v>2023</v>
      </c>
      <c r="D143" s="12"/>
      <c r="E143" s="12" t="s">
        <v>6</v>
      </c>
      <c r="F143" s="12">
        <f>(FruitDMg!F143/FruitFW!F143)*100</f>
        <v>15.5</v>
      </c>
    </row>
    <row r="144" spans="1:6" x14ac:dyDescent="0.25">
      <c r="A144" s="12" t="s">
        <v>12</v>
      </c>
      <c r="B144" s="13">
        <v>45041</v>
      </c>
      <c r="C144" s="12">
        <f t="shared" si="1"/>
        <v>2023</v>
      </c>
      <c r="D144" s="12"/>
      <c r="E144" s="12" t="s">
        <v>6</v>
      </c>
      <c r="F144" s="12">
        <f>(FruitDMg!F144/FruitFW!F144)*100</f>
        <v>16</v>
      </c>
    </row>
    <row r="145" spans="1:6" x14ac:dyDescent="0.25">
      <c r="A145" s="12" t="s">
        <v>12</v>
      </c>
      <c r="B145" s="13">
        <v>45049</v>
      </c>
      <c r="C145" s="12">
        <f t="shared" si="1"/>
        <v>2023</v>
      </c>
      <c r="D145" s="12"/>
      <c r="E145" s="12" t="s">
        <v>6</v>
      </c>
      <c r="F145" s="12">
        <f>(FruitDMg!F145/FruitFW!F145)*100</f>
        <v>15.6</v>
      </c>
    </row>
    <row r="146" spans="1:6" x14ac:dyDescent="0.25">
      <c r="A146" s="12" t="s">
        <v>12</v>
      </c>
      <c r="B146" s="13">
        <v>45062</v>
      </c>
      <c r="C146" s="12">
        <f t="shared" si="1"/>
        <v>2023</v>
      </c>
      <c r="D146" s="12"/>
      <c r="E146" s="12" t="s">
        <v>6</v>
      </c>
      <c r="F146" s="12">
        <f>(FruitDMg!F146/FruitFW!F146)*100</f>
        <v>15.4</v>
      </c>
    </row>
    <row r="147" spans="1:6" x14ac:dyDescent="0.25">
      <c r="A147" s="12" t="s">
        <v>12</v>
      </c>
      <c r="B147" s="13">
        <v>45076</v>
      </c>
      <c r="C147" s="12">
        <f t="shared" si="1"/>
        <v>2023</v>
      </c>
      <c r="D147" s="12"/>
      <c r="E147" s="12" t="s">
        <v>6</v>
      </c>
      <c r="F147" s="12">
        <f>(FruitDMg!F147/FruitFW!F147)*100</f>
        <v>16</v>
      </c>
    </row>
    <row r="148" spans="1:6" x14ac:dyDescent="0.25">
      <c r="A148" s="12" t="s">
        <v>12</v>
      </c>
      <c r="B148" s="13">
        <v>45083</v>
      </c>
      <c r="C148" s="12">
        <f t="shared" si="1"/>
        <v>2023</v>
      </c>
      <c r="D148" s="12"/>
      <c r="E148" s="12" t="s">
        <v>6</v>
      </c>
      <c r="F148" s="12">
        <f>(FruitDMg!F148/FruitFW!F148)*100</f>
        <v>17</v>
      </c>
    </row>
    <row r="149" spans="1:6" x14ac:dyDescent="0.25">
      <c r="A149" s="12" t="s">
        <v>12</v>
      </c>
      <c r="B149" s="13">
        <v>45316</v>
      </c>
      <c r="C149" s="12">
        <f t="shared" si="1"/>
        <v>2024</v>
      </c>
      <c r="D149" s="12"/>
      <c r="E149" s="12" t="s">
        <v>6</v>
      </c>
      <c r="F149" s="12">
        <f>(FruitDMg!F149/FruitFW!F149)*100</f>
        <v>8.3000000000000025</v>
      </c>
    </row>
    <row r="150" spans="1:6" x14ac:dyDescent="0.25">
      <c r="A150" s="12" t="s">
        <v>12</v>
      </c>
      <c r="B150" s="13">
        <v>45337</v>
      </c>
      <c r="C150" s="12">
        <f t="shared" si="1"/>
        <v>2024</v>
      </c>
      <c r="D150" s="12"/>
      <c r="E150" s="12" t="s">
        <v>6</v>
      </c>
      <c r="F150" s="12">
        <f>(FruitDMg!F150/FruitFW!F150)*100</f>
        <v>11.700000000000001</v>
      </c>
    </row>
    <row r="151" spans="1:6" x14ac:dyDescent="0.25">
      <c r="A151" s="12" t="s">
        <v>12</v>
      </c>
      <c r="B151" s="13">
        <v>45350</v>
      </c>
      <c r="C151" s="12">
        <f t="shared" si="1"/>
        <v>2024</v>
      </c>
      <c r="D151" s="12"/>
      <c r="E151" s="12" t="s">
        <v>6</v>
      </c>
      <c r="F151" s="12">
        <f>(FruitDMg!F151/FruitFW!F151)*100</f>
        <v>13.600000000000001</v>
      </c>
    </row>
    <row r="152" spans="1:6" x14ac:dyDescent="0.25">
      <c r="A152" s="12" t="s">
        <v>12</v>
      </c>
      <c r="B152" s="13">
        <v>45364</v>
      </c>
      <c r="C152" s="12">
        <f t="shared" si="1"/>
        <v>2024</v>
      </c>
      <c r="D152" s="12"/>
      <c r="E152" s="12" t="s">
        <v>6</v>
      </c>
      <c r="F152" s="12">
        <f>(FruitDMg!F152/FruitFW!F152)*100</f>
        <v>15.000000000000002</v>
      </c>
    </row>
    <row r="153" spans="1:6" x14ac:dyDescent="0.25">
      <c r="A153" s="12" t="s">
        <v>12</v>
      </c>
      <c r="B153" s="13">
        <v>45378</v>
      </c>
      <c r="C153" s="12">
        <f t="shared" si="1"/>
        <v>2024</v>
      </c>
      <c r="D153" s="12"/>
      <c r="E153" s="12" t="s">
        <v>6</v>
      </c>
      <c r="F153" s="12">
        <f>(FruitDMg!F153/FruitFW!F153)*100</f>
        <v>15.9</v>
      </c>
    </row>
    <row r="154" spans="1:6" x14ac:dyDescent="0.25">
      <c r="A154" s="12" t="s">
        <v>12</v>
      </c>
      <c r="B154" s="13">
        <v>45393</v>
      </c>
      <c r="C154" s="12">
        <f t="shared" si="1"/>
        <v>2024</v>
      </c>
      <c r="D154" s="12"/>
      <c r="E154" s="12" t="s">
        <v>6</v>
      </c>
      <c r="F154" s="12">
        <f>(FruitDMg!F154/FruitFW!F154)*100</f>
        <v>16.3</v>
      </c>
    </row>
    <row r="155" spans="1:6" x14ac:dyDescent="0.25">
      <c r="A155" s="12" t="s">
        <v>12</v>
      </c>
      <c r="B155" s="13">
        <v>45404</v>
      </c>
      <c r="C155" s="12">
        <f t="shared" si="1"/>
        <v>2024</v>
      </c>
      <c r="D155" s="12"/>
      <c r="E155" s="12" t="s">
        <v>6</v>
      </c>
      <c r="F155" s="12">
        <f>(FruitDMg!F155/FruitFW!F155)*100</f>
        <v>16.2</v>
      </c>
    </row>
    <row r="156" spans="1:6" x14ac:dyDescent="0.25">
      <c r="A156" s="12" t="s">
        <v>12</v>
      </c>
      <c r="B156" s="13">
        <v>45414</v>
      </c>
      <c r="C156" s="12">
        <f t="shared" si="1"/>
        <v>2024</v>
      </c>
      <c r="D156" s="12"/>
      <c r="E156" s="12" t="s">
        <v>6</v>
      </c>
      <c r="F156" s="12">
        <f>(FruitDMg!F156/FruitFW!F156)*100</f>
        <v>17.099999999999998</v>
      </c>
    </row>
    <row r="157" spans="1:6" x14ac:dyDescent="0.25">
      <c r="A157" s="12" t="s">
        <v>12</v>
      </c>
      <c r="B157" s="13">
        <v>45425</v>
      </c>
      <c r="C157" s="12">
        <f t="shared" si="1"/>
        <v>2024</v>
      </c>
      <c r="D157" s="12"/>
      <c r="E157" s="12" t="s">
        <v>6</v>
      </c>
      <c r="F157" s="12">
        <f>(FruitDMg!F157/FruitFW!F157)*100</f>
        <v>17.3</v>
      </c>
    </row>
    <row r="158" spans="1:6" x14ac:dyDescent="0.25">
      <c r="A158" s="12" t="s">
        <v>12</v>
      </c>
      <c r="B158" s="13">
        <v>45441</v>
      </c>
      <c r="C158" s="12">
        <f t="shared" si="1"/>
        <v>2024</v>
      </c>
      <c r="D158" s="12"/>
      <c r="E158" s="12" t="s">
        <v>6</v>
      </c>
      <c r="F158" s="12">
        <f>(FruitDMg!F158/FruitFW!F158)*100</f>
        <v>17.7</v>
      </c>
    </row>
    <row r="159" spans="1:6" x14ac:dyDescent="0.25">
      <c r="A159" s="12" t="s">
        <v>12</v>
      </c>
      <c r="B159" s="13">
        <v>45453</v>
      </c>
      <c r="C159" s="12">
        <f t="shared" si="1"/>
        <v>2024</v>
      </c>
      <c r="D159" s="12"/>
      <c r="E159" s="12" t="s">
        <v>6</v>
      </c>
      <c r="F159" s="12">
        <f>(FruitDMg!F159/FruitFW!F159)*100</f>
        <v>17.8</v>
      </c>
    </row>
    <row r="161" spans="1:6" x14ac:dyDescent="0.25">
      <c r="A161" s="14" t="s">
        <v>13</v>
      </c>
      <c r="B161" s="15">
        <v>45316</v>
      </c>
      <c r="C161" s="14">
        <f t="shared" ref="C161:C171" si="2">YEAR(B161)</f>
        <v>2024</v>
      </c>
      <c r="D161" s="14"/>
      <c r="E161" s="14" t="s">
        <v>6</v>
      </c>
      <c r="F161" s="14">
        <f>(FruitDMg!F161/FruitFW!F161)*100</f>
        <v>8.6999999999999975</v>
      </c>
    </row>
    <row r="162" spans="1:6" x14ac:dyDescent="0.25">
      <c r="A162" s="14" t="s">
        <v>13</v>
      </c>
      <c r="B162" s="15">
        <v>45337</v>
      </c>
      <c r="C162" s="14">
        <f t="shared" si="2"/>
        <v>2024</v>
      </c>
      <c r="D162" s="14"/>
      <c r="E162" s="14" t="s">
        <v>6</v>
      </c>
      <c r="F162" s="14">
        <f>(FruitDMg!F162/FruitFW!F162)*100</f>
        <v>12.1</v>
      </c>
    </row>
    <row r="163" spans="1:6" x14ac:dyDescent="0.25">
      <c r="A163" s="14" t="s">
        <v>13</v>
      </c>
      <c r="B163" s="15">
        <v>45350</v>
      </c>
      <c r="C163" s="14">
        <f t="shared" si="2"/>
        <v>2024</v>
      </c>
      <c r="D163" s="14"/>
      <c r="E163" s="14" t="s">
        <v>6</v>
      </c>
      <c r="F163" s="14">
        <f>(FruitDMg!F163/FruitFW!F163)*100</f>
        <v>13.5</v>
      </c>
    </row>
    <row r="164" spans="1:6" x14ac:dyDescent="0.25">
      <c r="A164" s="14" t="s">
        <v>13</v>
      </c>
      <c r="B164" s="15">
        <v>45364</v>
      </c>
      <c r="C164" s="14">
        <f t="shared" si="2"/>
        <v>2024</v>
      </c>
      <c r="D164" s="14"/>
      <c r="E164" s="14" t="s">
        <v>6</v>
      </c>
      <c r="F164" s="14">
        <f>(FruitDMg!F164/FruitFW!F164)*100</f>
        <v>14.7</v>
      </c>
    </row>
    <row r="165" spans="1:6" x14ac:dyDescent="0.25">
      <c r="A165" s="14" t="s">
        <v>13</v>
      </c>
      <c r="B165" s="15">
        <v>45378</v>
      </c>
      <c r="C165" s="14">
        <f t="shared" si="2"/>
        <v>2024</v>
      </c>
      <c r="D165" s="14"/>
      <c r="E165" s="14" t="s">
        <v>6</v>
      </c>
      <c r="F165" s="14">
        <f>(FruitDMg!F165/FruitFW!F165)*100</f>
        <v>15.7</v>
      </c>
    </row>
    <row r="166" spans="1:6" x14ac:dyDescent="0.25">
      <c r="A166" s="14" t="s">
        <v>13</v>
      </c>
      <c r="B166" s="15">
        <v>45390</v>
      </c>
      <c r="C166" s="14">
        <f t="shared" si="2"/>
        <v>2024</v>
      </c>
      <c r="D166" s="14"/>
      <c r="E166" s="14" t="s">
        <v>6</v>
      </c>
      <c r="F166" s="14">
        <f>(FruitDMg!F166/FruitFW!F166)*100</f>
        <v>16.499999999999996</v>
      </c>
    </row>
    <row r="167" spans="1:6" x14ac:dyDescent="0.25">
      <c r="A167" s="14" t="s">
        <v>13</v>
      </c>
      <c r="B167" s="15">
        <v>45407</v>
      </c>
      <c r="C167" s="14">
        <f t="shared" si="2"/>
        <v>2024</v>
      </c>
      <c r="D167" s="14"/>
      <c r="E167" s="14" t="s">
        <v>6</v>
      </c>
      <c r="F167" s="14">
        <f>(FruitDMg!F167/FruitFW!F167)*100</f>
        <v>16.5</v>
      </c>
    </row>
    <row r="168" spans="1:6" x14ac:dyDescent="0.25">
      <c r="A168" s="14" t="s">
        <v>13</v>
      </c>
      <c r="B168" s="15">
        <v>45413</v>
      </c>
      <c r="C168" s="14">
        <f t="shared" si="2"/>
        <v>2024</v>
      </c>
      <c r="D168" s="14"/>
      <c r="E168" s="14" t="s">
        <v>6</v>
      </c>
      <c r="F168" s="14">
        <f>(FruitDMg!F168/FruitFW!F168)*100</f>
        <v>16.8</v>
      </c>
    </row>
    <row r="169" spans="1:6" x14ac:dyDescent="0.25">
      <c r="A169" s="14" t="s">
        <v>13</v>
      </c>
      <c r="B169" s="15">
        <v>45425</v>
      </c>
      <c r="C169" s="14">
        <f t="shared" si="2"/>
        <v>2024</v>
      </c>
      <c r="D169" s="14"/>
      <c r="E169" s="14" t="s">
        <v>6</v>
      </c>
      <c r="F169" s="14">
        <f>(FruitDMg!F169/FruitFW!F169)*100</f>
        <v>17.8</v>
      </c>
    </row>
    <row r="170" spans="1:6" x14ac:dyDescent="0.25">
      <c r="A170" s="14" t="s">
        <v>13</v>
      </c>
      <c r="B170" s="15">
        <v>45439</v>
      </c>
      <c r="C170" s="14">
        <f t="shared" si="2"/>
        <v>2024</v>
      </c>
      <c r="D170" s="14"/>
      <c r="E170" s="14" t="s">
        <v>6</v>
      </c>
      <c r="F170" s="14">
        <f>(FruitDMg!F170/FruitFW!F170)*100</f>
        <v>15</v>
      </c>
    </row>
    <row r="171" spans="1:6" x14ac:dyDescent="0.25">
      <c r="A171" s="14" t="s">
        <v>13</v>
      </c>
      <c r="B171" s="15">
        <v>45454</v>
      </c>
      <c r="C171" s="14">
        <f t="shared" si="2"/>
        <v>2024</v>
      </c>
      <c r="D171" s="14"/>
      <c r="E171" s="14" t="s">
        <v>6</v>
      </c>
      <c r="F171" s="14">
        <f>(FruitDMg!F171/FruitFW!F171)*100</f>
        <v>17.5</v>
      </c>
    </row>
    <row r="173" spans="1:6" x14ac:dyDescent="0.25">
      <c r="A173" t="s">
        <v>14</v>
      </c>
      <c r="B173" s="7">
        <v>44603</v>
      </c>
      <c r="C173">
        <v>2022</v>
      </c>
      <c r="D173" s="7"/>
      <c r="E173" t="s">
        <v>6</v>
      </c>
      <c r="F173">
        <f>(FruitDMg!F173/FruitFW!F173)*100</f>
        <v>11.399999999999999</v>
      </c>
    </row>
    <row r="174" spans="1:6" x14ac:dyDescent="0.25">
      <c r="A174" t="s">
        <v>14</v>
      </c>
      <c r="B174" s="7">
        <v>44608</v>
      </c>
      <c r="C174">
        <v>2022</v>
      </c>
      <c r="E174" t="s">
        <v>6</v>
      </c>
      <c r="F174">
        <f>(FruitDMg!F174/FruitFW!F174)*100</f>
        <v>13.4</v>
      </c>
    </row>
    <row r="175" spans="1:6" x14ac:dyDescent="0.25">
      <c r="A175" t="s">
        <v>14</v>
      </c>
      <c r="B175" s="7">
        <v>44622</v>
      </c>
      <c r="C175">
        <v>2022</v>
      </c>
      <c r="E175" t="s">
        <v>6</v>
      </c>
      <c r="F175">
        <f>(FruitDMg!F175/FruitFW!F175)*100</f>
        <v>11.699999999999998</v>
      </c>
    </row>
    <row r="176" spans="1:6" x14ac:dyDescent="0.25">
      <c r="A176" t="s">
        <v>14</v>
      </c>
      <c r="B176" s="7">
        <v>44636</v>
      </c>
      <c r="C176">
        <v>2022</v>
      </c>
      <c r="E176" t="s">
        <v>6</v>
      </c>
      <c r="F176">
        <f>(FruitDMg!F176/FruitFW!F176)*100</f>
        <v>12.4</v>
      </c>
    </row>
    <row r="177" spans="1:6" x14ac:dyDescent="0.25">
      <c r="A177" t="s">
        <v>14</v>
      </c>
      <c r="B177" s="7">
        <v>44650</v>
      </c>
      <c r="C177">
        <v>2022</v>
      </c>
      <c r="E177" t="s">
        <v>6</v>
      </c>
      <c r="F177">
        <f>(FruitDMg!F177/FruitFW!F177)*100</f>
        <v>15.100000000000001</v>
      </c>
    </row>
    <row r="178" spans="1:6" x14ac:dyDescent="0.25">
      <c r="A178" t="s">
        <v>14</v>
      </c>
      <c r="B178" s="7">
        <v>44664</v>
      </c>
      <c r="C178">
        <v>2022</v>
      </c>
      <c r="E178" t="s">
        <v>6</v>
      </c>
      <c r="F178">
        <f>(FruitDMg!F178/FruitFW!F178)*100</f>
        <v>15.2</v>
      </c>
    </row>
    <row r="179" spans="1:6" x14ac:dyDescent="0.25">
      <c r="A179" t="s">
        <v>14</v>
      </c>
      <c r="B179" s="7">
        <v>44672</v>
      </c>
      <c r="C179">
        <v>2022</v>
      </c>
      <c r="E179" t="s">
        <v>6</v>
      </c>
      <c r="F179">
        <f>(FruitDMg!F179/FruitFW!F179)*100</f>
        <v>16</v>
      </c>
    </row>
    <row r="180" spans="1:6" x14ac:dyDescent="0.25">
      <c r="A180" t="s">
        <v>14</v>
      </c>
      <c r="B180" s="7">
        <v>44680</v>
      </c>
      <c r="C180">
        <v>2022</v>
      </c>
      <c r="E180" t="s">
        <v>6</v>
      </c>
      <c r="F180">
        <f>(FruitDMg!F180/FruitFW!F180)*100</f>
        <v>16.100000000000001</v>
      </c>
    </row>
    <row r="181" spans="1:6" x14ac:dyDescent="0.25">
      <c r="A181" t="s">
        <v>14</v>
      </c>
      <c r="B181" s="7">
        <v>44685</v>
      </c>
      <c r="C181">
        <v>2022</v>
      </c>
      <c r="E181" t="s">
        <v>6</v>
      </c>
      <c r="F181">
        <f>(FruitDMg!F181/FruitFW!F181)*100</f>
        <v>15.8</v>
      </c>
    </row>
    <row r="182" spans="1:6" x14ac:dyDescent="0.25">
      <c r="A182" t="s">
        <v>14</v>
      </c>
      <c r="B182" s="7">
        <v>44699</v>
      </c>
      <c r="C182">
        <v>2022</v>
      </c>
      <c r="E182" t="s">
        <v>6</v>
      </c>
      <c r="F182">
        <f>(FruitDMg!F182/FruitFW!F182)*100</f>
        <v>15.5</v>
      </c>
    </row>
    <row r="183" spans="1:6" x14ac:dyDescent="0.25">
      <c r="A183" t="s">
        <v>14</v>
      </c>
      <c r="B183" s="7">
        <v>44713</v>
      </c>
      <c r="C183">
        <v>2022</v>
      </c>
      <c r="E183" t="s">
        <v>6</v>
      </c>
      <c r="F183">
        <f>(FruitDMg!F183/FruitFW!F183)*100</f>
        <v>16.3</v>
      </c>
    </row>
    <row r="184" spans="1:6" x14ac:dyDescent="0.25">
      <c r="A184" t="s">
        <v>14</v>
      </c>
      <c r="B184" s="7">
        <v>44952</v>
      </c>
      <c r="C184">
        <v>2023</v>
      </c>
      <c r="E184" t="s">
        <v>6</v>
      </c>
      <c r="F184">
        <f>(FruitDMg!F184/FruitFW!F184)*100</f>
        <v>9.4</v>
      </c>
    </row>
    <row r="185" spans="1:6" x14ac:dyDescent="0.25">
      <c r="A185" t="s">
        <v>14</v>
      </c>
      <c r="B185" s="7">
        <v>44973</v>
      </c>
      <c r="C185">
        <v>2023</v>
      </c>
      <c r="E185" t="s">
        <v>6</v>
      </c>
      <c r="F185">
        <f>(FruitDMg!F185/FruitFW!F185)*100</f>
        <v>12.5</v>
      </c>
    </row>
    <row r="186" spans="1:6" x14ac:dyDescent="0.25">
      <c r="A186" t="s">
        <v>14</v>
      </c>
      <c r="B186" s="7">
        <v>44984</v>
      </c>
      <c r="C186">
        <v>2023</v>
      </c>
      <c r="E186" t="s">
        <v>6</v>
      </c>
      <c r="F186">
        <f>(FruitDMg!F186/FruitFW!F186)*100</f>
        <v>14.099999999999998</v>
      </c>
    </row>
    <row r="187" spans="1:6" x14ac:dyDescent="0.25">
      <c r="A187" t="s">
        <v>14</v>
      </c>
      <c r="B187" s="7">
        <v>45000</v>
      </c>
      <c r="C187">
        <v>2023</v>
      </c>
      <c r="E187" t="s">
        <v>6</v>
      </c>
      <c r="F187">
        <f>(FruitDMg!F187/FruitFW!F187)*100</f>
        <v>15</v>
      </c>
    </row>
    <row r="188" spans="1:6" x14ac:dyDescent="0.25">
      <c r="A188" t="s">
        <v>14</v>
      </c>
      <c r="B188" s="7">
        <v>45015</v>
      </c>
      <c r="C188">
        <v>2023</v>
      </c>
      <c r="E188" t="s">
        <v>6</v>
      </c>
      <c r="F188">
        <f>(FruitDMg!F188/FruitFW!F188)*100</f>
        <v>15.5</v>
      </c>
    </row>
    <row r="189" spans="1:6" x14ac:dyDescent="0.25">
      <c r="A189" t="s">
        <v>14</v>
      </c>
      <c r="B189" s="7">
        <v>45029</v>
      </c>
      <c r="C189">
        <v>2023</v>
      </c>
      <c r="E189" t="s">
        <v>6</v>
      </c>
      <c r="F189">
        <f>(FruitDMg!F189/FruitFW!F189)*100</f>
        <v>15.7</v>
      </c>
    </row>
    <row r="190" spans="1:6" x14ac:dyDescent="0.25">
      <c r="A190" t="s">
        <v>14</v>
      </c>
      <c r="B190" s="7">
        <v>45041</v>
      </c>
      <c r="C190">
        <v>2023</v>
      </c>
      <c r="E190" t="s">
        <v>6</v>
      </c>
      <c r="F190">
        <f>(FruitDMg!F190/FruitFW!F190)*100</f>
        <v>16.5</v>
      </c>
    </row>
    <row r="191" spans="1:6" x14ac:dyDescent="0.25">
      <c r="A191" t="s">
        <v>14</v>
      </c>
      <c r="B191" s="7">
        <v>45049</v>
      </c>
      <c r="C191">
        <v>2023</v>
      </c>
      <c r="E191" t="s">
        <v>6</v>
      </c>
      <c r="F191">
        <f>(FruitDMg!F191/FruitFW!F191)*100</f>
        <v>16.400000000000002</v>
      </c>
    </row>
    <row r="192" spans="1:6" x14ac:dyDescent="0.25">
      <c r="A192" t="s">
        <v>14</v>
      </c>
      <c r="B192" s="7">
        <v>45062</v>
      </c>
      <c r="C192">
        <v>2023</v>
      </c>
      <c r="E192" t="s">
        <v>6</v>
      </c>
      <c r="F192">
        <f>(FruitDMg!F192/FruitFW!F192)*100</f>
        <v>16.7</v>
      </c>
    </row>
    <row r="193" spans="1:6" x14ac:dyDescent="0.25">
      <c r="A193" t="s">
        <v>14</v>
      </c>
      <c r="B193" s="7">
        <v>45076</v>
      </c>
      <c r="C193">
        <v>2023</v>
      </c>
      <c r="E193" t="s">
        <v>6</v>
      </c>
      <c r="F193">
        <f>(FruitDMg!F193/FruitFW!F193)*100</f>
        <v>17</v>
      </c>
    </row>
    <row r="194" spans="1:6" x14ac:dyDescent="0.25">
      <c r="A194" t="s">
        <v>14</v>
      </c>
      <c r="B194" s="7">
        <v>45083</v>
      </c>
      <c r="C194">
        <v>2023</v>
      </c>
      <c r="E194" t="s">
        <v>6</v>
      </c>
      <c r="F194">
        <f>(FruitDMg!F194/FruitFW!F194)*100</f>
        <v>17.100000000000001</v>
      </c>
    </row>
    <row r="195" spans="1:6" x14ac:dyDescent="0.25">
      <c r="A195" t="s">
        <v>14</v>
      </c>
      <c r="B195" s="7">
        <v>45316</v>
      </c>
      <c r="C195">
        <v>2024</v>
      </c>
      <c r="E195" t="s">
        <v>6</v>
      </c>
      <c r="F195">
        <f>(FruitDMg!F195/FruitFW!F195)*100</f>
        <v>9</v>
      </c>
    </row>
    <row r="196" spans="1:6" x14ac:dyDescent="0.25">
      <c r="A196" t="s">
        <v>14</v>
      </c>
      <c r="B196" s="7">
        <v>45337</v>
      </c>
      <c r="C196">
        <v>2024</v>
      </c>
      <c r="E196" t="s">
        <v>6</v>
      </c>
      <c r="F196">
        <f>(FruitDMg!F196/FruitFW!F196)*100</f>
        <v>12.000000000000002</v>
      </c>
    </row>
    <row r="197" spans="1:6" x14ac:dyDescent="0.25">
      <c r="A197" t="s">
        <v>14</v>
      </c>
      <c r="B197" s="7">
        <v>45350</v>
      </c>
      <c r="C197">
        <v>2024</v>
      </c>
      <c r="E197" t="s">
        <v>6</v>
      </c>
      <c r="F197">
        <f>(FruitDMg!F197/FruitFW!F197)*100</f>
        <v>13.5</v>
      </c>
    </row>
    <row r="198" spans="1:6" x14ac:dyDescent="0.25">
      <c r="A198" t="s">
        <v>14</v>
      </c>
      <c r="B198" s="7">
        <v>45364</v>
      </c>
      <c r="C198">
        <v>2024</v>
      </c>
      <c r="E198" t="s">
        <v>6</v>
      </c>
      <c r="F198">
        <f>(FruitDMg!F198/FruitFW!F198)*100</f>
        <v>14.6</v>
      </c>
    </row>
    <row r="199" spans="1:6" x14ac:dyDescent="0.25">
      <c r="A199" t="s">
        <v>14</v>
      </c>
      <c r="B199" s="7">
        <v>45378</v>
      </c>
      <c r="C199">
        <v>2024</v>
      </c>
      <c r="E199" t="s">
        <v>6</v>
      </c>
      <c r="F199">
        <f>(FruitDMg!F199/FruitFW!F199)*100</f>
        <v>15.300000000000002</v>
      </c>
    </row>
    <row r="200" spans="1:6" x14ac:dyDescent="0.25">
      <c r="A200" t="s">
        <v>14</v>
      </c>
      <c r="B200" s="7">
        <v>45390</v>
      </c>
      <c r="C200">
        <v>2024</v>
      </c>
      <c r="E200" t="s">
        <v>6</v>
      </c>
      <c r="F200">
        <f>(FruitDMg!F200/FruitFW!F200)*100</f>
        <v>15.5</v>
      </c>
    </row>
    <row r="201" spans="1:6" x14ac:dyDescent="0.25">
      <c r="A201" t="s">
        <v>14</v>
      </c>
      <c r="B201" s="7">
        <v>45404</v>
      </c>
      <c r="C201">
        <v>2024</v>
      </c>
      <c r="E201" t="s">
        <v>6</v>
      </c>
      <c r="F201">
        <f>(FruitDMg!F201/FruitFW!F201)*100</f>
        <v>16.399999999999999</v>
      </c>
    </row>
    <row r="202" spans="1:6" x14ac:dyDescent="0.25">
      <c r="A202" t="s">
        <v>14</v>
      </c>
      <c r="B202" s="7">
        <v>45414</v>
      </c>
      <c r="C202">
        <v>2024</v>
      </c>
      <c r="E202" t="s">
        <v>6</v>
      </c>
      <c r="F202">
        <f>(FruitDMg!F202/FruitFW!F202)*100</f>
        <v>16.8</v>
      </c>
    </row>
    <row r="203" spans="1:6" x14ac:dyDescent="0.25">
      <c r="A203" t="s">
        <v>14</v>
      </c>
      <c r="B203" s="7">
        <v>45425</v>
      </c>
      <c r="C203">
        <v>2024</v>
      </c>
      <c r="E203" t="s">
        <v>6</v>
      </c>
      <c r="F203">
        <f>(FruitDMg!F203/FruitFW!F203)*100</f>
        <v>17.200000000000003</v>
      </c>
    </row>
    <row r="204" spans="1:6" x14ac:dyDescent="0.25">
      <c r="A204" t="s">
        <v>14</v>
      </c>
      <c r="B204" s="7">
        <v>45439</v>
      </c>
      <c r="C204">
        <v>2024</v>
      </c>
      <c r="E204" t="s">
        <v>6</v>
      </c>
      <c r="F204">
        <f>(FruitDMg!F204/FruitFW!F204)*100</f>
        <v>15.1</v>
      </c>
    </row>
    <row r="205" spans="1:6" x14ac:dyDescent="0.25">
      <c r="A205" t="s">
        <v>14</v>
      </c>
      <c r="B205" s="7">
        <v>45454</v>
      </c>
      <c r="C205">
        <v>2024</v>
      </c>
      <c r="E205" t="s">
        <v>6</v>
      </c>
      <c r="F205">
        <f>(FruitDMg!F205/FruitFW!F205)*100</f>
        <v>17.100000000000001</v>
      </c>
    </row>
    <row r="206" spans="1:6" x14ac:dyDescent="0.25">
      <c r="A206" t="s">
        <v>14</v>
      </c>
      <c r="B206" s="7">
        <v>44595</v>
      </c>
      <c r="C206">
        <v>2022</v>
      </c>
      <c r="E206" t="s">
        <v>6</v>
      </c>
      <c r="F206">
        <f>(FruitDMg!F206/FruitFW!F206)*100</f>
        <v>11.6</v>
      </c>
    </row>
    <row r="207" spans="1:6" x14ac:dyDescent="0.25">
      <c r="A207" t="s">
        <v>14</v>
      </c>
      <c r="B207" s="7">
        <v>44608</v>
      </c>
      <c r="C207">
        <v>2022</v>
      </c>
      <c r="E207" t="s">
        <v>6</v>
      </c>
      <c r="F207">
        <f>(FruitDMg!F207/FruitFW!F207)*100</f>
        <v>13.200000000000001</v>
      </c>
    </row>
    <row r="208" spans="1:6" x14ac:dyDescent="0.25">
      <c r="A208" t="s">
        <v>14</v>
      </c>
      <c r="B208" s="7">
        <v>44622</v>
      </c>
      <c r="C208">
        <v>2022</v>
      </c>
      <c r="E208" t="s">
        <v>6</v>
      </c>
      <c r="F208">
        <f>(FruitDMg!F208/FruitFW!F208)*100</f>
        <v>13.3</v>
      </c>
    </row>
    <row r="209" spans="1:6" x14ac:dyDescent="0.25">
      <c r="A209" t="s">
        <v>14</v>
      </c>
      <c r="B209" s="7">
        <v>44636</v>
      </c>
      <c r="C209">
        <v>2022</v>
      </c>
      <c r="E209" t="s">
        <v>6</v>
      </c>
      <c r="F209">
        <f>(FruitDMg!F209/FruitFW!F209)*100</f>
        <v>14.399999999999999</v>
      </c>
    </row>
    <row r="210" spans="1:6" x14ac:dyDescent="0.25">
      <c r="A210" t="s">
        <v>14</v>
      </c>
      <c r="B210" s="7">
        <v>44650</v>
      </c>
      <c r="C210">
        <v>2022</v>
      </c>
      <c r="E210" t="s">
        <v>6</v>
      </c>
      <c r="F210">
        <f>(FruitDMg!F210/FruitFW!F210)*100</f>
        <v>16.799999999999997</v>
      </c>
    </row>
    <row r="211" spans="1:6" x14ac:dyDescent="0.25">
      <c r="A211" t="s">
        <v>14</v>
      </c>
      <c r="B211" s="7">
        <v>44664</v>
      </c>
      <c r="C211">
        <v>2022</v>
      </c>
      <c r="E211" t="s">
        <v>6</v>
      </c>
      <c r="F211">
        <f>(FruitDMg!F211/FruitFW!F211)*100</f>
        <v>17.100000000000001</v>
      </c>
    </row>
    <row r="212" spans="1:6" x14ac:dyDescent="0.25">
      <c r="A212" t="s">
        <v>14</v>
      </c>
      <c r="B212" s="7">
        <v>44672</v>
      </c>
      <c r="C212">
        <v>2022</v>
      </c>
      <c r="E212" t="s">
        <v>6</v>
      </c>
      <c r="F212">
        <f>(FruitDMg!F212/FruitFW!F212)*100</f>
        <v>17.600000000000001</v>
      </c>
    </row>
    <row r="213" spans="1:6" x14ac:dyDescent="0.25">
      <c r="A213" t="s">
        <v>14</v>
      </c>
      <c r="B213" s="7">
        <v>44680</v>
      </c>
      <c r="C213">
        <v>2022</v>
      </c>
      <c r="E213" t="s">
        <v>6</v>
      </c>
      <c r="F213">
        <f>(FruitDMg!F213/FruitFW!F213)*100</f>
        <v>18</v>
      </c>
    </row>
    <row r="214" spans="1:6" x14ac:dyDescent="0.25">
      <c r="A214" t="s">
        <v>14</v>
      </c>
      <c r="B214" s="7">
        <v>44685</v>
      </c>
      <c r="C214">
        <v>2022</v>
      </c>
      <c r="E214" t="s">
        <v>6</v>
      </c>
      <c r="F214">
        <f>(FruitDMg!F214/FruitFW!F214)*100</f>
        <v>18.3</v>
      </c>
    </row>
    <row r="215" spans="1:6" x14ac:dyDescent="0.25">
      <c r="A215" t="s">
        <v>14</v>
      </c>
      <c r="B215" s="7">
        <v>44699</v>
      </c>
      <c r="C215">
        <v>2022</v>
      </c>
      <c r="E215" t="s">
        <v>6</v>
      </c>
      <c r="F215">
        <f>(FruitDMg!F215/FruitFW!F215)*100</f>
        <v>18.7</v>
      </c>
    </row>
    <row r="216" spans="1:6" x14ac:dyDescent="0.25">
      <c r="A216" t="s">
        <v>14</v>
      </c>
      <c r="B216" s="7">
        <v>44713</v>
      </c>
      <c r="C216">
        <v>2022</v>
      </c>
      <c r="E216" t="s">
        <v>6</v>
      </c>
      <c r="F216">
        <f>(FruitDMg!F216/FruitFW!F216)*100</f>
        <v>17.899999999999995</v>
      </c>
    </row>
    <row r="217" spans="1:6" x14ac:dyDescent="0.25">
      <c r="A217" t="s">
        <v>14</v>
      </c>
      <c r="B217" s="7">
        <v>44952</v>
      </c>
      <c r="C217">
        <v>2023</v>
      </c>
      <c r="E217" t="s">
        <v>6</v>
      </c>
      <c r="F217">
        <f>(FruitDMg!F217/FruitFW!F217)*100</f>
        <v>9.6</v>
      </c>
    </row>
    <row r="218" spans="1:6" x14ac:dyDescent="0.25">
      <c r="A218" t="s">
        <v>14</v>
      </c>
      <c r="B218" s="7">
        <v>44974</v>
      </c>
      <c r="C218">
        <v>2023</v>
      </c>
      <c r="E218" t="s">
        <v>6</v>
      </c>
      <c r="F218">
        <f>(FruitDMg!F218/FruitFW!F218)*100</f>
        <v>12.4</v>
      </c>
    </row>
    <row r="219" spans="1:6" x14ac:dyDescent="0.25">
      <c r="A219" t="s">
        <v>14</v>
      </c>
      <c r="B219" s="7">
        <v>44984</v>
      </c>
      <c r="C219">
        <v>2023</v>
      </c>
      <c r="E219" t="s">
        <v>6</v>
      </c>
      <c r="F219">
        <f>(FruitDMg!F219/FruitFW!F219)*100</f>
        <v>13.999999999999998</v>
      </c>
    </row>
    <row r="220" spans="1:6" x14ac:dyDescent="0.25">
      <c r="A220" t="s">
        <v>14</v>
      </c>
      <c r="B220" s="7">
        <v>45000</v>
      </c>
      <c r="C220">
        <v>2023</v>
      </c>
      <c r="E220" t="s">
        <v>6</v>
      </c>
      <c r="F220">
        <f>(FruitDMg!F220/FruitFW!F220)*100</f>
        <v>15.299999999999999</v>
      </c>
    </row>
    <row r="221" spans="1:6" x14ac:dyDescent="0.25">
      <c r="A221" t="s">
        <v>14</v>
      </c>
      <c r="B221" s="7">
        <v>45015</v>
      </c>
      <c r="C221">
        <v>2023</v>
      </c>
      <c r="E221" t="s">
        <v>6</v>
      </c>
      <c r="F221">
        <f>(FruitDMg!F221/FruitFW!F221)*100</f>
        <v>15.900000000000002</v>
      </c>
    </row>
    <row r="222" spans="1:6" x14ac:dyDescent="0.25">
      <c r="A222" t="s">
        <v>14</v>
      </c>
      <c r="B222" s="7">
        <v>45029</v>
      </c>
      <c r="C222">
        <v>2023</v>
      </c>
      <c r="E222" t="s">
        <v>6</v>
      </c>
      <c r="F222">
        <f>(FruitDMg!F222/FruitFW!F222)*100</f>
        <v>16.7</v>
      </c>
    </row>
    <row r="223" spans="1:6" x14ac:dyDescent="0.25">
      <c r="A223" t="s">
        <v>14</v>
      </c>
      <c r="B223" s="7">
        <v>45041</v>
      </c>
      <c r="C223">
        <v>2023</v>
      </c>
      <c r="E223" t="s">
        <v>6</v>
      </c>
      <c r="F223">
        <f>(FruitDMg!F223/FruitFW!F223)*100</f>
        <v>17.600000000000001</v>
      </c>
    </row>
    <row r="224" spans="1:6" x14ac:dyDescent="0.25">
      <c r="A224" t="s">
        <v>14</v>
      </c>
      <c r="B224" s="7">
        <v>45049</v>
      </c>
      <c r="C224">
        <v>2023</v>
      </c>
      <c r="E224" t="s">
        <v>6</v>
      </c>
      <c r="F224">
        <f>(FruitDMg!F224/FruitFW!F224)*100</f>
        <v>17.2</v>
      </c>
    </row>
    <row r="225" spans="1:6" x14ac:dyDescent="0.25">
      <c r="A225" t="s">
        <v>14</v>
      </c>
      <c r="B225" s="7">
        <v>45062</v>
      </c>
      <c r="C225">
        <v>2023</v>
      </c>
      <c r="E225" t="s">
        <v>6</v>
      </c>
      <c r="F225">
        <f>(FruitDMg!F225/FruitFW!F225)*100</f>
        <v>17.399999999999999</v>
      </c>
    </row>
    <row r="226" spans="1:6" x14ac:dyDescent="0.25">
      <c r="A226" t="s">
        <v>14</v>
      </c>
      <c r="B226" s="7">
        <v>45077</v>
      </c>
      <c r="C226">
        <v>2023</v>
      </c>
      <c r="E226" t="s">
        <v>6</v>
      </c>
      <c r="F226">
        <f>(FruitDMg!F226/FruitFW!F226)*100</f>
        <v>17.399999999999995</v>
      </c>
    </row>
    <row r="227" spans="1:6" x14ac:dyDescent="0.25">
      <c r="A227" t="s">
        <v>14</v>
      </c>
      <c r="B227" s="7">
        <v>45083</v>
      </c>
      <c r="C227">
        <v>2023</v>
      </c>
      <c r="E227" t="s">
        <v>6</v>
      </c>
      <c r="F227">
        <f>(FruitDMg!F227/FruitFW!F227)*100</f>
        <v>17.2</v>
      </c>
    </row>
    <row r="228" spans="1:6" x14ac:dyDescent="0.25">
      <c r="A228" t="s">
        <v>14</v>
      </c>
      <c r="B228" s="7">
        <v>44595</v>
      </c>
      <c r="C228">
        <v>2022</v>
      </c>
      <c r="D228" s="7"/>
      <c r="E228" t="s">
        <v>6</v>
      </c>
      <c r="F228">
        <f>(FruitDMg!F228/FruitFW!F228)*100</f>
        <v>10.199999999999999</v>
      </c>
    </row>
    <row r="229" spans="1:6" x14ac:dyDescent="0.25">
      <c r="A229" t="s">
        <v>14</v>
      </c>
      <c r="B229" s="7">
        <v>44608</v>
      </c>
      <c r="C229">
        <v>2022</v>
      </c>
      <c r="E229" t="s">
        <v>6</v>
      </c>
      <c r="F229">
        <f>(FruitDMg!F229/FruitFW!F229)*100</f>
        <v>12.9</v>
      </c>
    </row>
    <row r="230" spans="1:6" x14ac:dyDescent="0.25">
      <c r="A230" t="s">
        <v>14</v>
      </c>
      <c r="B230" s="7">
        <v>44622</v>
      </c>
      <c r="C230">
        <v>2022</v>
      </c>
      <c r="E230" t="s">
        <v>6</v>
      </c>
      <c r="F230">
        <f>(FruitDMg!F230/FruitFW!F230)*100</f>
        <v>14.200000000000001</v>
      </c>
    </row>
    <row r="231" spans="1:6" x14ac:dyDescent="0.25">
      <c r="A231" t="s">
        <v>14</v>
      </c>
      <c r="B231" s="7">
        <v>44636</v>
      </c>
      <c r="C231">
        <v>2022</v>
      </c>
      <c r="E231" t="s">
        <v>6</v>
      </c>
      <c r="F231">
        <f>(FruitDMg!F231/FruitFW!F231)*100</f>
        <v>16.2</v>
      </c>
    </row>
    <row r="232" spans="1:6" x14ac:dyDescent="0.25">
      <c r="A232" t="s">
        <v>14</v>
      </c>
      <c r="B232" s="7">
        <v>44650</v>
      </c>
      <c r="C232">
        <v>2022</v>
      </c>
      <c r="E232" t="s">
        <v>6</v>
      </c>
      <c r="F232">
        <f>(FruitDMg!F232/FruitFW!F232)*100</f>
        <v>16.100000000000001</v>
      </c>
    </row>
    <row r="233" spans="1:6" x14ac:dyDescent="0.25">
      <c r="A233" t="s">
        <v>14</v>
      </c>
      <c r="B233" s="7">
        <v>44664</v>
      </c>
      <c r="C233">
        <v>2022</v>
      </c>
      <c r="E233" t="s">
        <v>6</v>
      </c>
      <c r="F233">
        <f>(FruitDMg!F233/FruitFW!F233)*100</f>
        <v>16.600000000000001</v>
      </c>
    </row>
    <row r="234" spans="1:6" x14ac:dyDescent="0.25">
      <c r="A234" t="s">
        <v>14</v>
      </c>
      <c r="B234" s="7">
        <v>44673</v>
      </c>
      <c r="C234">
        <v>2022</v>
      </c>
      <c r="E234" t="s">
        <v>6</v>
      </c>
      <c r="F234">
        <f>(FruitDMg!F234/FruitFW!F234)*100</f>
        <v>17.5</v>
      </c>
    </row>
    <row r="235" spans="1:6" x14ac:dyDescent="0.25">
      <c r="A235" t="s">
        <v>14</v>
      </c>
      <c r="B235" s="7">
        <v>44680</v>
      </c>
      <c r="C235">
        <v>2022</v>
      </c>
      <c r="E235" t="s">
        <v>6</v>
      </c>
      <c r="F235">
        <f>(FruitDMg!F235/FruitFW!F235)*100</f>
        <v>17.2</v>
      </c>
    </row>
    <row r="236" spans="1:6" x14ac:dyDescent="0.25">
      <c r="A236" t="s">
        <v>14</v>
      </c>
      <c r="B236" s="7">
        <v>44685</v>
      </c>
      <c r="C236">
        <v>2022</v>
      </c>
      <c r="E236" t="s">
        <v>6</v>
      </c>
      <c r="F236">
        <f>(FruitDMg!F236/FruitFW!F236)*100</f>
        <v>18.899999999999999</v>
      </c>
    </row>
    <row r="237" spans="1:6" x14ac:dyDescent="0.25">
      <c r="A237" t="s">
        <v>14</v>
      </c>
      <c r="B237" s="7">
        <v>44699</v>
      </c>
      <c r="C237">
        <v>2022</v>
      </c>
      <c r="E237" t="s">
        <v>6</v>
      </c>
      <c r="F237">
        <f>(FruitDMg!F237/FruitFW!F237)*100</f>
        <v>17.600000000000001</v>
      </c>
    </row>
    <row r="238" spans="1:6" x14ac:dyDescent="0.25">
      <c r="A238" t="s">
        <v>14</v>
      </c>
      <c r="B238" s="7">
        <v>44713</v>
      </c>
      <c r="C238">
        <v>2022</v>
      </c>
      <c r="E238" t="s">
        <v>6</v>
      </c>
      <c r="F238">
        <f>(FruitDMg!F238/FruitFW!F238)*100</f>
        <v>17.899999999999999</v>
      </c>
    </row>
    <row r="239" spans="1:6" x14ac:dyDescent="0.25">
      <c r="A239" t="s">
        <v>14</v>
      </c>
      <c r="B239" s="7">
        <v>44952</v>
      </c>
      <c r="C239">
        <v>2023</v>
      </c>
      <c r="E239" t="s">
        <v>6</v>
      </c>
      <c r="F239">
        <f>(FruitDMg!F239/FruitFW!F239)*100</f>
        <v>9.6999999999999993</v>
      </c>
    </row>
    <row r="240" spans="1:6" x14ac:dyDescent="0.25">
      <c r="A240" t="s">
        <v>14</v>
      </c>
      <c r="B240" s="7">
        <v>44973</v>
      </c>
      <c r="C240">
        <v>2023</v>
      </c>
      <c r="E240" t="s">
        <v>6</v>
      </c>
      <c r="F240">
        <f>(FruitDMg!F240/FruitFW!F240)*100</f>
        <v>12.699999999999998</v>
      </c>
    </row>
    <row r="241" spans="1:6" x14ac:dyDescent="0.25">
      <c r="A241" t="s">
        <v>14</v>
      </c>
      <c r="B241" s="7">
        <v>44987</v>
      </c>
      <c r="C241">
        <v>2023</v>
      </c>
      <c r="E241" t="s">
        <v>6</v>
      </c>
      <c r="F241">
        <f>(FruitDMg!F241/FruitFW!F241)*100</f>
        <v>14.399999999999999</v>
      </c>
    </row>
    <row r="242" spans="1:6" x14ac:dyDescent="0.25">
      <c r="A242" t="s">
        <v>14</v>
      </c>
      <c r="B242" s="7">
        <v>45001</v>
      </c>
      <c r="C242">
        <v>2023</v>
      </c>
      <c r="E242" t="s">
        <v>6</v>
      </c>
      <c r="F242">
        <f>(FruitDMg!F242/FruitFW!F242)*100</f>
        <v>16.100000000000001</v>
      </c>
    </row>
    <row r="243" spans="1:6" x14ac:dyDescent="0.25">
      <c r="A243" t="s">
        <v>14</v>
      </c>
      <c r="B243" s="7">
        <v>45014</v>
      </c>
      <c r="C243">
        <v>2023</v>
      </c>
      <c r="E243" t="s">
        <v>6</v>
      </c>
      <c r="F243">
        <f>(FruitDMg!F243/FruitFW!F243)*100</f>
        <v>17</v>
      </c>
    </row>
    <row r="244" spans="1:6" x14ac:dyDescent="0.25">
      <c r="A244" t="s">
        <v>14</v>
      </c>
      <c r="B244" s="7">
        <v>45029</v>
      </c>
      <c r="C244">
        <v>2023</v>
      </c>
      <c r="E244" t="s">
        <v>6</v>
      </c>
      <c r="F244">
        <f>(FruitDMg!F244/FruitFW!F244)*100</f>
        <v>17.600000000000001</v>
      </c>
    </row>
    <row r="245" spans="1:6" x14ac:dyDescent="0.25">
      <c r="A245" t="s">
        <v>14</v>
      </c>
      <c r="B245" s="7">
        <v>45041</v>
      </c>
      <c r="C245">
        <v>2023</v>
      </c>
      <c r="E245" t="s">
        <v>6</v>
      </c>
      <c r="F245">
        <f>(FruitDMg!F245/FruitFW!F245)*100</f>
        <v>18.600000000000001</v>
      </c>
    </row>
    <row r="246" spans="1:6" x14ac:dyDescent="0.25">
      <c r="A246" t="s">
        <v>14</v>
      </c>
      <c r="B246" s="7">
        <v>45049</v>
      </c>
      <c r="C246">
        <v>2023</v>
      </c>
      <c r="E246" t="s">
        <v>6</v>
      </c>
      <c r="F246">
        <f>(FruitDMg!F246/FruitFW!F246)*100</f>
        <v>18.699999999999996</v>
      </c>
    </row>
    <row r="247" spans="1:6" x14ac:dyDescent="0.25">
      <c r="A247" t="s">
        <v>14</v>
      </c>
      <c r="B247" s="7">
        <v>45062</v>
      </c>
      <c r="C247">
        <v>2023</v>
      </c>
      <c r="E247" t="s">
        <v>6</v>
      </c>
      <c r="F247">
        <f>(FruitDMg!F247/FruitFW!F247)*100</f>
        <v>18.2</v>
      </c>
    </row>
    <row r="248" spans="1:6" x14ac:dyDescent="0.25">
      <c r="A248" t="s">
        <v>14</v>
      </c>
      <c r="B248" s="7">
        <v>45076</v>
      </c>
      <c r="C248">
        <v>2023</v>
      </c>
      <c r="E248" t="s">
        <v>6</v>
      </c>
      <c r="F248">
        <f>(FruitDMg!F248/FruitFW!F248)*100</f>
        <v>18.7</v>
      </c>
    </row>
    <row r="249" spans="1:6" x14ac:dyDescent="0.25">
      <c r="A249" t="s">
        <v>14</v>
      </c>
      <c r="B249" s="7">
        <v>45083</v>
      </c>
      <c r="C249">
        <v>2023</v>
      </c>
      <c r="E249" t="s">
        <v>6</v>
      </c>
      <c r="F249">
        <f>(FruitDMg!F249/FruitFW!F249)*100</f>
        <v>18.899999999999999</v>
      </c>
    </row>
    <row r="250" spans="1:6" x14ac:dyDescent="0.25">
      <c r="A250" t="s">
        <v>14</v>
      </c>
      <c r="B250" s="7">
        <v>45314</v>
      </c>
      <c r="C250">
        <v>2024</v>
      </c>
      <c r="E250" t="s">
        <v>6</v>
      </c>
      <c r="F250">
        <f>(FruitDMg!F250/FruitFW!F250)*100</f>
        <v>8.8000000000000025</v>
      </c>
    </row>
    <row r="251" spans="1:6" x14ac:dyDescent="0.25">
      <c r="A251" t="s">
        <v>14</v>
      </c>
      <c r="B251" s="7">
        <v>45337</v>
      </c>
      <c r="C251">
        <v>2024</v>
      </c>
      <c r="E251" t="s">
        <v>6</v>
      </c>
      <c r="F251">
        <f>(FruitDMg!F251/FruitFW!F251)*100</f>
        <v>12.699999999999998</v>
      </c>
    </row>
    <row r="252" spans="1:6" x14ac:dyDescent="0.25">
      <c r="A252" t="s">
        <v>14</v>
      </c>
      <c r="B252" s="7">
        <v>45348</v>
      </c>
      <c r="C252">
        <v>2024</v>
      </c>
      <c r="E252" t="s">
        <v>6</v>
      </c>
      <c r="F252">
        <f>(FruitDMg!F252/FruitFW!F252)*100</f>
        <v>13.600000000000001</v>
      </c>
    </row>
    <row r="253" spans="1:6" x14ac:dyDescent="0.25">
      <c r="A253" t="s">
        <v>14</v>
      </c>
      <c r="B253" s="7">
        <v>45365</v>
      </c>
      <c r="C253">
        <v>2024</v>
      </c>
      <c r="E253" t="s">
        <v>6</v>
      </c>
      <c r="F253">
        <f>(FruitDMg!F253/FruitFW!F253)*100</f>
        <v>15.300000000000002</v>
      </c>
    </row>
    <row r="254" spans="1:6" x14ac:dyDescent="0.25">
      <c r="A254" t="s">
        <v>14</v>
      </c>
      <c r="B254" s="7">
        <v>45379</v>
      </c>
      <c r="C254">
        <v>2024</v>
      </c>
      <c r="E254" t="s">
        <v>6</v>
      </c>
      <c r="F254">
        <f>(FruitDMg!F254/FruitFW!F254)*100</f>
        <v>16.600000000000001</v>
      </c>
    </row>
    <row r="255" spans="1:6" x14ac:dyDescent="0.25">
      <c r="A255" t="s">
        <v>14</v>
      </c>
      <c r="B255" s="7">
        <v>45393</v>
      </c>
      <c r="C255">
        <v>2024</v>
      </c>
      <c r="E255" t="s">
        <v>6</v>
      </c>
      <c r="F255">
        <f>(FruitDMg!F255/FruitFW!F255)*100</f>
        <v>17</v>
      </c>
    </row>
    <row r="256" spans="1:6" x14ac:dyDescent="0.25">
      <c r="A256" t="s">
        <v>14</v>
      </c>
      <c r="B256" s="7">
        <v>45407</v>
      </c>
      <c r="C256">
        <v>2024</v>
      </c>
      <c r="E256" t="s">
        <v>6</v>
      </c>
      <c r="F256">
        <f>(FruitDMg!F256/FruitFW!F256)*100</f>
        <v>17.399999999999999</v>
      </c>
    </row>
    <row r="257" spans="1:6" x14ac:dyDescent="0.25">
      <c r="A257" t="s">
        <v>14</v>
      </c>
      <c r="B257" s="7">
        <v>45414</v>
      </c>
      <c r="C257">
        <v>2024</v>
      </c>
      <c r="E257" t="s">
        <v>6</v>
      </c>
      <c r="F257">
        <f>(FruitDMg!F257/FruitFW!F257)*100</f>
        <v>17.600000000000001</v>
      </c>
    </row>
    <row r="258" spans="1:6" x14ac:dyDescent="0.25">
      <c r="A258" t="s">
        <v>14</v>
      </c>
      <c r="B258" s="7">
        <v>45425</v>
      </c>
      <c r="C258">
        <v>2024</v>
      </c>
      <c r="E258" t="s">
        <v>6</v>
      </c>
      <c r="F258">
        <f>(FruitDMg!F258/FruitFW!F258)*100</f>
        <v>18.399999999999999</v>
      </c>
    </row>
    <row r="259" spans="1:6" x14ac:dyDescent="0.25">
      <c r="A259" t="s">
        <v>14</v>
      </c>
      <c r="B259" s="7">
        <v>45441</v>
      </c>
      <c r="C259">
        <v>2024</v>
      </c>
      <c r="E259" t="s">
        <v>6</v>
      </c>
      <c r="F259">
        <f>(FruitDMg!F259/FruitFW!F259)*100</f>
        <v>18.099999999999998</v>
      </c>
    </row>
    <row r="260" spans="1:6" x14ac:dyDescent="0.25">
      <c r="A260" t="s">
        <v>14</v>
      </c>
      <c r="B260" s="7">
        <v>45453</v>
      </c>
      <c r="C260">
        <v>2024</v>
      </c>
      <c r="E260" t="s">
        <v>6</v>
      </c>
      <c r="F260">
        <f>(FruitDMg!F260/FruitFW!F260)*100</f>
        <v>17.899999999999995</v>
      </c>
    </row>
    <row r="261" spans="1:6" x14ac:dyDescent="0.25">
      <c r="A261" t="s">
        <v>14</v>
      </c>
      <c r="B261" s="7">
        <v>44595</v>
      </c>
      <c r="C261">
        <f>YEAR((B261))</f>
        <v>2022</v>
      </c>
      <c r="E261" t="s">
        <v>6</v>
      </c>
      <c r="F261">
        <f>(FruitDMg!F261/FruitFW!F261)*100</f>
        <v>10</v>
      </c>
    </row>
    <row r="262" spans="1:6" x14ac:dyDescent="0.25">
      <c r="A262" t="s">
        <v>14</v>
      </c>
      <c r="B262" s="7">
        <v>44608</v>
      </c>
      <c r="C262">
        <f t="shared" ref="C262:C293" si="3">YEAR((B262))</f>
        <v>2022</v>
      </c>
      <c r="E262" t="s">
        <v>6</v>
      </c>
      <c r="F262">
        <f>(FruitDMg!F262/FruitFW!F262)*100</f>
        <v>12.2</v>
      </c>
    </row>
    <row r="263" spans="1:6" x14ac:dyDescent="0.25">
      <c r="A263" t="s">
        <v>14</v>
      </c>
      <c r="B263" s="7">
        <v>44622</v>
      </c>
      <c r="C263">
        <f t="shared" si="3"/>
        <v>2022</v>
      </c>
      <c r="E263" t="s">
        <v>6</v>
      </c>
      <c r="F263">
        <f>(FruitDMg!F263/FruitFW!F263)*100</f>
        <v>14.099999999999998</v>
      </c>
    </row>
    <row r="264" spans="1:6" x14ac:dyDescent="0.25">
      <c r="A264" t="s">
        <v>14</v>
      </c>
      <c r="B264" s="7">
        <v>44636</v>
      </c>
      <c r="C264">
        <f t="shared" si="3"/>
        <v>2022</v>
      </c>
      <c r="E264" t="s">
        <v>6</v>
      </c>
      <c r="F264">
        <f>(FruitDMg!F264/FruitFW!F264)*100</f>
        <v>13.899999999999999</v>
      </c>
    </row>
    <row r="265" spans="1:6" x14ac:dyDescent="0.25">
      <c r="A265" t="s">
        <v>14</v>
      </c>
      <c r="B265" s="7">
        <v>44650</v>
      </c>
      <c r="C265">
        <f t="shared" si="3"/>
        <v>2022</v>
      </c>
      <c r="E265" t="s">
        <v>6</v>
      </c>
      <c r="F265">
        <f>(FruitDMg!F265/FruitFW!F265)*100</f>
        <v>17.2</v>
      </c>
    </row>
    <row r="266" spans="1:6" x14ac:dyDescent="0.25">
      <c r="A266" t="s">
        <v>14</v>
      </c>
      <c r="B266" s="7">
        <v>44664</v>
      </c>
      <c r="C266">
        <f t="shared" si="3"/>
        <v>2022</v>
      </c>
      <c r="E266" t="s">
        <v>6</v>
      </c>
      <c r="F266">
        <f>(FruitDMg!F266/FruitFW!F266)*100</f>
        <v>15.6</v>
      </c>
    </row>
    <row r="267" spans="1:6" x14ac:dyDescent="0.25">
      <c r="A267" t="s">
        <v>14</v>
      </c>
      <c r="B267" s="7">
        <v>44673</v>
      </c>
      <c r="C267">
        <f t="shared" si="3"/>
        <v>2022</v>
      </c>
      <c r="E267" t="s">
        <v>6</v>
      </c>
      <c r="F267">
        <f>(FruitDMg!F267/FruitFW!F267)*100</f>
        <v>15.9</v>
      </c>
    </row>
    <row r="268" spans="1:6" x14ac:dyDescent="0.25">
      <c r="A268" t="s">
        <v>14</v>
      </c>
      <c r="B268" s="7">
        <v>44680</v>
      </c>
      <c r="C268">
        <f t="shared" si="3"/>
        <v>2022</v>
      </c>
      <c r="E268" t="s">
        <v>6</v>
      </c>
      <c r="F268">
        <f>(FruitDMg!F268/FruitFW!F268)*100</f>
        <v>17.599999999999998</v>
      </c>
    </row>
    <row r="269" spans="1:6" x14ac:dyDescent="0.25">
      <c r="A269" t="s">
        <v>14</v>
      </c>
      <c r="B269" s="7">
        <v>44685</v>
      </c>
      <c r="C269">
        <f>YEAR((B269))</f>
        <v>2022</v>
      </c>
      <c r="E269" t="s">
        <v>6</v>
      </c>
      <c r="F269">
        <f>(FruitDMg!F269/FruitFW!F269)*100</f>
        <v>18.199999999999996</v>
      </c>
    </row>
    <row r="270" spans="1:6" x14ac:dyDescent="0.25">
      <c r="A270" t="s">
        <v>14</v>
      </c>
      <c r="B270" s="7">
        <v>44699</v>
      </c>
      <c r="C270">
        <f t="shared" si="3"/>
        <v>2022</v>
      </c>
      <c r="E270" t="s">
        <v>6</v>
      </c>
      <c r="F270">
        <f>(FruitDMg!F270/FruitFW!F270)*100</f>
        <v>17.7</v>
      </c>
    </row>
    <row r="271" spans="1:6" x14ac:dyDescent="0.25">
      <c r="A271" t="s">
        <v>14</v>
      </c>
      <c r="B271" s="7">
        <v>44713</v>
      </c>
      <c r="C271">
        <f t="shared" si="3"/>
        <v>2022</v>
      </c>
      <c r="E271" t="s">
        <v>6</v>
      </c>
      <c r="F271">
        <f>(FruitDMg!F271/FruitFW!F271)*100</f>
        <v>18.100000000000001</v>
      </c>
    </row>
    <row r="272" spans="1:6" x14ac:dyDescent="0.25">
      <c r="A272" t="s">
        <v>14</v>
      </c>
      <c r="B272" s="7">
        <v>44950</v>
      </c>
      <c r="C272">
        <f t="shared" si="3"/>
        <v>2023</v>
      </c>
      <c r="E272" t="s">
        <v>6</v>
      </c>
      <c r="F272">
        <f>(FruitDMg!F272/FruitFW!F272)*100</f>
        <v>9.0000000000000018</v>
      </c>
    </row>
    <row r="273" spans="1:6" x14ac:dyDescent="0.25">
      <c r="A273" t="s">
        <v>14</v>
      </c>
      <c r="B273" s="7">
        <v>44974</v>
      </c>
      <c r="C273">
        <f t="shared" si="3"/>
        <v>2023</v>
      </c>
      <c r="E273" t="s">
        <v>6</v>
      </c>
      <c r="F273">
        <f>(FruitDMg!F273/FruitFW!F273)*100</f>
        <v>11.300000000000002</v>
      </c>
    </row>
    <row r="274" spans="1:6" x14ac:dyDescent="0.25">
      <c r="A274" t="s">
        <v>14</v>
      </c>
      <c r="B274" s="7">
        <v>44987</v>
      </c>
      <c r="C274">
        <f t="shared" si="3"/>
        <v>2023</v>
      </c>
      <c r="E274" t="s">
        <v>6</v>
      </c>
      <c r="F274">
        <f>(FruitDMg!F274/FruitFW!F274)*100</f>
        <v>13.5</v>
      </c>
    </row>
    <row r="275" spans="1:6" x14ac:dyDescent="0.25">
      <c r="A275" t="s">
        <v>14</v>
      </c>
      <c r="B275" s="7">
        <v>45001</v>
      </c>
      <c r="C275">
        <f t="shared" si="3"/>
        <v>2023</v>
      </c>
      <c r="E275" t="s">
        <v>6</v>
      </c>
      <c r="F275">
        <f>(FruitDMg!F275/FruitFW!F275)*100</f>
        <v>15.299999999999999</v>
      </c>
    </row>
    <row r="276" spans="1:6" x14ac:dyDescent="0.25">
      <c r="A276" t="s">
        <v>14</v>
      </c>
      <c r="B276" s="7">
        <v>45014</v>
      </c>
      <c r="C276">
        <f t="shared" si="3"/>
        <v>2023</v>
      </c>
      <c r="E276" t="s">
        <v>6</v>
      </c>
      <c r="F276">
        <f>(FruitDMg!F276/FruitFW!F276)*100</f>
        <v>16</v>
      </c>
    </row>
    <row r="277" spans="1:6" x14ac:dyDescent="0.25">
      <c r="A277" t="s">
        <v>14</v>
      </c>
      <c r="B277" s="7">
        <v>45031</v>
      </c>
      <c r="C277">
        <f t="shared" si="3"/>
        <v>2023</v>
      </c>
      <c r="E277" t="s">
        <v>6</v>
      </c>
      <c r="F277">
        <f>(FruitDMg!F277/FruitFW!F277)*100</f>
        <v>16.7</v>
      </c>
    </row>
    <row r="278" spans="1:6" x14ac:dyDescent="0.25">
      <c r="A278" t="s">
        <v>14</v>
      </c>
      <c r="B278" s="7">
        <v>45041</v>
      </c>
      <c r="C278">
        <f t="shared" si="3"/>
        <v>2023</v>
      </c>
      <c r="E278" t="s">
        <v>6</v>
      </c>
      <c r="F278">
        <f>(FruitDMg!F278/FruitFW!F278)*100</f>
        <v>17.399999999999999</v>
      </c>
    </row>
    <row r="279" spans="1:6" x14ac:dyDescent="0.25">
      <c r="A279" t="s">
        <v>14</v>
      </c>
      <c r="B279" s="7">
        <v>45049</v>
      </c>
      <c r="C279">
        <f t="shared" si="3"/>
        <v>2023</v>
      </c>
      <c r="E279" t="s">
        <v>6</v>
      </c>
      <c r="F279">
        <f>(FruitDMg!F279/FruitFW!F279)*100</f>
        <v>17.5</v>
      </c>
    </row>
    <row r="280" spans="1:6" x14ac:dyDescent="0.25">
      <c r="A280" t="s">
        <v>14</v>
      </c>
      <c r="B280" s="7">
        <v>45062</v>
      </c>
      <c r="C280">
        <f t="shared" si="3"/>
        <v>2023</v>
      </c>
      <c r="E280" t="s">
        <v>6</v>
      </c>
      <c r="F280">
        <f>(FruitDMg!F280/FruitFW!F280)*100</f>
        <v>17.8</v>
      </c>
    </row>
    <row r="281" spans="1:6" x14ac:dyDescent="0.25">
      <c r="A281" t="s">
        <v>14</v>
      </c>
      <c r="B281" s="7">
        <v>45077</v>
      </c>
      <c r="C281">
        <f t="shared" si="3"/>
        <v>2023</v>
      </c>
      <c r="E281" t="s">
        <v>6</v>
      </c>
      <c r="F281">
        <f>(FruitDMg!F281/FruitFW!F281)*100</f>
        <v>17.8</v>
      </c>
    </row>
    <row r="282" spans="1:6" x14ac:dyDescent="0.25">
      <c r="A282" t="s">
        <v>14</v>
      </c>
      <c r="B282" s="7">
        <v>45083</v>
      </c>
      <c r="C282">
        <f t="shared" si="3"/>
        <v>2023</v>
      </c>
      <c r="E282" t="s">
        <v>6</v>
      </c>
      <c r="F282">
        <f>(FruitDMg!F282/FruitFW!F282)*100</f>
        <v>17.899999999999999</v>
      </c>
    </row>
    <row r="283" spans="1:6" x14ac:dyDescent="0.25">
      <c r="A283" t="s">
        <v>14</v>
      </c>
      <c r="B283" s="7">
        <v>45314</v>
      </c>
      <c r="C283">
        <f t="shared" si="3"/>
        <v>2024</v>
      </c>
      <c r="E283" t="s">
        <v>6</v>
      </c>
      <c r="F283">
        <f>(FruitDMg!F283/FruitFW!F283)*100</f>
        <v>8.3000000000000007</v>
      </c>
    </row>
    <row r="284" spans="1:6" x14ac:dyDescent="0.25">
      <c r="A284" t="s">
        <v>14</v>
      </c>
      <c r="B284" s="7">
        <v>45336</v>
      </c>
      <c r="C284">
        <f t="shared" si="3"/>
        <v>2024</v>
      </c>
      <c r="E284" t="s">
        <v>6</v>
      </c>
      <c r="F284">
        <f>(FruitDMg!F284/FruitFW!F284)*100</f>
        <v>11.9</v>
      </c>
    </row>
    <row r="285" spans="1:6" x14ac:dyDescent="0.25">
      <c r="A285" t="s">
        <v>14</v>
      </c>
      <c r="B285" s="7">
        <v>45348</v>
      </c>
      <c r="C285">
        <f t="shared" si="3"/>
        <v>2024</v>
      </c>
      <c r="E285" t="s">
        <v>6</v>
      </c>
      <c r="F285">
        <f>(FruitDMg!F285/FruitFW!F285)*100</f>
        <v>13.5</v>
      </c>
    </row>
    <row r="286" spans="1:6" x14ac:dyDescent="0.25">
      <c r="A286" t="s">
        <v>14</v>
      </c>
      <c r="B286" s="7">
        <v>45365</v>
      </c>
      <c r="C286">
        <f t="shared" si="3"/>
        <v>2024</v>
      </c>
      <c r="E286" t="s">
        <v>6</v>
      </c>
      <c r="F286">
        <f>(FruitDMg!F286/FruitFW!F286)*100</f>
        <v>15.2</v>
      </c>
    </row>
    <row r="287" spans="1:6" x14ac:dyDescent="0.25">
      <c r="A287" t="s">
        <v>14</v>
      </c>
      <c r="B287" s="7">
        <v>45379</v>
      </c>
      <c r="C287">
        <f t="shared" si="3"/>
        <v>2024</v>
      </c>
      <c r="E287" t="s">
        <v>6</v>
      </c>
      <c r="F287">
        <f>(FruitDMg!F287/FruitFW!F287)*100</f>
        <v>16.400000000000002</v>
      </c>
    </row>
    <row r="288" spans="1:6" x14ac:dyDescent="0.25">
      <c r="A288" t="s">
        <v>14</v>
      </c>
      <c r="B288" s="7">
        <v>45390</v>
      </c>
      <c r="C288">
        <f t="shared" si="3"/>
        <v>2024</v>
      </c>
      <c r="E288" t="s">
        <v>6</v>
      </c>
      <c r="F288">
        <f>(FruitDMg!F288/FruitFW!F288)*100</f>
        <v>16.8</v>
      </c>
    </row>
    <row r="289" spans="1:6" x14ac:dyDescent="0.25">
      <c r="A289" t="s">
        <v>14</v>
      </c>
      <c r="B289" s="7">
        <v>45404</v>
      </c>
      <c r="C289">
        <f t="shared" si="3"/>
        <v>2024</v>
      </c>
      <c r="E289" t="s">
        <v>6</v>
      </c>
      <c r="F289">
        <f>(FruitDMg!F289/FruitFW!F289)*100</f>
        <v>17.2</v>
      </c>
    </row>
    <row r="290" spans="1:6" x14ac:dyDescent="0.25">
      <c r="A290" t="s">
        <v>14</v>
      </c>
      <c r="B290" s="7">
        <v>45413</v>
      </c>
      <c r="C290">
        <f t="shared" si="3"/>
        <v>2024</v>
      </c>
      <c r="E290" t="s">
        <v>6</v>
      </c>
      <c r="F290">
        <f>(FruitDMg!F290/FruitFW!F290)*100</f>
        <v>17.699999999999996</v>
      </c>
    </row>
    <row r="291" spans="1:6" x14ac:dyDescent="0.25">
      <c r="A291" t="s">
        <v>14</v>
      </c>
      <c r="B291" s="7">
        <v>45425</v>
      </c>
      <c r="C291">
        <f t="shared" si="3"/>
        <v>2024</v>
      </c>
      <c r="E291" t="s">
        <v>6</v>
      </c>
      <c r="F291">
        <f>(FruitDMg!F291/FruitFW!F291)*100</f>
        <v>18.399999999999999</v>
      </c>
    </row>
    <row r="292" spans="1:6" x14ac:dyDescent="0.25">
      <c r="A292" t="s">
        <v>14</v>
      </c>
      <c r="B292" s="7">
        <v>45441</v>
      </c>
      <c r="C292">
        <f t="shared" si="3"/>
        <v>2024</v>
      </c>
      <c r="E292" t="s">
        <v>6</v>
      </c>
      <c r="F292">
        <f>(FruitDMg!F292/FruitFW!F292)*100</f>
        <v>17.899999999999995</v>
      </c>
    </row>
    <row r="293" spans="1:6" x14ac:dyDescent="0.25">
      <c r="A293" t="s">
        <v>14</v>
      </c>
      <c r="B293" s="7">
        <v>45453</v>
      </c>
      <c r="C293">
        <f t="shared" si="3"/>
        <v>2024</v>
      </c>
      <c r="E293" t="s">
        <v>6</v>
      </c>
      <c r="F293">
        <f>(FruitDMg!F293/FruitFW!F293)*100</f>
        <v>18</v>
      </c>
    </row>
    <row r="294" spans="1:6" x14ac:dyDescent="0.25">
      <c r="A294" t="s">
        <v>14</v>
      </c>
      <c r="B294" s="7">
        <v>44595</v>
      </c>
      <c r="C294">
        <f>YEAR(B294)</f>
        <v>2022</v>
      </c>
      <c r="E294" t="s">
        <v>6</v>
      </c>
      <c r="F294">
        <f>(FruitDMg!F294/FruitFW!F294)*100</f>
        <v>9.7000000000000011</v>
      </c>
    </row>
    <row r="295" spans="1:6" x14ac:dyDescent="0.25">
      <c r="A295" t="s">
        <v>14</v>
      </c>
      <c r="B295" s="7">
        <v>44608</v>
      </c>
      <c r="C295">
        <f t="shared" ref="C295:C358" si="4">YEAR(B295)</f>
        <v>2022</v>
      </c>
      <c r="E295" t="s">
        <v>6</v>
      </c>
      <c r="F295">
        <f>(FruitDMg!F295/FruitFW!F295)*100</f>
        <v>11.4</v>
      </c>
    </row>
    <row r="296" spans="1:6" x14ac:dyDescent="0.25">
      <c r="A296" t="s">
        <v>14</v>
      </c>
      <c r="B296" s="7">
        <v>44622</v>
      </c>
      <c r="C296">
        <f t="shared" si="4"/>
        <v>2022</v>
      </c>
      <c r="E296" t="s">
        <v>6</v>
      </c>
      <c r="F296">
        <f>(FruitDMg!F296/FruitFW!F296)*100</f>
        <v>12.8</v>
      </c>
    </row>
    <row r="297" spans="1:6" x14ac:dyDescent="0.25">
      <c r="A297" t="s">
        <v>14</v>
      </c>
      <c r="B297" s="7">
        <v>44636</v>
      </c>
      <c r="C297">
        <f t="shared" si="4"/>
        <v>2022</v>
      </c>
      <c r="E297" t="s">
        <v>6</v>
      </c>
      <c r="F297">
        <f>(FruitDMg!F297/FruitFW!F297)*100</f>
        <v>12.099999999999998</v>
      </c>
    </row>
    <row r="298" spans="1:6" x14ac:dyDescent="0.25">
      <c r="A298" t="s">
        <v>14</v>
      </c>
      <c r="B298" s="7">
        <v>44650</v>
      </c>
      <c r="C298">
        <f t="shared" si="4"/>
        <v>2022</v>
      </c>
      <c r="E298" t="s">
        <v>6</v>
      </c>
      <c r="F298">
        <f>(FruitDMg!F298/FruitFW!F298)*100</f>
        <v>14.6</v>
      </c>
    </row>
    <row r="299" spans="1:6" x14ac:dyDescent="0.25">
      <c r="A299" t="s">
        <v>14</v>
      </c>
      <c r="B299" s="7">
        <v>44664</v>
      </c>
      <c r="C299">
        <f t="shared" si="4"/>
        <v>2022</v>
      </c>
      <c r="E299" t="s">
        <v>6</v>
      </c>
      <c r="F299">
        <f>(FruitDMg!F299/FruitFW!F299)*100</f>
        <v>14.400000000000002</v>
      </c>
    </row>
    <row r="300" spans="1:6" x14ac:dyDescent="0.25">
      <c r="A300" t="s">
        <v>14</v>
      </c>
      <c r="B300" s="7">
        <v>44672</v>
      </c>
      <c r="C300">
        <f t="shared" si="4"/>
        <v>2022</v>
      </c>
      <c r="E300" t="s">
        <v>6</v>
      </c>
      <c r="F300">
        <f>(FruitDMg!F300/FruitFW!F300)*100</f>
        <v>14.799999999999999</v>
      </c>
    </row>
    <row r="301" spans="1:6" x14ac:dyDescent="0.25">
      <c r="A301" t="s">
        <v>14</v>
      </c>
      <c r="B301" s="7">
        <v>44680</v>
      </c>
      <c r="C301">
        <f t="shared" si="4"/>
        <v>2022</v>
      </c>
      <c r="E301" t="s">
        <v>6</v>
      </c>
      <c r="F301">
        <f>(FruitDMg!F301/FruitFW!F301)*100</f>
        <v>14.7</v>
      </c>
    </row>
    <row r="302" spans="1:6" x14ac:dyDescent="0.25">
      <c r="A302" t="s">
        <v>14</v>
      </c>
      <c r="B302" s="7">
        <v>44685</v>
      </c>
      <c r="C302">
        <f t="shared" si="4"/>
        <v>2022</v>
      </c>
      <c r="E302" t="s">
        <v>6</v>
      </c>
      <c r="F302">
        <f>(FruitDMg!F302/FruitFW!F302)*100</f>
        <v>14.6</v>
      </c>
    </row>
    <row r="303" spans="1:6" x14ac:dyDescent="0.25">
      <c r="A303" t="s">
        <v>14</v>
      </c>
      <c r="B303" s="7">
        <v>44699</v>
      </c>
      <c r="C303">
        <f t="shared" si="4"/>
        <v>2022</v>
      </c>
      <c r="E303" t="s">
        <v>6</v>
      </c>
      <c r="F303">
        <f>(FruitDMg!F303/FruitFW!F303)*100</f>
        <v>15.8</v>
      </c>
    </row>
    <row r="304" spans="1:6" x14ac:dyDescent="0.25">
      <c r="A304" t="s">
        <v>14</v>
      </c>
      <c r="B304" s="7">
        <v>44713</v>
      </c>
      <c r="C304">
        <f t="shared" si="4"/>
        <v>2022</v>
      </c>
      <c r="E304" t="s">
        <v>6</v>
      </c>
      <c r="F304">
        <f>(FruitDMg!F304/FruitFW!F304)*100</f>
        <v>16</v>
      </c>
    </row>
    <row r="305" spans="1:6" x14ac:dyDescent="0.25">
      <c r="A305" t="s">
        <v>14</v>
      </c>
      <c r="B305" s="7">
        <v>44952</v>
      </c>
      <c r="C305">
        <f t="shared" si="4"/>
        <v>2023</v>
      </c>
      <c r="E305" t="s">
        <v>6</v>
      </c>
      <c r="F305">
        <f>(FruitDMg!F305/FruitFW!F305)*100</f>
        <v>8.2999999999999989</v>
      </c>
    </row>
    <row r="306" spans="1:6" x14ac:dyDescent="0.25">
      <c r="A306" t="s">
        <v>14</v>
      </c>
      <c r="B306" s="7">
        <v>44974</v>
      </c>
      <c r="C306">
        <f t="shared" si="4"/>
        <v>2023</v>
      </c>
      <c r="E306" t="s">
        <v>6</v>
      </c>
      <c r="F306">
        <f>(FruitDMg!F306/FruitFW!F306)*100</f>
        <v>10.5</v>
      </c>
    </row>
    <row r="307" spans="1:6" x14ac:dyDescent="0.25">
      <c r="A307" t="s">
        <v>14</v>
      </c>
      <c r="B307" s="7">
        <v>44984</v>
      </c>
      <c r="C307">
        <f t="shared" si="4"/>
        <v>2023</v>
      </c>
      <c r="E307" t="s">
        <v>6</v>
      </c>
      <c r="F307">
        <f>(FruitDMg!F307/FruitFW!F307)*100</f>
        <v>12.4</v>
      </c>
    </row>
    <row r="308" spans="1:6" x14ac:dyDescent="0.25">
      <c r="A308" t="s">
        <v>14</v>
      </c>
      <c r="B308" s="7">
        <v>45000</v>
      </c>
      <c r="C308">
        <f t="shared" si="4"/>
        <v>2023</v>
      </c>
      <c r="E308" t="s">
        <v>6</v>
      </c>
      <c r="F308">
        <f>(FruitDMg!F308/FruitFW!F308)*100</f>
        <v>14.299999999999999</v>
      </c>
    </row>
    <row r="309" spans="1:6" x14ac:dyDescent="0.25">
      <c r="A309" t="s">
        <v>14</v>
      </c>
      <c r="B309" s="7">
        <v>45015</v>
      </c>
      <c r="C309">
        <f t="shared" si="4"/>
        <v>2023</v>
      </c>
      <c r="E309" t="s">
        <v>6</v>
      </c>
      <c r="F309">
        <f>(FruitDMg!F309/FruitFW!F309)*100</f>
        <v>15.000000000000002</v>
      </c>
    </row>
    <row r="310" spans="1:6" x14ac:dyDescent="0.25">
      <c r="A310" t="s">
        <v>14</v>
      </c>
      <c r="B310" s="7">
        <v>45029</v>
      </c>
      <c r="C310">
        <f t="shared" si="4"/>
        <v>2023</v>
      </c>
      <c r="E310" t="s">
        <v>6</v>
      </c>
      <c r="F310">
        <f>(FruitDMg!F310/FruitFW!F310)*100</f>
        <v>15.5</v>
      </c>
    </row>
    <row r="311" spans="1:6" x14ac:dyDescent="0.25">
      <c r="A311" t="s">
        <v>14</v>
      </c>
      <c r="B311" s="7">
        <v>45041</v>
      </c>
      <c r="C311">
        <f t="shared" si="4"/>
        <v>2023</v>
      </c>
      <c r="E311" t="s">
        <v>6</v>
      </c>
      <c r="F311">
        <f>(FruitDMg!F311/FruitFW!F311)*100</f>
        <v>16</v>
      </c>
    </row>
    <row r="312" spans="1:6" x14ac:dyDescent="0.25">
      <c r="A312" t="s">
        <v>14</v>
      </c>
      <c r="B312" s="7">
        <v>45049</v>
      </c>
      <c r="C312">
        <f t="shared" si="4"/>
        <v>2023</v>
      </c>
      <c r="E312" t="s">
        <v>6</v>
      </c>
      <c r="F312">
        <f>(FruitDMg!F312/FruitFW!F312)*100</f>
        <v>15.6</v>
      </c>
    </row>
    <row r="313" spans="1:6" x14ac:dyDescent="0.25">
      <c r="A313" t="s">
        <v>14</v>
      </c>
      <c r="B313" s="7">
        <v>45062</v>
      </c>
      <c r="C313">
        <f t="shared" si="4"/>
        <v>2023</v>
      </c>
      <c r="E313" t="s">
        <v>6</v>
      </c>
      <c r="F313">
        <f>(FruitDMg!F313/FruitFW!F313)*100</f>
        <v>15.4</v>
      </c>
    </row>
    <row r="314" spans="1:6" x14ac:dyDescent="0.25">
      <c r="A314" t="s">
        <v>14</v>
      </c>
      <c r="B314" s="7">
        <v>45076</v>
      </c>
      <c r="C314">
        <f t="shared" si="4"/>
        <v>2023</v>
      </c>
      <c r="E314" t="s">
        <v>6</v>
      </c>
      <c r="F314">
        <f>(FruitDMg!F314/FruitFW!F314)*100</f>
        <v>16</v>
      </c>
    </row>
    <row r="315" spans="1:6" x14ac:dyDescent="0.25">
      <c r="A315" t="s">
        <v>14</v>
      </c>
      <c r="B315" s="7">
        <v>45083</v>
      </c>
      <c r="C315">
        <f t="shared" si="4"/>
        <v>2023</v>
      </c>
      <c r="E315" t="s">
        <v>6</v>
      </c>
      <c r="F315">
        <f>(FruitDMg!F315/FruitFW!F315)*100</f>
        <v>17</v>
      </c>
    </row>
    <row r="316" spans="1:6" x14ac:dyDescent="0.25">
      <c r="A316" t="s">
        <v>14</v>
      </c>
      <c r="B316" s="7">
        <v>45316</v>
      </c>
      <c r="C316">
        <f t="shared" si="4"/>
        <v>2024</v>
      </c>
      <c r="E316" t="s">
        <v>6</v>
      </c>
      <c r="F316">
        <f>(FruitDMg!F316/FruitFW!F316)*100</f>
        <v>8.3000000000000025</v>
      </c>
    </row>
    <row r="317" spans="1:6" x14ac:dyDescent="0.25">
      <c r="A317" t="s">
        <v>14</v>
      </c>
      <c r="B317" s="7">
        <v>45337</v>
      </c>
      <c r="C317">
        <f t="shared" si="4"/>
        <v>2024</v>
      </c>
      <c r="E317" t="s">
        <v>6</v>
      </c>
      <c r="F317">
        <f>(FruitDMg!F317/FruitFW!F317)*100</f>
        <v>11.700000000000001</v>
      </c>
    </row>
    <row r="318" spans="1:6" x14ac:dyDescent="0.25">
      <c r="A318" t="s">
        <v>14</v>
      </c>
      <c r="B318" s="7">
        <v>45350</v>
      </c>
      <c r="C318">
        <f t="shared" si="4"/>
        <v>2024</v>
      </c>
      <c r="E318" t="s">
        <v>6</v>
      </c>
      <c r="F318">
        <f>(FruitDMg!F318/FruitFW!F318)*100</f>
        <v>13.600000000000001</v>
      </c>
    </row>
    <row r="319" spans="1:6" x14ac:dyDescent="0.25">
      <c r="A319" t="s">
        <v>14</v>
      </c>
      <c r="B319" s="7">
        <v>45364</v>
      </c>
      <c r="C319">
        <f t="shared" si="4"/>
        <v>2024</v>
      </c>
      <c r="E319" t="s">
        <v>6</v>
      </c>
      <c r="F319">
        <f>(FruitDMg!F319/FruitFW!F319)*100</f>
        <v>15.000000000000002</v>
      </c>
    </row>
    <row r="320" spans="1:6" x14ac:dyDescent="0.25">
      <c r="A320" t="s">
        <v>14</v>
      </c>
      <c r="B320" s="7">
        <v>45378</v>
      </c>
      <c r="C320">
        <f t="shared" si="4"/>
        <v>2024</v>
      </c>
      <c r="E320" t="s">
        <v>6</v>
      </c>
      <c r="F320">
        <f>(FruitDMg!F320/FruitFW!F320)*100</f>
        <v>15.9</v>
      </c>
    </row>
    <row r="321" spans="1:6" x14ac:dyDescent="0.25">
      <c r="A321" t="s">
        <v>14</v>
      </c>
      <c r="B321" s="7">
        <v>45393</v>
      </c>
      <c r="C321">
        <f t="shared" si="4"/>
        <v>2024</v>
      </c>
      <c r="E321" t="s">
        <v>6</v>
      </c>
      <c r="F321">
        <f>(FruitDMg!F321/FruitFW!F321)*100</f>
        <v>16.3</v>
      </c>
    </row>
    <row r="322" spans="1:6" x14ac:dyDescent="0.25">
      <c r="A322" t="s">
        <v>14</v>
      </c>
      <c r="B322" s="7">
        <v>45404</v>
      </c>
      <c r="C322">
        <f t="shared" si="4"/>
        <v>2024</v>
      </c>
      <c r="E322" t="s">
        <v>6</v>
      </c>
      <c r="F322">
        <f>(FruitDMg!F322/FruitFW!F322)*100</f>
        <v>16.2</v>
      </c>
    </row>
    <row r="323" spans="1:6" x14ac:dyDescent="0.25">
      <c r="A323" t="s">
        <v>14</v>
      </c>
      <c r="B323" s="7">
        <v>45414</v>
      </c>
      <c r="C323">
        <f t="shared" si="4"/>
        <v>2024</v>
      </c>
      <c r="E323" t="s">
        <v>6</v>
      </c>
      <c r="F323">
        <f>(FruitDMg!F323/FruitFW!F323)*100</f>
        <v>17.099999999999998</v>
      </c>
    </row>
    <row r="324" spans="1:6" x14ac:dyDescent="0.25">
      <c r="A324" t="s">
        <v>14</v>
      </c>
      <c r="B324" s="7">
        <v>45425</v>
      </c>
      <c r="C324">
        <f t="shared" si="4"/>
        <v>2024</v>
      </c>
      <c r="E324" t="s">
        <v>6</v>
      </c>
      <c r="F324">
        <f>(FruitDMg!F324/FruitFW!F324)*100</f>
        <v>17.3</v>
      </c>
    </row>
    <row r="325" spans="1:6" x14ac:dyDescent="0.25">
      <c r="A325" t="s">
        <v>14</v>
      </c>
      <c r="B325" s="7">
        <v>45441</v>
      </c>
      <c r="C325">
        <f t="shared" si="4"/>
        <v>2024</v>
      </c>
      <c r="E325" t="s">
        <v>6</v>
      </c>
      <c r="F325">
        <f>(FruitDMg!F325/FruitFW!F325)*100</f>
        <v>17.7</v>
      </c>
    </row>
    <row r="326" spans="1:6" x14ac:dyDescent="0.25">
      <c r="A326" t="s">
        <v>14</v>
      </c>
      <c r="B326" s="7">
        <v>45453</v>
      </c>
      <c r="C326">
        <f t="shared" si="4"/>
        <v>2024</v>
      </c>
      <c r="E326" t="s">
        <v>6</v>
      </c>
      <c r="F326">
        <f>(FruitDMg!F326/FruitFW!F326)*100</f>
        <v>17.8</v>
      </c>
    </row>
    <row r="327" spans="1:6" x14ac:dyDescent="0.25">
      <c r="A327" t="s">
        <v>14</v>
      </c>
      <c r="B327" s="7">
        <v>45316</v>
      </c>
      <c r="C327">
        <f t="shared" si="4"/>
        <v>2024</v>
      </c>
      <c r="E327" t="s">
        <v>6</v>
      </c>
      <c r="F327">
        <f>(FruitDMg!F327/FruitFW!F327)*100</f>
        <v>8.6999999999999975</v>
      </c>
    </row>
    <row r="328" spans="1:6" x14ac:dyDescent="0.25">
      <c r="A328" t="s">
        <v>14</v>
      </c>
      <c r="B328" s="7">
        <v>45337</v>
      </c>
      <c r="C328">
        <f t="shared" si="4"/>
        <v>2024</v>
      </c>
      <c r="E328" t="s">
        <v>6</v>
      </c>
      <c r="F328">
        <f>(FruitDMg!F328/FruitFW!F328)*100</f>
        <v>12.1</v>
      </c>
    </row>
    <row r="329" spans="1:6" x14ac:dyDescent="0.25">
      <c r="A329" t="s">
        <v>14</v>
      </c>
      <c r="B329" s="7">
        <v>45350</v>
      </c>
      <c r="C329">
        <f t="shared" si="4"/>
        <v>2024</v>
      </c>
      <c r="E329" t="s">
        <v>6</v>
      </c>
      <c r="F329">
        <f>(FruitDMg!F329/FruitFW!F329)*100</f>
        <v>13.5</v>
      </c>
    </row>
    <row r="330" spans="1:6" x14ac:dyDescent="0.25">
      <c r="A330" t="s">
        <v>14</v>
      </c>
      <c r="B330" s="7">
        <v>45364</v>
      </c>
      <c r="C330">
        <f t="shared" si="4"/>
        <v>2024</v>
      </c>
      <c r="E330" t="s">
        <v>6</v>
      </c>
      <c r="F330">
        <f>(FruitDMg!F330/FruitFW!F330)*100</f>
        <v>14.7</v>
      </c>
    </row>
    <row r="331" spans="1:6" x14ac:dyDescent="0.25">
      <c r="A331" t="s">
        <v>14</v>
      </c>
      <c r="B331" s="7">
        <v>45378</v>
      </c>
      <c r="C331">
        <f t="shared" si="4"/>
        <v>2024</v>
      </c>
      <c r="E331" t="s">
        <v>6</v>
      </c>
      <c r="F331">
        <f>(FruitDMg!F331/FruitFW!F331)*100</f>
        <v>15.7</v>
      </c>
    </row>
    <row r="332" spans="1:6" x14ac:dyDescent="0.25">
      <c r="A332" t="s">
        <v>14</v>
      </c>
      <c r="B332" s="7">
        <v>45390</v>
      </c>
      <c r="C332">
        <f t="shared" si="4"/>
        <v>2024</v>
      </c>
      <c r="E332" t="s">
        <v>6</v>
      </c>
      <c r="F332">
        <f>(FruitDMg!F332/FruitFW!F332)*100</f>
        <v>16.499999999999996</v>
      </c>
    </row>
    <row r="333" spans="1:6" x14ac:dyDescent="0.25">
      <c r="A333" t="s">
        <v>14</v>
      </c>
      <c r="B333" s="7">
        <v>45407</v>
      </c>
      <c r="C333">
        <f t="shared" si="4"/>
        <v>2024</v>
      </c>
      <c r="E333" t="s">
        <v>6</v>
      </c>
      <c r="F333">
        <f>(FruitDMg!F333/FruitFW!F333)*100</f>
        <v>16.5</v>
      </c>
    </row>
    <row r="334" spans="1:6" x14ac:dyDescent="0.25">
      <c r="A334" t="s">
        <v>14</v>
      </c>
      <c r="B334" s="7">
        <v>45413</v>
      </c>
      <c r="C334">
        <f t="shared" si="4"/>
        <v>2024</v>
      </c>
      <c r="E334" t="s">
        <v>6</v>
      </c>
      <c r="F334">
        <f>(FruitDMg!F334/FruitFW!F334)*100</f>
        <v>16.8</v>
      </c>
    </row>
    <row r="335" spans="1:6" x14ac:dyDescent="0.25">
      <c r="A335" t="s">
        <v>14</v>
      </c>
      <c r="B335" s="7">
        <v>45425</v>
      </c>
      <c r="C335">
        <f t="shared" si="4"/>
        <v>2024</v>
      </c>
      <c r="E335" t="s">
        <v>6</v>
      </c>
      <c r="F335">
        <f>(FruitDMg!F335/FruitFW!F335)*100</f>
        <v>17.8</v>
      </c>
    </row>
    <row r="336" spans="1:6" x14ac:dyDescent="0.25">
      <c r="A336" t="s">
        <v>14</v>
      </c>
      <c r="B336" s="7">
        <v>45439</v>
      </c>
      <c r="C336">
        <f t="shared" si="4"/>
        <v>2024</v>
      </c>
      <c r="E336" t="s">
        <v>6</v>
      </c>
      <c r="F336">
        <f>(FruitDMg!F336/FruitFW!F336)*100</f>
        <v>15</v>
      </c>
    </row>
    <row r="337" spans="1:6" x14ac:dyDescent="0.25">
      <c r="A337" t="s">
        <v>14</v>
      </c>
      <c r="B337" s="7">
        <v>45454</v>
      </c>
      <c r="C337">
        <f t="shared" si="4"/>
        <v>2024</v>
      </c>
      <c r="E337" t="s">
        <v>6</v>
      </c>
      <c r="F337">
        <f>(FruitDMg!F337/FruitFW!F337)*100</f>
        <v>17.5</v>
      </c>
    </row>
    <row r="338" spans="1:6" x14ac:dyDescent="0.25">
      <c r="A338" t="s">
        <v>14</v>
      </c>
      <c r="B338" s="7">
        <v>42387</v>
      </c>
      <c r="C338">
        <f t="shared" si="4"/>
        <v>2016</v>
      </c>
      <c r="E338" t="s">
        <v>6</v>
      </c>
      <c r="F338">
        <f>(FruitDMg!F338/FruitFW!F338)*100</f>
        <v>7.3999999999999995</v>
      </c>
    </row>
    <row r="339" spans="1:6" x14ac:dyDescent="0.25">
      <c r="A339" t="s">
        <v>14</v>
      </c>
      <c r="B339" s="7">
        <v>42387</v>
      </c>
      <c r="C339">
        <f t="shared" si="4"/>
        <v>2016</v>
      </c>
      <c r="E339" t="s">
        <v>6</v>
      </c>
      <c r="F339">
        <f>(FruitDMg!F339/FruitFW!F339)*100</f>
        <v>6.8999999999999995</v>
      </c>
    </row>
    <row r="340" spans="1:6" x14ac:dyDescent="0.25">
      <c r="A340" t="s">
        <v>14</v>
      </c>
      <c r="B340" s="7">
        <v>42423</v>
      </c>
      <c r="C340">
        <f t="shared" si="4"/>
        <v>2016</v>
      </c>
      <c r="E340" t="s">
        <v>6</v>
      </c>
      <c r="F340">
        <f>(FruitDMg!F340/FruitFW!F340)*100</f>
        <v>11.8</v>
      </c>
    </row>
    <row r="341" spans="1:6" x14ac:dyDescent="0.25">
      <c r="A341" t="s">
        <v>14</v>
      </c>
      <c r="B341" s="7">
        <v>42423</v>
      </c>
      <c r="C341">
        <f t="shared" si="4"/>
        <v>2016</v>
      </c>
      <c r="E341" t="s">
        <v>6</v>
      </c>
      <c r="F341">
        <f>(FruitDMg!F341/FruitFW!F341)*100</f>
        <v>11.899999999999999</v>
      </c>
    </row>
    <row r="342" spans="1:6" x14ac:dyDescent="0.25">
      <c r="A342" t="s">
        <v>14</v>
      </c>
      <c r="B342" s="7">
        <v>42437</v>
      </c>
      <c r="C342">
        <f t="shared" si="4"/>
        <v>2016</v>
      </c>
      <c r="E342" t="s">
        <v>6</v>
      </c>
      <c r="F342">
        <f>(FruitDMg!F342/FruitFW!F342)*100</f>
        <v>13.399999999999999</v>
      </c>
    </row>
    <row r="343" spans="1:6" x14ac:dyDescent="0.25">
      <c r="A343" t="s">
        <v>14</v>
      </c>
      <c r="B343" s="7">
        <v>42437</v>
      </c>
      <c r="C343">
        <f t="shared" si="4"/>
        <v>2016</v>
      </c>
      <c r="E343" t="s">
        <v>6</v>
      </c>
      <c r="F343">
        <f>(FruitDMg!F343/FruitFW!F343)*100</f>
        <v>13.600000000000001</v>
      </c>
    </row>
    <row r="344" spans="1:6" x14ac:dyDescent="0.25">
      <c r="A344" t="s">
        <v>14</v>
      </c>
      <c r="B344" s="7">
        <v>42451</v>
      </c>
      <c r="C344">
        <f t="shared" si="4"/>
        <v>2016</v>
      </c>
      <c r="E344" t="s">
        <v>6</v>
      </c>
      <c r="F344">
        <f>(FruitDMg!F344/FruitFW!F344)*100</f>
        <v>14.299999999999999</v>
      </c>
    </row>
    <row r="345" spans="1:6" x14ac:dyDescent="0.25">
      <c r="A345" t="s">
        <v>14</v>
      </c>
      <c r="B345" s="7">
        <v>42451</v>
      </c>
      <c r="C345">
        <f t="shared" si="4"/>
        <v>2016</v>
      </c>
      <c r="E345" t="s">
        <v>6</v>
      </c>
      <c r="F345">
        <f>(FruitDMg!F345/FruitFW!F345)*100</f>
        <v>14.899999999999999</v>
      </c>
    </row>
    <row r="346" spans="1:6" x14ac:dyDescent="0.25">
      <c r="A346" t="s">
        <v>14</v>
      </c>
      <c r="B346" s="7">
        <v>42466</v>
      </c>
      <c r="C346">
        <f t="shared" si="4"/>
        <v>2016</v>
      </c>
      <c r="E346" t="s">
        <v>6</v>
      </c>
      <c r="F346">
        <f>(FruitDMg!F346/FruitFW!F346)*100</f>
        <v>14.500000000000002</v>
      </c>
    </row>
    <row r="347" spans="1:6" x14ac:dyDescent="0.25">
      <c r="A347" t="s">
        <v>14</v>
      </c>
      <c r="B347" s="7">
        <v>42467</v>
      </c>
      <c r="C347">
        <f t="shared" si="4"/>
        <v>2016</v>
      </c>
      <c r="E347" t="s">
        <v>6</v>
      </c>
      <c r="F347">
        <f>(FruitDMg!F347/FruitFW!F347)*100</f>
        <v>15.299999999999999</v>
      </c>
    </row>
    <row r="348" spans="1:6" x14ac:dyDescent="0.25">
      <c r="A348" t="s">
        <v>14</v>
      </c>
      <c r="B348" s="7">
        <v>42474</v>
      </c>
      <c r="C348">
        <f t="shared" si="4"/>
        <v>2016</v>
      </c>
      <c r="E348" t="s">
        <v>6</v>
      </c>
      <c r="F348">
        <f>(FruitDMg!F348/FruitFW!F348)*100</f>
        <v>15.300000000000002</v>
      </c>
    </row>
    <row r="349" spans="1:6" x14ac:dyDescent="0.25">
      <c r="A349" t="s">
        <v>14</v>
      </c>
      <c r="B349" s="7">
        <v>42475</v>
      </c>
      <c r="C349">
        <f t="shared" si="4"/>
        <v>2016</v>
      </c>
      <c r="E349" t="s">
        <v>6</v>
      </c>
      <c r="F349">
        <f>(FruitDMg!F349/FruitFW!F349)*100</f>
        <v>15.2</v>
      </c>
    </row>
    <row r="350" spans="1:6" x14ac:dyDescent="0.25">
      <c r="A350" t="s">
        <v>14</v>
      </c>
      <c r="B350" s="7">
        <v>42482</v>
      </c>
      <c r="C350">
        <f t="shared" si="4"/>
        <v>2016</v>
      </c>
      <c r="E350" t="s">
        <v>6</v>
      </c>
      <c r="F350">
        <f>(FruitDMg!F350/FruitFW!F350)*100</f>
        <v>15</v>
      </c>
    </row>
    <row r="351" spans="1:6" x14ac:dyDescent="0.25">
      <c r="A351" t="s">
        <v>14</v>
      </c>
      <c r="B351" s="7">
        <v>42482</v>
      </c>
      <c r="C351">
        <f t="shared" si="4"/>
        <v>2016</v>
      </c>
      <c r="E351" t="s">
        <v>6</v>
      </c>
      <c r="F351">
        <f>(FruitDMg!F351/FruitFW!F351)*100</f>
        <v>15.599999999999998</v>
      </c>
    </row>
    <row r="352" spans="1:6" x14ac:dyDescent="0.25">
      <c r="A352" t="s">
        <v>14</v>
      </c>
      <c r="B352" s="7">
        <v>42486</v>
      </c>
      <c r="C352">
        <f t="shared" si="4"/>
        <v>2016</v>
      </c>
      <c r="E352" t="s">
        <v>6</v>
      </c>
      <c r="F352">
        <f>(FruitDMg!F352/FruitFW!F352)*100</f>
        <v>15.5</v>
      </c>
    </row>
    <row r="353" spans="1:6" x14ac:dyDescent="0.25">
      <c r="A353" t="s">
        <v>14</v>
      </c>
      <c r="B353" s="7">
        <v>42486</v>
      </c>
      <c r="C353">
        <f t="shared" si="4"/>
        <v>2016</v>
      </c>
      <c r="E353" t="s">
        <v>6</v>
      </c>
      <c r="F353">
        <f>(FruitDMg!F353/FruitFW!F353)*100</f>
        <v>15.6</v>
      </c>
    </row>
    <row r="354" spans="1:6" x14ac:dyDescent="0.25">
      <c r="A354" t="s">
        <v>14</v>
      </c>
      <c r="B354" s="7">
        <v>42493</v>
      </c>
      <c r="C354">
        <f t="shared" si="4"/>
        <v>2016</v>
      </c>
      <c r="E354" t="s">
        <v>6</v>
      </c>
      <c r="F354">
        <f>(FruitDMg!F354/FruitFW!F354)*100</f>
        <v>15.7</v>
      </c>
    </row>
    <row r="355" spans="1:6" x14ac:dyDescent="0.25">
      <c r="A355" t="s">
        <v>14</v>
      </c>
      <c r="B355" s="7">
        <v>42493</v>
      </c>
      <c r="C355">
        <f t="shared" si="4"/>
        <v>2016</v>
      </c>
      <c r="E355" t="s">
        <v>6</v>
      </c>
      <c r="F355">
        <f>(FruitDMg!F355/FruitFW!F355)*100</f>
        <v>16.5</v>
      </c>
    </row>
    <row r="356" spans="1:6" x14ac:dyDescent="0.25">
      <c r="A356" t="s">
        <v>14</v>
      </c>
      <c r="B356" s="7">
        <v>42510</v>
      </c>
      <c r="C356">
        <f t="shared" si="4"/>
        <v>2016</v>
      </c>
      <c r="E356" t="s">
        <v>6</v>
      </c>
      <c r="F356">
        <f>(FruitDMg!F356/FruitFW!F356)*100</f>
        <v>15.800000000000002</v>
      </c>
    </row>
    <row r="357" spans="1:6" x14ac:dyDescent="0.25">
      <c r="A357" t="s">
        <v>14</v>
      </c>
      <c r="B357" s="7">
        <v>42510</v>
      </c>
      <c r="C357">
        <f t="shared" si="4"/>
        <v>2016</v>
      </c>
      <c r="E357" t="s">
        <v>6</v>
      </c>
      <c r="F357">
        <f>(FruitDMg!F357/FruitFW!F357)*100</f>
        <v>16.600000000000001</v>
      </c>
    </row>
    <row r="358" spans="1:6" x14ac:dyDescent="0.25">
      <c r="A358" t="s">
        <v>14</v>
      </c>
      <c r="B358" s="7">
        <v>42521</v>
      </c>
      <c r="C358">
        <f t="shared" si="4"/>
        <v>2016</v>
      </c>
      <c r="E358" t="s">
        <v>6</v>
      </c>
      <c r="F358">
        <f>(FruitDMg!F358/FruitFW!F358)*100</f>
        <v>15.900000000000002</v>
      </c>
    </row>
    <row r="359" spans="1:6" x14ac:dyDescent="0.25">
      <c r="A359" t="s">
        <v>14</v>
      </c>
      <c r="B359" s="7">
        <v>42521</v>
      </c>
      <c r="C359">
        <f t="shared" ref="C359:C422" si="5">YEAR(B359)</f>
        <v>2016</v>
      </c>
      <c r="E359" t="s">
        <v>6</v>
      </c>
      <c r="F359">
        <f>(FruitDMg!F359/FruitFW!F359)*100</f>
        <v>16.600000000000001</v>
      </c>
    </row>
    <row r="360" spans="1:6" x14ac:dyDescent="0.25">
      <c r="A360" t="s">
        <v>14</v>
      </c>
      <c r="B360" s="7">
        <v>42535</v>
      </c>
      <c r="C360">
        <f t="shared" si="5"/>
        <v>2016</v>
      </c>
      <c r="E360" t="s">
        <v>6</v>
      </c>
      <c r="F360">
        <f>(FruitDMg!F360/FruitFW!F360)*100</f>
        <v>16.899999999999999</v>
      </c>
    </row>
    <row r="361" spans="1:6" x14ac:dyDescent="0.25">
      <c r="A361" t="s">
        <v>14</v>
      </c>
      <c r="B361" s="7">
        <v>42535</v>
      </c>
      <c r="C361">
        <f t="shared" si="5"/>
        <v>2016</v>
      </c>
      <c r="E361" t="s">
        <v>6</v>
      </c>
      <c r="F361">
        <f>(FruitDMg!F361/FruitFW!F361)*100</f>
        <v>17.100000000000005</v>
      </c>
    </row>
    <row r="362" spans="1:6" x14ac:dyDescent="0.25">
      <c r="A362" t="s">
        <v>14</v>
      </c>
      <c r="B362" s="7">
        <v>42752</v>
      </c>
      <c r="C362">
        <f t="shared" si="5"/>
        <v>2017</v>
      </c>
      <c r="E362" t="s">
        <v>6</v>
      </c>
      <c r="F362">
        <f>(FruitDMg!F362/FruitFW!F362)*100</f>
        <v>8.6</v>
      </c>
    </row>
    <row r="363" spans="1:6" x14ac:dyDescent="0.25">
      <c r="A363" t="s">
        <v>14</v>
      </c>
      <c r="B363" s="7">
        <v>42752</v>
      </c>
      <c r="C363">
        <f t="shared" si="5"/>
        <v>2017</v>
      </c>
      <c r="E363" t="s">
        <v>6</v>
      </c>
      <c r="F363">
        <f>(FruitDMg!F363/FruitFW!F363)*100</f>
        <v>7.1999999999999993</v>
      </c>
    </row>
    <row r="364" spans="1:6" x14ac:dyDescent="0.25">
      <c r="A364" t="s">
        <v>14</v>
      </c>
      <c r="B364" s="7">
        <v>42787</v>
      </c>
      <c r="C364">
        <f t="shared" si="5"/>
        <v>2017</v>
      </c>
      <c r="E364" t="s">
        <v>6</v>
      </c>
      <c r="F364">
        <f>(FruitDMg!F364/FruitFW!F364)*100</f>
        <v>12.8</v>
      </c>
    </row>
    <row r="365" spans="1:6" x14ac:dyDescent="0.25">
      <c r="A365" t="s">
        <v>14</v>
      </c>
      <c r="B365" s="7">
        <v>42787</v>
      </c>
      <c r="C365">
        <f t="shared" si="5"/>
        <v>2017</v>
      </c>
      <c r="E365" t="s">
        <v>6</v>
      </c>
      <c r="F365">
        <f>(FruitDMg!F365/FruitFW!F365)*100</f>
        <v>11.4</v>
      </c>
    </row>
    <row r="366" spans="1:6" x14ac:dyDescent="0.25">
      <c r="A366" t="s">
        <v>14</v>
      </c>
      <c r="B366" s="7">
        <v>42801</v>
      </c>
      <c r="C366">
        <f t="shared" si="5"/>
        <v>2017</v>
      </c>
      <c r="E366" t="s">
        <v>6</v>
      </c>
      <c r="F366">
        <f>(FruitDMg!F366/FruitFW!F366)*100</f>
        <v>14.299999999999999</v>
      </c>
    </row>
    <row r="367" spans="1:6" x14ac:dyDescent="0.25">
      <c r="A367" t="s">
        <v>14</v>
      </c>
      <c r="B367" s="7">
        <v>42801</v>
      </c>
      <c r="C367">
        <f t="shared" si="5"/>
        <v>2017</v>
      </c>
      <c r="E367" t="s">
        <v>6</v>
      </c>
      <c r="F367">
        <f>(FruitDMg!F367/FruitFW!F367)*100</f>
        <v>12.7</v>
      </c>
    </row>
    <row r="368" spans="1:6" x14ac:dyDescent="0.25">
      <c r="A368" t="s">
        <v>14</v>
      </c>
      <c r="B368" s="7">
        <v>42815</v>
      </c>
      <c r="C368">
        <f t="shared" si="5"/>
        <v>2017</v>
      </c>
      <c r="E368" t="s">
        <v>6</v>
      </c>
      <c r="F368">
        <f>(FruitDMg!F368/FruitFW!F368)*100</f>
        <v>14.7</v>
      </c>
    </row>
    <row r="369" spans="1:6" x14ac:dyDescent="0.25">
      <c r="A369" t="s">
        <v>14</v>
      </c>
      <c r="B369" s="7">
        <v>42815</v>
      </c>
      <c r="C369">
        <f t="shared" si="5"/>
        <v>2017</v>
      </c>
      <c r="E369" t="s">
        <v>6</v>
      </c>
      <c r="F369">
        <f>(FruitDMg!F369/FruitFW!F369)*100</f>
        <v>13.700000000000001</v>
      </c>
    </row>
    <row r="370" spans="1:6" x14ac:dyDescent="0.25">
      <c r="A370" t="s">
        <v>14</v>
      </c>
      <c r="B370" s="7">
        <v>42829</v>
      </c>
      <c r="C370">
        <f t="shared" si="5"/>
        <v>2017</v>
      </c>
      <c r="E370" t="s">
        <v>6</v>
      </c>
      <c r="F370">
        <f>(FruitDMg!F370/FruitFW!F370)*100</f>
        <v>15.300000000000002</v>
      </c>
    </row>
    <row r="371" spans="1:6" x14ac:dyDescent="0.25">
      <c r="A371" t="s">
        <v>14</v>
      </c>
      <c r="B371" s="7">
        <v>42829</v>
      </c>
      <c r="C371">
        <f t="shared" si="5"/>
        <v>2017</v>
      </c>
      <c r="E371" t="s">
        <v>6</v>
      </c>
      <c r="F371">
        <f>(FruitDMg!F371/FruitFW!F371)*100</f>
        <v>14.400000000000002</v>
      </c>
    </row>
    <row r="372" spans="1:6" x14ac:dyDescent="0.25">
      <c r="A372" t="s">
        <v>14</v>
      </c>
      <c r="B372" s="7">
        <v>42839</v>
      </c>
      <c r="C372">
        <f t="shared" si="5"/>
        <v>2017</v>
      </c>
      <c r="E372" t="s">
        <v>6</v>
      </c>
      <c r="F372">
        <f>(FruitDMg!F372/FruitFW!F372)*100</f>
        <v>14.900000000000002</v>
      </c>
    </row>
    <row r="373" spans="1:6" x14ac:dyDescent="0.25">
      <c r="A373" t="s">
        <v>14</v>
      </c>
      <c r="B373" s="7">
        <v>42839</v>
      </c>
      <c r="C373">
        <f t="shared" si="5"/>
        <v>2017</v>
      </c>
      <c r="E373" t="s">
        <v>6</v>
      </c>
      <c r="F373">
        <f>(FruitDMg!F373/FruitFW!F373)*100</f>
        <v>14.2</v>
      </c>
    </row>
    <row r="374" spans="1:6" x14ac:dyDescent="0.25">
      <c r="A374" t="s">
        <v>14</v>
      </c>
      <c r="B374" s="7">
        <v>42844</v>
      </c>
      <c r="C374">
        <f t="shared" si="5"/>
        <v>2017</v>
      </c>
      <c r="E374" t="s">
        <v>6</v>
      </c>
      <c r="F374">
        <f>(FruitDMg!F374/FruitFW!F374)*100</f>
        <v>15.7</v>
      </c>
    </row>
    <row r="375" spans="1:6" x14ac:dyDescent="0.25">
      <c r="A375" t="s">
        <v>14</v>
      </c>
      <c r="B375" s="7">
        <v>42844</v>
      </c>
      <c r="C375">
        <f t="shared" si="5"/>
        <v>2017</v>
      </c>
      <c r="E375" t="s">
        <v>6</v>
      </c>
      <c r="F375">
        <f>(FruitDMg!F375/FruitFW!F375)*100</f>
        <v>14.900000000000002</v>
      </c>
    </row>
    <row r="376" spans="1:6" x14ac:dyDescent="0.25">
      <c r="A376" t="s">
        <v>14</v>
      </c>
      <c r="B376" s="7">
        <v>42850</v>
      </c>
      <c r="C376">
        <f t="shared" si="5"/>
        <v>2017</v>
      </c>
      <c r="E376" t="s">
        <v>6</v>
      </c>
      <c r="F376">
        <f>(FruitDMg!F376/FruitFW!F376)*100</f>
        <v>15.1</v>
      </c>
    </row>
    <row r="377" spans="1:6" x14ac:dyDescent="0.25">
      <c r="A377" t="s">
        <v>14</v>
      </c>
      <c r="B377" s="7">
        <v>42853</v>
      </c>
      <c r="C377">
        <f t="shared" si="5"/>
        <v>2017</v>
      </c>
      <c r="E377" t="s">
        <v>6</v>
      </c>
      <c r="F377">
        <f>(FruitDMg!F377/FruitFW!F377)*100</f>
        <v>15.9</v>
      </c>
    </row>
    <row r="378" spans="1:6" x14ac:dyDescent="0.25">
      <c r="A378" t="s">
        <v>14</v>
      </c>
      <c r="B378" s="7">
        <v>42858</v>
      </c>
      <c r="C378">
        <f t="shared" si="5"/>
        <v>2017</v>
      </c>
      <c r="E378" t="s">
        <v>6</v>
      </c>
      <c r="F378">
        <f>(FruitDMg!F378/FruitFW!F378)*100</f>
        <v>16.100000000000001</v>
      </c>
    </row>
    <row r="379" spans="1:6" x14ac:dyDescent="0.25">
      <c r="A379" t="s">
        <v>14</v>
      </c>
      <c r="B379" s="7">
        <v>42858</v>
      </c>
      <c r="C379">
        <f t="shared" si="5"/>
        <v>2017</v>
      </c>
      <c r="E379" t="s">
        <v>6</v>
      </c>
      <c r="F379">
        <f>(FruitDMg!F379/FruitFW!F379)*100</f>
        <v>15</v>
      </c>
    </row>
    <row r="380" spans="1:6" x14ac:dyDescent="0.25">
      <c r="A380" t="s">
        <v>14</v>
      </c>
      <c r="B380" s="7">
        <v>42871</v>
      </c>
      <c r="C380">
        <f t="shared" si="5"/>
        <v>2017</v>
      </c>
      <c r="E380" t="s">
        <v>6</v>
      </c>
      <c r="F380">
        <f>(FruitDMg!F380/FruitFW!F380)*100</f>
        <v>16.8</v>
      </c>
    </row>
    <row r="381" spans="1:6" x14ac:dyDescent="0.25">
      <c r="A381" t="s">
        <v>14</v>
      </c>
      <c r="B381" s="7">
        <v>42871</v>
      </c>
      <c r="C381">
        <f t="shared" si="5"/>
        <v>2017</v>
      </c>
      <c r="E381" t="s">
        <v>6</v>
      </c>
      <c r="F381">
        <f>(FruitDMg!F381/FruitFW!F381)*100</f>
        <v>16.2</v>
      </c>
    </row>
    <row r="382" spans="1:6" x14ac:dyDescent="0.25">
      <c r="A382" t="s">
        <v>14</v>
      </c>
      <c r="B382" s="7">
        <v>42885</v>
      </c>
      <c r="C382">
        <f t="shared" si="5"/>
        <v>2017</v>
      </c>
      <c r="E382" t="s">
        <v>6</v>
      </c>
      <c r="F382">
        <f>(FruitDMg!F382/FruitFW!F382)*100</f>
        <v>16.900000000000002</v>
      </c>
    </row>
    <row r="383" spans="1:6" x14ac:dyDescent="0.25">
      <c r="A383" t="s">
        <v>14</v>
      </c>
      <c r="B383" s="7">
        <v>42885</v>
      </c>
      <c r="C383">
        <f t="shared" si="5"/>
        <v>2017</v>
      </c>
      <c r="E383" t="s">
        <v>6</v>
      </c>
      <c r="F383">
        <f>(FruitDMg!F383/FruitFW!F383)*100</f>
        <v>16.3</v>
      </c>
    </row>
    <row r="384" spans="1:6" x14ac:dyDescent="0.25">
      <c r="A384" t="s">
        <v>14</v>
      </c>
      <c r="B384" s="7">
        <v>42893</v>
      </c>
      <c r="C384">
        <f t="shared" si="5"/>
        <v>2017</v>
      </c>
      <c r="E384" t="s">
        <v>6</v>
      </c>
      <c r="F384">
        <f>(FruitDMg!F384/FruitFW!F384)*100</f>
        <v>17.100000000000005</v>
      </c>
    </row>
    <row r="385" spans="1:6" x14ac:dyDescent="0.25">
      <c r="A385" t="s">
        <v>14</v>
      </c>
      <c r="B385" s="7">
        <v>42893</v>
      </c>
      <c r="C385">
        <f t="shared" si="5"/>
        <v>2017</v>
      </c>
      <c r="E385" t="s">
        <v>6</v>
      </c>
      <c r="F385">
        <f>(FruitDMg!F385/FruitFW!F385)*100</f>
        <v>16.5</v>
      </c>
    </row>
    <row r="386" spans="1:6" x14ac:dyDescent="0.25">
      <c r="A386" t="s">
        <v>14</v>
      </c>
      <c r="B386" s="7">
        <v>42907</v>
      </c>
      <c r="C386">
        <f t="shared" si="5"/>
        <v>2017</v>
      </c>
      <c r="E386" t="s">
        <v>6</v>
      </c>
      <c r="F386">
        <f>(FruitDMg!F386/FruitFW!F386)*100</f>
        <v>17.3</v>
      </c>
    </row>
    <row r="387" spans="1:6" x14ac:dyDescent="0.25">
      <c r="A387" t="s">
        <v>14</v>
      </c>
      <c r="B387" s="7">
        <v>42907</v>
      </c>
      <c r="C387">
        <f t="shared" si="5"/>
        <v>2017</v>
      </c>
      <c r="E387" t="s">
        <v>6</v>
      </c>
      <c r="F387">
        <f>(FruitDMg!F387/FruitFW!F387)*100</f>
        <v>16.400000000000002</v>
      </c>
    </row>
    <row r="388" spans="1:6" x14ac:dyDescent="0.25">
      <c r="A388" t="s">
        <v>14</v>
      </c>
      <c r="B388" s="7">
        <v>43116</v>
      </c>
      <c r="C388">
        <f t="shared" si="5"/>
        <v>2018</v>
      </c>
      <c r="E388" t="s">
        <v>6</v>
      </c>
      <c r="F388">
        <f>(FruitDMg!F388/FruitFW!F388)*100</f>
        <v>7.7</v>
      </c>
    </row>
    <row r="389" spans="1:6" x14ac:dyDescent="0.25">
      <c r="A389" t="s">
        <v>14</v>
      </c>
      <c r="B389" s="7">
        <v>43116</v>
      </c>
      <c r="C389">
        <f t="shared" si="5"/>
        <v>2018</v>
      </c>
      <c r="E389" t="s">
        <v>6</v>
      </c>
      <c r="F389">
        <f>(FruitDMg!F389/FruitFW!F389)*100</f>
        <v>6.7999999999999989</v>
      </c>
    </row>
    <row r="390" spans="1:6" x14ac:dyDescent="0.25">
      <c r="A390" t="s">
        <v>14</v>
      </c>
      <c r="B390" s="7">
        <v>43151</v>
      </c>
      <c r="C390">
        <f t="shared" si="5"/>
        <v>2018</v>
      </c>
      <c r="E390" t="s">
        <v>6</v>
      </c>
      <c r="F390">
        <f>(FruitDMg!F390/FruitFW!F390)*100</f>
        <v>12.599999999999998</v>
      </c>
    </row>
    <row r="391" spans="1:6" x14ac:dyDescent="0.25">
      <c r="A391" t="s">
        <v>14</v>
      </c>
      <c r="B391" s="7">
        <v>43151</v>
      </c>
      <c r="C391">
        <f t="shared" si="5"/>
        <v>2018</v>
      </c>
      <c r="E391" t="s">
        <v>6</v>
      </c>
      <c r="F391">
        <f>(FruitDMg!F391/FruitFW!F391)*100</f>
        <v>11.4</v>
      </c>
    </row>
    <row r="392" spans="1:6" x14ac:dyDescent="0.25">
      <c r="A392" t="s">
        <v>14</v>
      </c>
      <c r="B392" s="7">
        <v>43165</v>
      </c>
      <c r="C392">
        <f t="shared" si="5"/>
        <v>2018</v>
      </c>
      <c r="E392" t="s">
        <v>6</v>
      </c>
      <c r="F392">
        <f>(FruitDMg!F392/FruitFW!F392)*100</f>
        <v>14.3</v>
      </c>
    </row>
    <row r="393" spans="1:6" x14ac:dyDescent="0.25">
      <c r="A393" t="s">
        <v>14</v>
      </c>
      <c r="B393" s="7">
        <v>43165</v>
      </c>
      <c r="C393">
        <f t="shared" si="5"/>
        <v>2018</v>
      </c>
      <c r="E393" t="s">
        <v>6</v>
      </c>
      <c r="F393">
        <f>(FruitDMg!F393/FruitFW!F393)*100</f>
        <v>13.299999999999997</v>
      </c>
    </row>
    <row r="394" spans="1:6" x14ac:dyDescent="0.25">
      <c r="A394" t="s">
        <v>14</v>
      </c>
      <c r="B394" s="7">
        <v>43179</v>
      </c>
      <c r="C394">
        <f t="shared" si="5"/>
        <v>2018</v>
      </c>
      <c r="E394" t="s">
        <v>6</v>
      </c>
      <c r="F394">
        <f>(FruitDMg!F394/FruitFW!F394)*100</f>
        <v>15.7</v>
      </c>
    </row>
    <row r="395" spans="1:6" x14ac:dyDescent="0.25">
      <c r="A395" t="s">
        <v>14</v>
      </c>
      <c r="B395" s="7">
        <v>43179</v>
      </c>
      <c r="C395">
        <f t="shared" si="5"/>
        <v>2018</v>
      </c>
      <c r="E395" t="s">
        <v>6</v>
      </c>
      <c r="F395">
        <f>(FruitDMg!F395/FruitFW!F395)*100</f>
        <v>14.7</v>
      </c>
    </row>
    <row r="396" spans="1:6" x14ac:dyDescent="0.25">
      <c r="A396" t="s">
        <v>14</v>
      </c>
      <c r="B396" s="7">
        <v>43195</v>
      </c>
      <c r="C396">
        <f t="shared" si="5"/>
        <v>2018</v>
      </c>
      <c r="E396" t="s">
        <v>6</v>
      </c>
      <c r="F396">
        <f>(FruitDMg!F396/FruitFW!F396)*100</f>
        <v>16.399999999999999</v>
      </c>
    </row>
    <row r="397" spans="1:6" x14ac:dyDescent="0.25">
      <c r="A397" t="s">
        <v>14</v>
      </c>
      <c r="B397" s="7">
        <v>43195</v>
      </c>
      <c r="C397">
        <f t="shared" si="5"/>
        <v>2018</v>
      </c>
      <c r="E397" t="s">
        <v>6</v>
      </c>
      <c r="F397">
        <f>(FruitDMg!F397/FruitFW!F397)*100</f>
        <v>15.4</v>
      </c>
    </row>
    <row r="398" spans="1:6" x14ac:dyDescent="0.25">
      <c r="A398" t="s">
        <v>14</v>
      </c>
      <c r="B398" s="7">
        <v>43201</v>
      </c>
      <c r="C398">
        <f t="shared" si="5"/>
        <v>2018</v>
      </c>
      <c r="E398" t="s">
        <v>6</v>
      </c>
      <c r="F398">
        <f>(FruitDMg!F398/FruitFW!F398)*100</f>
        <v>16.600000000000001</v>
      </c>
    </row>
    <row r="399" spans="1:6" x14ac:dyDescent="0.25">
      <c r="A399" t="s">
        <v>14</v>
      </c>
      <c r="B399" s="7">
        <v>43201</v>
      </c>
      <c r="C399">
        <f t="shared" si="5"/>
        <v>2018</v>
      </c>
      <c r="E399" t="s">
        <v>6</v>
      </c>
      <c r="F399">
        <f>(FruitDMg!F399/FruitFW!F399)*100</f>
        <v>15.8</v>
      </c>
    </row>
    <row r="400" spans="1:6" x14ac:dyDescent="0.25">
      <c r="A400" t="s">
        <v>14</v>
      </c>
      <c r="B400" s="7">
        <v>43209</v>
      </c>
      <c r="C400">
        <f t="shared" si="5"/>
        <v>2018</v>
      </c>
      <c r="E400" t="s">
        <v>6</v>
      </c>
      <c r="F400">
        <f>(FruitDMg!F400/FruitFW!F400)*100</f>
        <v>17.200000000000003</v>
      </c>
    </row>
    <row r="401" spans="1:6" x14ac:dyDescent="0.25">
      <c r="A401" t="s">
        <v>14</v>
      </c>
      <c r="B401" s="7">
        <v>43209</v>
      </c>
      <c r="C401">
        <f t="shared" si="5"/>
        <v>2018</v>
      </c>
      <c r="E401" t="s">
        <v>6</v>
      </c>
      <c r="F401">
        <f>(FruitDMg!F401/FruitFW!F401)*100</f>
        <v>16</v>
      </c>
    </row>
    <row r="402" spans="1:6" x14ac:dyDescent="0.25">
      <c r="A402" t="s">
        <v>14</v>
      </c>
      <c r="B402" s="7">
        <v>43215</v>
      </c>
      <c r="C402">
        <f t="shared" si="5"/>
        <v>2018</v>
      </c>
      <c r="E402" t="s">
        <v>6</v>
      </c>
      <c r="F402">
        <f>(FruitDMg!F402/FruitFW!F402)*100</f>
        <v>17.100000000000001</v>
      </c>
    </row>
    <row r="403" spans="1:6" x14ac:dyDescent="0.25">
      <c r="A403" t="s">
        <v>14</v>
      </c>
      <c r="B403" s="7">
        <v>43215</v>
      </c>
      <c r="C403">
        <f t="shared" si="5"/>
        <v>2018</v>
      </c>
      <c r="E403" t="s">
        <v>6</v>
      </c>
      <c r="F403">
        <f>(FruitDMg!F403/FruitFW!F403)*100</f>
        <v>16</v>
      </c>
    </row>
    <row r="404" spans="1:6" x14ac:dyDescent="0.25">
      <c r="A404" t="s">
        <v>14</v>
      </c>
      <c r="B404" s="7">
        <v>43221</v>
      </c>
      <c r="C404">
        <f t="shared" si="5"/>
        <v>2018</v>
      </c>
      <c r="E404" t="s">
        <v>6</v>
      </c>
      <c r="F404">
        <f>(FruitDMg!F404/FruitFW!F404)*100</f>
        <v>17.399999999999999</v>
      </c>
    </row>
    <row r="405" spans="1:6" x14ac:dyDescent="0.25">
      <c r="A405" t="s">
        <v>14</v>
      </c>
      <c r="B405" s="7">
        <v>43221</v>
      </c>
      <c r="C405">
        <f t="shared" si="5"/>
        <v>2018</v>
      </c>
      <c r="E405" t="s">
        <v>6</v>
      </c>
      <c r="F405">
        <f>(FruitDMg!F405/FruitFW!F405)*100</f>
        <v>16.600000000000001</v>
      </c>
    </row>
    <row r="406" spans="1:6" x14ac:dyDescent="0.25">
      <c r="A406" t="s">
        <v>14</v>
      </c>
      <c r="B406" s="7">
        <v>43235</v>
      </c>
      <c r="C406">
        <f t="shared" si="5"/>
        <v>2018</v>
      </c>
      <c r="E406" t="s">
        <v>6</v>
      </c>
      <c r="F406">
        <f>(FruitDMg!F406/FruitFW!F406)*100</f>
        <v>18.099999999999998</v>
      </c>
    </row>
    <row r="407" spans="1:6" x14ac:dyDescent="0.25">
      <c r="A407" t="s">
        <v>14</v>
      </c>
      <c r="B407" s="7">
        <v>43235</v>
      </c>
      <c r="C407">
        <f t="shared" si="5"/>
        <v>2018</v>
      </c>
      <c r="E407" t="s">
        <v>6</v>
      </c>
      <c r="F407">
        <f>(FruitDMg!F407/FruitFW!F407)*100</f>
        <v>16.600000000000005</v>
      </c>
    </row>
    <row r="408" spans="1:6" x14ac:dyDescent="0.25">
      <c r="A408" t="s">
        <v>14</v>
      </c>
      <c r="B408" s="7">
        <v>43249</v>
      </c>
      <c r="C408">
        <f t="shared" si="5"/>
        <v>2018</v>
      </c>
      <c r="E408" t="s">
        <v>6</v>
      </c>
      <c r="F408">
        <f>(FruitDMg!F408/FruitFW!F408)*100</f>
        <v>18.299999999999997</v>
      </c>
    </row>
    <row r="409" spans="1:6" x14ac:dyDescent="0.25">
      <c r="A409" t="s">
        <v>14</v>
      </c>
      <c r="B409" s="7">
        <v>43249</v>
      </c>
      <c r="C409">
        <f t="shared" si="5"/>
        <v>2018</v>
      </c>
      <c r="E409" t="s">
        <v>6</v>
      </c>
      <c r="F409">
        <f>(FruitDMg!F409/FruitFW!F409)*100</f>
        <v>17.299999999999997</v>
      </c>
    </row>
    <row r="410" spans="1:6" x14ac:dyDescent="0.25">
      <c r="A410" t="s">
        <v>14</v>
      </c>
      <c r="B410" s="7">
        <v>43479</v>
      </c>
      <c r="C410">
        <f t="shared" si="5"/>
        <v>2019</v>
      </c>
      <c r="E410" t="s">
        <v>6</v>
      </c>
      <c r="F410">
        <f>(FruitDMg!F410/FruitFW!F410)*100</f>
        <v>7.1</v>
      </c>
    </row>
    <row r="411" spans="1:6" x14ac:dyDescent="0.25">
      <c r="A411" t="s">
        <v>14</v>
      </c>
      <c r="B411" s="7">
        <v>43515</v>
      </c>
      <c r="C411">
        <f t="shared" si="5"/>
        <v>2019</v>
      </c>
      <c r="E411" t="s">
        <v>6</v>
      </c>
      <c r="F411">
        <f>(FruitDMg!F411/FruitFW!F411)*100</f>
        <v>12.6</v>
      </c>
    </row>
    <row r="412" spans="1:6" x14ac:dyDescent="0.25">
      <c r="A412" t="s">
        <v>14</v>
      </c>
      <c r="B412" s="7">
        <v>43529</v>
      </c>
      <c r="C412">
        <f t="shared" si="5"/>
        <v>2019</v>
      </c>
      <c r="E412" t="s">
        <v>6</v>
      </c>
      <c r="F412">
        <f>(FruitDMg!F412/FruitFW!F412)*100</f>
        <v>14.3</v>
      </c>
    </row>
    <row r="413" spans="1:6" x14ac:dyDescent="0.25">
      <c r="A413" t="s">
        <v>14</v>
      </c>
      <c r="B413" s="7">
        <v>43543</v>
      </c>
      <c r="C413">
        <f t="shared" si="5"/>
        <v>2019</v>
      </c>
      <c r="E413" t="s">
        <v>6</v>
      </c>
      <c r="F413">
        <f>(FruitDMg!F413/FruitFW!F413)*100</f>
        <v>15.6</v>
      </c>
    </row>
    <row r="414" spans="1:6" x14ac:dyDescent="0.25">
      <c r="A414" t="s">
        <v>14</v>
      </c>
      <c r="B414" s="7">
        <v>43557</v>
      </c>
      <c r="C414">
        <f t="shared" si="5"/>
        <v>2019</v>
      </c>
      <c r="E414" t="s">
        <v>6</v>
      </c>
      <c r="F414">
        <f>(FruitDMg!F414/FruitFW!F414)*100</f>
        <v>16</v>
      </c>
    </row>
    <row r="415" spans="1:6" x14ac:dyDescent="0.25">
      <c r="A415" t="s">
        <v>14</v>
      </c>
      <c r="B415" s="7">
        <v>43564</v>
      </c>
      <c r="C415">
        <f t="shared" si="5"/>
        <v>2019</v>
      </c>
      <c r="E415" t="s">
        <v>6</v>
      </c>
      <c r="F415">
        <f>(FruitDMg!F415/FruitFW!F415)*100</f>
        <v>16.5</v>
      </c>
    </row>
    <row r="416" spans="1:6" x14ac:dyDescent="0.25">
      <c r="A416" t="s">
        <v>14</v>
      </c>
      <c r="B416" s="7">
        <v>43570</v>
      </c>
      <c r="C416">
        <f t="shared" si="5"/>
        <v>2019</v>
      </c>
      <c r="E416" t="s">
        <v>6</v>
      </c>
      <c r="F416">
        <f>(FruitDMg!F416/FruitFW!F416)*100</f>
        <v>16.600000000000005</v>
      </c>
    </row>
    <row r="417" spans="1:6" x14ac:dyDescent="0.25">
      <c r="A417" t="s">
        <v>14</v>
      </c>
      <c r="B417" s="7">
        <v>43577</v>
      </c>
      <c r="C417">
        <f t="shared" si="5"/>
        <v>2019</v>
      </c>
      <c r="E417" t="s">
        <v>6</v>
      </c>
      <c r="F417">
        <f>(FruitDMg!F417/FruitFW!F417)*100</f>
        <v>16.7</v>
      </c>
    </row>
    <row r="418" spans="1:6" x14ac:dyDescent="0.25">
      <c r="A418" t="s">
        <v>14</v>
      </c>
      <c r="B418" s="7">
        <v>43584</v>
      </c>
      <c r="C418">
        <f t="shared" si="5"/>
        <v>2019</v>
      </c>
      <c r="E418" t="s">
        <v>6</v>
      </c>
      <c r="F418">
        <f>(FruitDMg!F418/FruitFW!F418)*100</f>
        <v>17.100000000000001</v>
      </c>
    </row>
    <row r="419" spans="1:6" x14ac:dyDescent="0.25">
      <c r="A419" t="s">
        <v>14</v>
      </c>
      <c r="B419" s="7">
        <v>43613</v>
      </c>
      <c r="C419">
        <f t="shared" si="5"/>
        <v>2019</v>
      </c>
      <c r="E419" t="s">
        <v>6</v>
      </c>
      <c r="F419">
        <f>(FruitDMg!F419/FruitFW!F419)*100</f>
        <v>17.899999999999999</v>
      </c>
    </row>
    <row r="420" spans="1:6" x14ac:dyDescent="0.25">
      <c r="A420" t="s">
        <v>14</v>
      </c>
      <c r="B420" s="7">
        <v>43850</v>
      </c>
      <c r="C420">
        <f t="shared" si="5"/>
        <v>2020</v>
      </c>
      <c r="E420" t="s">
        <v>6</v>
      </c>
      <c r="F420">
        <f>(FruitDMg!F420/FruitFW!F420)*100</f>
        <v>8.1</v>
      </c>
    </row>
    <row r="421" spans="1:6" x14ac:dyDescent="0.25">
      <c r="A421" t="s">
        <v>14</v>
      </c>
      <c r="B421" s="7">
        <v>43880</v>
      </c>
      <c r="C421">
        <f t="shared" si="5"/>
        <v>2020</v>
      </c>
      <c r="E421" t="s">
        <v>6</v>
      </c>
      <c r="F421">
        <f>(FruitDMg!F421/FruitFW!F421)*100</f>
        <v>12.400000000000002</v>
      </c>
    </row>
    <row r="422" spans="1:6" x14ac:dyDescent="0.25">
      <c r="A422" t="s">
        <v>14</v>
      </c>
      <c r="B422" s="7">
        <v>43892</v>
      </c>
      <c r="C422">
        <f t="shared" si="5"/>
        <v>2020</v>
      </c>
      <c r="E422" t="s">
        <v>6</v>
      </c>
      <c r="F422">
        <f>(FruitDMg!F422/FruitFW!F422)*100</f>
        <v>13.999999999999998</v>
      </c>
    </row>
    <row r="423" spans="1:6" x14ac:dyDescent="0.25">
      <c r="A423" t="s">
        <v>14</v>
      </c>
      <c r="B423" s="7">
        <v>43906</v>
      </c>
      <c r="C423">
        <f t="shared" ref="C423:C486" si="6">YEAR(B423)</f>
        <v>2020</v>
      </c>
      <c r="E423" t="s">
        <v>6</v>
      </c>
      <c r="F423">
        <f>(FruitDMg!F423/FruitFW!F423)*100</f>
        <v>15.5</v>
      </c>
    </row>
    <row r="424" spans="1:6" x14ac:dyDescent="0.25">
      <c r="A424" t="s">
        <v>14</v>
      </c>
      <c r="B424" s="7">
        <v>43950</v>
      </c>
      <c r="C424">
        <f t="shared" si="6"/>
        <v>2020</v>
      </c>
      <c r="E424" t="s">
        <v>6</v>
      </c>
      <c r="F424">
        <f>(FruitDMg!F424/FruitFW!F424)*100</f>
        <v>17.5</v>
      </c>
    </row>
    <row r="425" spans="1:6" x14ac:dyDescent="0.25">
      <c r="A425" t="s">
        <v>14</v>
      </c>
      <c r="B425" s="7">
        <v>43963</v>
      </c>
      <c r="C425">
        <f t="shared" si="6"/>
        <v>2020</v>
      </c>
      <c r="E425" t="s">
        <v>6</v>
      </c>
      <c r="F425">
        <f>(FruitDMg!F425/FruitFW!F425)*100</f>
        <v>17.699999999999996</v>
      </c>
    </row>
    <row r="426" spans="1:6" x14ac:dyDescent="0.25">
      <c r="A426" t="s">
        <v>14</v>
      </c>
      <c r="B426" s="7">
        <v>43977</v>
      </c>
      <c r="C426">
        <f t="shared" si="6"/>
        <v>2020</v>
      </c>
      <c r="E426" t="s">
        <v>6</v>
      </c>
      <c r="F426">
        <f>(FruitDMg!F426/FruitFW!F426)*100</f>
        <v>17.700000000000003</v>
      </c>
    </row>
    <row r="427" spans="1:6" x14ac:dyDescent="0.25">
      <c r="A427" t="s">
        <v>14</v>
      </c>
      <c r="B427" s="7">
        <v>44223</v>
      </c>
      <c r="C427">
        <f t="shared" si="6"/>
        <v>2021</v>
      </c>
      <c r="E427" t="s">
        <v>6</v>
      </c>
      <c r="F427">
        <f>(FruitDMg!F427/FruitFW!F427)*100</f>
        <v>8.8219087849999998</v>
      </c>
    </row>
    <row r="428" spans="1:6" x14ac:dyDescent="0.25">
      <c r="A428" t="s">
        <v>14</v>
      </c>
      <c r="B428" s="7">
        <v>44244</v>
      </c>
      <c r="C428">
        <f t="shared" si="6"/>
        <v>2021</v>
      </c>
      <c r="E428" t="s">
        <v>6</v>
      </c>
      <c r="F428">
        <f>(FruitDMg!F428/FruitFW!F428)*100</f>
        <v>11.326228609999999</v>
      </c>
    </row>
    <row r="429" spans="1:6" x14ac:dyDescent="0.25">
      <c r="A429" t="s">
        <v>14</v>
      </c>
      <c r="B429" s="7">
        <v>44258</v>
      </c>
      <c r="C429">
        <f t="shared" si="6"/>
        <v>2021</v>
      </c>
      <c r="E429" t="s">
        <v>6</v>
      </c>
      <c r="F429">
        <f>(FruitDMg!F429/FruitFW!F429)*100</f>
        <v>13.338020979999998</v>
      </c>
    </row>
    <row r="430" spans="1:6" x14ac:dyDescent="0.25">
      <c r="A430" t="s">
        <v>14</v>
      </c>
      <c r="B430" s="7">
        <v>44272</v>
      </c>
      <c r="C430">
        <f t="shared" si="6"/>
        <v>2021</v>
      </c>
      <c r="E430" t="s">
        <v>6</v>
      </c>
      <c r="F430">
        <f>(FruitDMg!F430/FruitFW!F430)*100</f>
        <v>14.397584729999998</v>
      </c>
    </row>
    <row r="431" spans="1:6" x14ac:dyDescent="0.25">
      <c r="A431" t="s">
        <v>14</v>
      </c>
      <c r="B431" s="7">
        <v>44286</v>
      </c>
      <c r="C431">
        <f t="shared" si="6"/>
        <v>2021</v>
      </c>
      <c r="E431" t="s">
        <v>6</v>
      </c>
      <c r="F431">
        <f>(FruitDMg!F431/FruitFW!F431)*100</f>
        <v>15.18128198</v>
      </c>
    </row>
    <row r="432" spans="1:6" x14ac:dyDescent="0.25">
      <c r="A432" t="s">
        <v>14</v>
      </c>
      <c r="B432" s="7">
        <v>44300</v>
      </c>
      <c r="C432">
        <f t="shared" si="6"/>
        <v>2021</v>
      </c>
      <c r="E432" t="s">
        <v>6</v>
      </c>
      <c r="F432">
        <f>(FruitDMg!F432/FruitFW!F432)*100</f>
        <v>15.203008900000004</v>
      </c>
    </row>
    <row r="433" spans="1:6" x14ac:dyDescent="0.25">
      <c r="A433" t="s">
        <v>14</v>
      </c>
      <c r="B433" s="7">
        <v>44307</v>
      </c>
      <c r="C433">
        <f t="shared" si="6"/>
        <v>2021</v>
      </c>
      <c r="E433" t="s">
        <v>6</v>
      </c>
      <c r="F433">
        <f>(FruitDMg!F433/FruitFW!F433)*100</f>
        <v>15.654528790000002</v>
      </c>
    </row>
    <row r="434" spans="1:6" x14ac:dyDescent="0.25">
      <c r="A434" t="s">
        <v>14</v>
      </c>
      <c r="B434" s="7">
        <v>44315</v>
      </c>
      <c r="C434">
        <f t="shared" si="6"/>
        <v>2021</v>
      </c>
      <c r="E434" t="s">
        <v>6</v>
      </c>
      <c r="F434">
        <f>(FruitDMg!F434/FruitFW!F434)*100</f>
        <v>15.291157419999998</v>
      </c>
    </row>
    <row r="435" spans="1:6" x14ac:dyDescent="0.25">
      <c r="A435" t="s">
        <v>14</v>
      </c>
      <c r="B435" s="7">
        <v>44321</v>
      </c>
      <c r="C435">
        <f t="shared" si="6"/>
        <v>2021</v>
      </c>
      <c r="E435" t="s">
        <v>6</v>
      </c>
      <c r="F435">
        <f>(FruitDMg!F435/FruitFW!F435)*100</f>
        <v>16.521215380000001</v>
      </c>
    </row>
    <row r="436" spans="1:6" x14ac:dyDescent="0.25">
      <c r="A436" t="s">
        <v>14</v>
      </c>
      <c r="B436" s="7">
        <v>44335</v>
      </c>
      <c r="C436">
        <f t="shared" si="6"/>
        <v>2021</v>
      </c>
      <c r="E436" t="s">
        <v>6</v>
      </c>
      <c r="F436">
        <f>(FruitDMg!F436/FruitFW!F436)*100</f>
        <v>16.493120660000002</v>
      </c>
    </row>
    <row r="437" spans="1:6" x14ac:dyDescent="0.25">
      <c r="A437" t="s">
        <v>14</v>
      </c>
      <c r="B437" s="7">
        <v>44348</v>
      </c>
      <c r="C437">
        <f t="shared" si="6"/>
        <v>2021</v>
      </c>
      <c r="E437" t="s">
        <v>6</v>
      </c>
      <c r="F437">
        <f>(FruitDMg!F437/FruitFW!F437)*100</f>
        <v>17.19554462</v>
      </c>
    </row>
    <row r="438" spans="1:6" x14ac:dyDescent="0.25">
      <c r="A438" t="s">
        <v>14</v>
      </c>
      <c r="B438" s="7">
        <v>42386</v>
      </c>
      <c r="C438">
        <f t="shared" si="6"/>
        <v>2016</v>
      </c>
      <c r="E438" t="s">
        <v>6</v>
      </c>
      <c r="F438">
        <f>(FruitDMg!F438/FruitFW!F438)*100</f>
        <v>7.2000000000000011</v>
      </c>
    </row>
    <row r="439" spans="1:6" x14ac:dyDescent="0.25">
      <c r="A439" t="s">
        <v>14</v>
      </c>
      <c r="B439" s="7">
        <v>42424</v>
      </c>
      <c r="C439">
        <f t="shared" si="6"/>
        <v>2016</v>
      </c>
      <c r="E439" t="s">
        <v>6</v>
      </c>
      <c r="F439">
        <f>(FruitDMg!F439/FruitFW!F439)*100</f>
        <v>12.7</v>
      </c>
    </row>
    <row r="440" spans="1:6" x14ac:dyDescent="0.25">
      <c r="A440" t="s">
        <v>14</v>
      </c>
      <c r="B440" s="7">
        <v>42439</v>
      </c>
      <c r="C440">
        <f t="shared" si="6"/>
        <v>2016</v>
      </c>
      <c r="E440" t="s">
        <v>6</v>
      </c>
      <c r="F440">
        <f>(FruitDMg!F440/FruitFW!F440)*100</f>
        <v>14.400000000000002</v>
      </c>
    </row>
    <row r="441" spans="1:6" x14ac:dyDescent="0.25">
      <c r="A441" t="s">
        <v>14</v>
      </c>
      <c r="B441" s="7">
        <v>42452</v>
      </c>
      <c r="C441">
        <f t="shared" si="6"/>
        <v>2016</v>
      </c>
      <c r="E441" t="s">
        <v>6</v>
      </c>
      <c r="F441">
        <f>(FruitDMg!F441/FruitFW!F441)*100</f>
        <v>15.4</v>
      </c>
    </row>
    <row r="442" spans="1:6" x14ac:dyDescent="0.25">
      <c r="A442" t="s">
        <v>14</v>
      </c>
      <c r="B442" s="7">
        <v>42467</v>
      </c>
      <c r="C442">
        <f t="shared" si="6"/>
        <v>2016</v>
      </c>
      <c r="E442" t="s">
        <v>6</v>
      </c>
      <c r="F442">
        <f>(FruitDMg!F442/FruitFW!F442)*100</f>
        <v>16</v>
      </c>
    </row>
    <row r="443" spans="1:6" x14ac:dyDescent="0.25">
      <c r="A443" t="s">
        <v>14</v>
      </c>
      <c r="B443" s="7">
        <v>42474</v>
      </c>
      <c r="C443">
        <f t="shared" si="6"/>
        <v>2016</v>
      </c>
      <c r="E443" t="s">
        <v>6</v>
      </c>
      <c r="F443">
        <f>(FruitDMg!F443/FruitFW!F443)*100</f>
        <v>16</v>
      </c>
    </row>
    <row r="444" spans="1:6" x14ac:dyDescent="0.25">
      <c r="A444" t="s">
        <v>14</v>
      </c>
      <c r="B444" s="7">
        <v>42482</v>
      </c>
      <c r="C444">
        <f t="shared" si="6"/>
        <v>2016</v>
      </c>
      <c r="E444" t="s">
        <v>6</v>
      </c>
      <c r="F444">
        <f>(FruitDMg!F444/FruitFW!F444)*100</f>
        <v>16.5</v>
      </c>
    </row>
    <row r="445" spans="1:6" x14ac:dyDescent="0.25">
      <c r="A445" t="s">
        <v>14</v>
      </c>
      <c r="B445" s="7">
        <v>42489</v>
      </c>
      <c r="C445">
        <f t="shared" si="6"/>
        <v>2016</v>
      </c>
      <c r="E445" t="s">
        <v>6</v>
      </c>
      <c r="F445">
        <f>(FruitDMg!F445/FruitFW!F445)*100</f>
        <v>16.600000000000001</v>
      </c>
    </row>
    <row r="446" spans="1:6" x14ac:dyDescent="0.25">
      <c r="A446" t="s">
        <v>14</v>
      </c>
      <c r="B446" s="7">
        <v>42496</v>
      </c>
      <c r="C446">
        <f t="shared" si="6"/>
        <v>2016</v>
      </c>
      <c r="E446" t="s">
        <v>6</v>
      </c>
      <c r="F446">
        <f>(FruitDMg!F446/FruitFW!F446)*100</f>
        <v>16.8</v>
      </c>
    </row>
    <row r="447" spans="1:6" x14ac:dyDescent="0.25">
      <c r="A447" t="s">
        <v>14</v>
      </c>
      <c r="B447" s="7">
        <v>42510</v>
      </c>
      <c r="C447">
        <f t="shared" si="6"/>
        <v>2016</v>
      </c>
      <c r="E447" t="s">
        <v>6</v>
      </c>
      <c r="F447">
        <f>(FruitDMg!F447/FruitFW!F447)*100</f>
        <v>17.700000000000003</v>
      </c>
    </row>
    <row r="448" spans="1:6" x14ac:dyDescent="0.25">
      <c r="A448" t="s">
        <v>14</v>
      </c>
      <c r="B448" s="7">
        <v>42523</v>
      </c>
      <c r="C448">
        <f t="shared" si="6"/>
        <v>2016</v>
      </c>
      <c r="E448" t="s">
        <v>6</v>
      </c>
      <c r="F448">
        <f>(FruitDMg!F448/FruitFW!F448)*100</f>
        <v>17.899999999999995</v>
      </c>
    </row>
    <row r="449" spans="1:6" x14ac:dyDescent="0.25">
      <c r="A449" t="s">
        <v>14</v>
      </c>
      <c r="B449" s="7">
        <v>42535</v>
      </c>
      <c r="C449">
        <f t="shared" si="6"/>
        <v>2016</v>
      </c>
      <c r="E449" t="s">
        <v>6</v>
      </c>
      <c r="F449">
        <f>(FruitDMg!F449/FruitFW!F449)*100</f>
        <v>17.899999999999999</v>
      </c>
    </row>
    <row r="450" spans="1:6" x14ac:dyDescent="0.25">
      <c r="A450" t="s">
        <v>14</v>
      </c>
      <c r="B450" s="7">
        <v>42753</v>
      </c>
      <c r="C450">
        <f t="shared" si="6"/>
        <v>2017</v>
      </c>
      <c r="E450" t="s">
        <v>6</v>
      </c>
      <c r="F450">
        <f>(FruitDMg!F450/FruitFW!F450)*100</f>
        <v>8</v>
      </c>
    </row>
    <row r="451" spans="1:6" x14ac:dyDescent="0.25">
      <c r="A451" t="s">
        <v>14</v>
      </c>
      <c r="B451" s="7">
        <v>42789</v>
      </c>
      <c r="C451">
        <f t="shared" si="6"/>
        <v>2017</v>
      </c>
      <c r="E451" t="s">
        <v>6</v>
      </c>
      <c r="F451">
        <f>(FruitDMg!F451/FruitFW!F451)*100</f>
        <v>12.4</v>
      </c>
    </row>
    <row r="452" spans="1:6" x14ac:dyDescent="0.25">
      <c r="A452" t="s">
        <v>14</v>
      </c>
      <c r="B452" s="7">
        <v>42804</v>
      </c>
      <c r="C452">
        <f t="shared" si="6"/>
        <v>2017</v>
      </c>
      <c r="E452" t="s">
        <v>6</v>
      </c>
      <c r="F452">
        <f>(FruitDMg!F452/FruitFW!F452)*100</f>
        <v>14.6</v>
      </c>
    </row>
    <row r="453" spans="1:6" x14ac:dyDescent="0.25">
      <c r="A453" t="s">
        <v>14</v>
      </c>
      <c r="B453" s="7">
        <v>42817</v>
      </c>
      <c r="C453">
        <f t="shared" si="6"/>
        <v>2017</v>
      </c>
      <c r="E453" t="s">
        <v>6</v>
      </c>
      <c r="F453">
        <f>(FruitDMg!F453/FruitFW!F453)*100</f>
        <v>15.5</v>
      </c>
    </row>
    <row r="454" spans="1:6" x14ac:dyDescent="0.25">
      <c r="A454" t="s">
        <v>14</v>
      </c>
      <c r="B454" s="7">
        <v>42832</v>
      </c>
      <c r="C454">
        <f t="shared" si="6"/>
        <v>2017</v>
      </c>
      <c r="E454" t="s">
        <v>6</v>
      </c>
      <c r="F454">
        <f>(FruitDMg!F454/FruitFW!F454)*100</f>
        <v>15.9</v>
      </c>
    </row>
    <row r="455" spans="1:6" x14ac:dyDescent="0.25">
      <c r="A455" t="s">
        <v>14</v>
      </c>
      <c r="B455" s="7">
        <v>42838</v>
      </c>
      <c r="C455">
        <f t="shared" si="6"/>
        <v>2017</v>
      </c>
      <c r="E455" t="s">
        <v>6</v>
      </c>
      <c r="F455">
        <f>(FruitDMg!F455/FruitFW!F455)*100</f>
        <v>16</v>
      </c>
    </row>
    <row r="456" spans="1:6" x14ac:dyDescent="0.25">
      <c r="A456" t="s">
        <v>14</v>
      </c>
      <c r="B456" s="7">
        <v>42845</v>
      </c>
      <c r="C456">
        <f t="shared" si="6"/>
        <v>2017</v>
      </c>
      <c r="E456" t="s">
        <v>6</v>
      </c>
      <c r="F456">
        <f>(FruitDMg!F456/FruitFW!F456)*100</f>
        <v>16.7</v>
      </c>
    </row>
    <row r="457" spans="1:6" x14ac:dyDescent="0.25">
      <c r="A457" t="s">
        <v>14</v>
      </c>
      <c r="B457" s="7">
        <v>42853</v>
      </c>
      <c r="C457">
        <f t="shared" si="6"/>
        <v>2017</v>
      </c>
      <c r="E457" t="s">
        <v>6</v>
      </c>
      <c r="F457">
        <f>(FruitDMg!F457/FruitFW!F457)*100</f>
        <v>16.900000000000002</v>
      </c>
    </row>
    <row r="458" spans="1:6" x14ac:dyDescent="0.25">
      <c r="A458" t="s">
        <v>14</v>
      </c>
      <c r="B458" s="7">
        <v>42859</v>
      </c>
      <c r="C458">
        <f t="shared" si="6"/>
        <v>2017</v>
      </c>
      <c r="E458" t="s">
        <v>6</v>
      </c>
      <c r="F458">
        <f>(FruitDMg!F458/FruitFW!F458)*100</f>
        <v>17</v>
      </c>
    </row>
    <row r="459" spans="1:6" x14ac:dyDescent="0.25">
      <c r="A459" t="s">
        <v>14</v>
      </c>
      <c r="B459" s="7">
        <v>42873</v>
      </c>
      <c r="C459">
        <f t="shared" si="6"/>
        <v>2017</v>
      </c>
      <c r="E459" t="s">
        <v>6</v>
      </c>
      <c r="F459">
        <f>(FruitDMg!F459/FruitFW!F459)*100</f>
        <v>17.7</v>
      </c>
    </row>
    <row r="460" spans="1:6" x14ac:dyDescent="0.25">
      <c r="A460" t="s">
        <v>14</v>
      </c>
      <c r="B460" s="7">
        <v>42887</v>
      </c>
      <c r="C460">
        <f t="shared" si="6"/>
        <v>2017</v>
      </c>
      <c r="E460" t="s">
        <v>6</v>
      </c>
      <c r="F460">
        <f>(FruitDMg!F460/FruitFW!F460)*100</f>
        <v>17.7</v>
      </c>
    </row>
    <row r="461" spans="1:6" x14ac:dyDescent="0.25">
      <c r="A461" t="s">
        <v>14</v>
      </c>
      <c r="B461" s="7">
        <v>42894</v>
      </c>
      <c r="C461">
        <f t="shared" si="6"/>
        <v>2017</v>
      </c>
      <c r="E461" t="s">
        <v>6</v>
      </c>
      <c r="F461">
        <f>(FruitDMg!F461/FruitFW!F461)*100</f>
        <v>18.100000000000001</v>
      </c>
    </row>
    <row r="462" spans="1:6" x14ac:dyDescent="0.25">
      <c r="A462" t="s">
        <v>14</v>
      </c>
      <c r="B462" s="7">
        <v>42908</v>
      </c>
      <c r="C462">
        <f t="shared" si="6"/>
        <v>2017</v>
      </c>
      <c r="E462" t="s">
        <v>6</v>
      </c>
      <c r="F462">
        <f>(FruitDMg!F462/FruitFW!F462)*100</f>
        <v>17.899999999999999</v>
      </c>
    </row>
    <row r="463" spans="1:6" x14ac:dyDescent="0.25">
      <c r="A463" t="s">
        <v>14</v>
      </c>
      <c r="B463" s="7">
        <v>43116</v>
      </c>
      <c r="C463">
        <f t="shared" si="6"/>
        <v>2018</v>
      </c>
      <c r="E463" t="s">
        <v>6</v>
      </c>
      <c r="F463">
        <f>(FruitDMg!F463/FruitFW!F463)*100</f>
        <v>7.1</v>
      </c>
    </row>
    <row r="464" spans="1:6" x14ac:dyDescent="0.25">
      <c r="A464" t="s">
        <v>14</v>
      </c>
      <c r="B464" s="7">
        <v>43151</v>
      </c>
      <c r="C464">
        <f t="shared" si="6"/>
        <v>2018</v>
      </c>
      <c r="E464" t="s">
        <v>6</v>
      </c>
      <c r="F464">
        <f>(FruitDMg!F464/FruitFW!F464)*100</f>
        <v>11.300000000000002</v>
      </c>
    </row>
    <row r="465" spans="1:6" x14ac:dyDescent="0.25">
      <c r="A465" t="s">
        <v>14</v>
      </c>
      <c r="B465" s="7">
        <v>43165</v>
      </c>
      <c r="C465">
        <f t="shared" si="6"/>
        <v>2018</v>
      </c>
      <c r="E465" t="s">
        <v>6</v>
      </c>
      <c r="F465">
        <f>(FruitDMg!F465/FruitFW!F465)*100</f>
        <v>13.699999999999998</v>
      </c>
    </row>
    <row r="466" spans="1:6" x14ac:dyDescent="0.25">
      <c r="A466" t="s">
        <v>14</v>
      </c>
      <c r="B466" s="7">
        <v>43179</v>
      </c>
      <c r="C466">
        <f t="shared" si="6"/>
        <v>2018</v>
      </c>
      <c r="E466" t="s">
        <v>6</v>
      </c>
      <c r="F466">
        <f>(FruitDMg!F466/FruitFW!F466)*100</f>
        <v>15.300000000000002</v>
      </c>
    </row>
    <row r="467" spans="1:6" x14ac:dyDescent="0.25">
      <c r="A467" t="s">
        <v>14</v>
      </c>
      <c r="B467" s="7">
        <v>43194</v>
      </c>
      <c r="C467">
        <f t="shared" si="6"/>
        <v>2018</v>
      </c>
      <c r="E467" t="s">
        <v>6</v>
      </c>
      <c r="F467">
        <f>(FruitDMg!F467/FruitFW!F467)*100</f>
        <v>15.9</v>
      </c>
    </row>
    <row r="468" spans="1:6" x14ac:dyDescent="0.25">
      <c r="A468" t="s">
        <v>14</v>
      </c>
      <c r="B468" s="7">
        <v>43201</v>
      </c>
      <c r="C468">
        <f t="shared" si="6"/>
        <v>2018</v>
      </c>
      <c r="E468" t="s">
        <v>6</v>
      </c>
      <c r="F468">
        <f>(FruitDMg!F468/FruitFW!F468)*100</f>
        <v>16.2</v>
      </c>
    </row>
    <row r="469" spans="1:6" x14ac:dyDescent="0.25">
      <c r="A469" t="s">
        <v>14</v>
      </c>
      <c r="B469" s="7">
        <v>43209</v>
      </c>
      <c r="C469">
        <f t="shared" si="6"/>
        <v>2018</v>
      </c>
      <c r="E469" t="s">
        <v>6</v>
      </c>
      <c r="F469">
        <f>(FruitDMg!F469/FruitFW!F469)*100</f>
        <v>16.3</v>
      </c>
    </row>
    <row r="470" spans="1:6" x14ac:dyDescent="0.25">
      <c r="A470" t="s">
        <v>14</v>
      </c>
      <c r="B470" s="7">
        <v>43215</v>
      </c>
      <c r="C470">
        <f t="shared" si="6"/>
        <v>2018</v>
      </c>
      <c r="E470" t="s">
        <v>6</v>
      </c>
      <c r="F470">
        <f>(FruitDMg!F470/FruitFW!F470)*100</f>
        <v>16.800000000000004</v>
      </c>
    </row>
    <row r="471" spans="1:6" x14ac:dyDescent="0.25">
      <c r="A471" t="s">
        <v>14</v>
      </c>
      <c r="B471" s="7">
        <v>43221</v>
      </c>
      <c r="C471">
        <f t="shared" si="6"/>
        <v>2018</v>
      </c>
      <c r="E471" t="s">
        <v>6</v>
      </c>
      <c r="F471">
        <f>(FruitDMg!F471/FruitFW!F471)*100</f>
        <v>17</v>
      </c>
    </row>
    <row r="472" spans="1:6" x14ac:dyDescent="0.25">
      <c r="A472" t="s">
        <v>14</v>
      </c>
      <c r="B472" s="7">
        <v>43235</v>
      </c>
      <c r="C472">
        <f t="shared" si="6"/>
        <v>2018</v>
      </c>
      <c r="E472" t="s">
        <v>6</v>
      </c>
      <c r="F472">
        <f>(FruitDMg!F472/FruitFW!F472)*100</f>
        <v>17.3</v>
      </c>
    </row>
    <row r="473" spans="1:6" x14ac:dyDescent="0.25">
      <c r="A473" t="s">
        <v>14</v>
      </c>
      <c r="B473" s="7">
        <v>43249</v>
      </c>
      <c r="C473">
        <f t="shared" si="6"/>
        <v>2018</v>
      </c>
      <c r="E473" t="s">
        <v>6</v>
      </c>
      <c r="F473">
        <f>(FruitDMg!F473/FruitFW!F473)*100</f>
        <v>17.599999999999998</v>
      </c>
    </row>
    <row r="474" spans="1:6" x14ac:dyDescent="0.25">
      <c r="A474" t="s">
        <v>14</v>
      </c>
      <c r="B474" s="7">
        <v>43479</v>
      </c>
      <c r="C474">
        <f t="shared" si="6"/>
        <v>2019</v>
      </c>
      <c r="E474" t="s">
        <v>6</v>
      </c>
      <c r="F474">
        <f>(FruitDMg!F474/FruitFW!F474)*100</f>
        <v>7.3</v>
      </c>
    </row>
    <row r="475" spans="1:6" x14ac:dyDescent="0.25">
      <c r="A475" t="s">
        <v>14</v>
      </c>
      <c r="B475" s="7">
        <v>43515</v>
      </c>
      <c r="C475">
        <f t="shared" si="6"/>
        <v>2019</v>
      </c>
      <c r="E475" t="s">
        <v>6</v>
      </c>
      <c r="F475">
        <f>(FruitDMg!F475/FruitFW!F475)*100</f>
        <v>12.9</v>
      </c>
    </row>
    <row r="476" spans="1:6" x14ac:dyDescent="0.25">
      <c r="A476" t="s">
        <v>14</v>
      </c>
      <c r="B476" s="7">
        <v>43529</v>
      </c>
      <c r="C476">
        <f t="shared" si="6"/>
        <v>2019</v>
      </c>
      <c r="E476" t="s">
        <v>6</v>
      </c>
      <c r="F476">
        <f>(FruitDMg!F476/FruitFW!F476)*100</f>
        <v>14.6</v>
      </c>
    </row>
    <row r="477" spans="1:6" x14ac:dyDescent="0.25">
      <c r="A477" t="s">
        <v>14</v>
      </c>
      <c r="B477" s="7">
        <v>43543</v>
      </c>
      <c r="C477">
        <f t="shared" si="6"/>
        <v>2019</v>
      </c>
      <c r="E477" t="s">
        <v>6</v>
      </c>
      <c r="F477">
        <f>(FruitDMg!F477/FruitFW!F477)*100</f>
        <v>16.100000000000001</v>
      </c>
    </row>
    <row r="478" spans="1:6" x14ac:dyDescent="0.25">
      <c r="A478" t="s">
        <v>14</v>
      </c>
      <c r="B478" s="7">
        <v>43557</v>
      </c>
      <c r="C478">
        <f t="shared" si="6"/>
        <v>2019</v>
      </c>
      <c r="E478" t="s">
        <v>6</v>
      </c>
      <c r="F478">
        <f>(FruitDMg!F478/FruitFW!F478)*100</f>
        <v>16.5</v>
      </c>
    </row>
    <row r="479" spans="1:6" x14ac:dyDescent="0.25">
      <c r="A479" t="s">
        <v>14</v>
      </c>
      <c r="B479" s="7">
        <v>43564</v>
      </c>
      <c r="C479">
        <f t="shared" si="6"/>
        <v>2019</v>
      </c>
      <c r="E479" t="s">
        <v>6</v>
      </c>
      <c r="F479">
        <f>(FruitDMg!F479/FruitFW!F479)*100</f>
        <v>16.899999999999999</v>
      </c>
    </row>
    <row r="480" spans="1:6" x14ac:dyDescent="0.25">
      <c r="A480" t="s">
        <v>14</v>
      </c>
      <c r="B480" s="7">
        <v>43570</v>
      </c>
      <c r="C480">
        <f t="shared" si="6"/>
        <v>2019</v>
      </c>
      <c r="E480" t="s">
        <v>6</v>
      </c>
      <c r="F480">
        <f>(FruitDMg!F480/FruitFW!F480)*100</f>
        <v>17</v>
      </c>
    </row>
    <row r="481" spans="1:6" x14ac:dyDescent="0.25">
      <c r="A481" t="s">
        <v>14</v>
      </c>
      <c r="B481" s="7">
        <v>43577</v>
      </c>
      <c r="C481">
        <f t="shared" si="6"/>
        <v>2019</v>
      </c>
      <c r="E481" t="s">
        <v>6</v>
      </c>
      <c r="F481">
        <f>(FruitDMg!F481/FruitFW!F481)*100</f>
        <v>17.299999999999997</v>
      </c>
    </row>
    <row r="482" spans="1:6" x14ac:dyDescent="0.25">
      <c r="A482" t="s">
        <v>14</v>
      </c>
      <c r="B482" s="7">
        <v>43584</v>
      </c>
      <c r="C482">
        <f t="shared" si="6"/>
        <v>2019</v>
      </c>
      <c r="E482" t="s">
        <v>6</v>
      </c>
      <c r="F482">
        <f>(FruitDMg!F482/FruitFW!F482)*100</f>
        <v>17.5</v>
      </c>
    </row>
    <row r="483" spans="1:6" x14ac:dyDescent="0.25">
      <c r="A483" t="s">
        <v>14</v>
      </c>
      <c r="B483" s="7">
        <v>43613</v>
      </c>
      <c r="C483">
        <f t="shared" si="6"/>
        <v>2019</v>
      </c>
      <c r="E483" t="s">
        <v>6</v>
      </c>
      <c r="F483">
        <f>(FruitDMg!F483/FruitFW!F483)*100</f>
        <v>18.3</v>
      </c>
    </row>
    <row r="484" spans="1:6" x14ac:dyDescent="0.25">
      <c r="A484" t="s">
        <v>14</v>
      </c>
      <c r="B484" s="7">
        <v>43851</v>
      </c>
      <c r="C484">
        <f t="shared" si="6"/>
        <v>2020</v>
      </c>
      <c r="E484" t="s">
        <v>6</v>
      </c>
      <c r="F484">
        <f>(FruitDMg!F484/FruitFW!F484)*100</f>
        <v>8.6999999999999993</v>
      </c>
    </row>
    <row r="485" spans="1:6" x14ac:dyDescent="0.25">
      <c r="A485" t="s">
        <v>14</v>
      </c>
      <c r="B485" s="7">
        <v>43880</v>
      </c>
      <c r="C485">
        <f t="shared" si="6"/>
        <v>2020</v>
      </c>
      <c r="E485" t="s">
        <v>6</v>
      </c>
      <c r="F485">
        <f>(FruitDMg!F485/FruitFW!F485)*100</f>
        <v>13.4</v>
      </c>
    </row>
    <row r="486" spans="1:6" x14ac:dyDescent="0.25">
      <c r="A486" t="s">
        <v>14</v>
      </c>
      <c r="B486" s="7">
        <v>43894</v>
      </c>
      <c r="C486">
        <f t="shared" si="6"/>
        <v>2020</v>
      </c>
      <c r="E486" t="s">
        <v>6</v>
      </c>
      <c r="F486">
        <f>(FruitDMg!F486/FruitFW!F486)*100</f>
        <v>14.899999999999999</v>
      </c>
    </row>
    <row r="487" spans="1:6" x14ac:dyDescent="0.25">
      <c r="A487" t="s">
        <v>14</v>
      </c>
      <c r="B487" s="7">
        <v>43907</v>
      </c>
      <c r="C487">
        <f t="shared" ref="C487:C550" si="7">YEAR(B487)</f>
        <v>2020</v>
      </c>
      <c r="E487" t="s">
        <v>6</v>
      </c>
      <c r="F487">
        <f>(FruitDMg!F487/FruitFW!F487)*100</f>
        <v>16.5</v>
      </c>
    </row>
    <row r="488" spans="1:6" x14ac:dyDescent="0.25">
      <c r="A488" t="s">
        <v>14</v>
      </c>
      <c r="B488" s="7">
        <v>43951</v>
      </c>
      <c r="C488">
        <f t="shared" si="7"/>
        <v>2020</v>
      </c>
      <c r="E488" t="s">
        <v>6</v>
      </c>
      <c r="F488">
        <f>(FruitDMg!F488/FruitFW!F488)*100</f>
        <v>18.800000000000004</v>
      </c>
    </row>
    <row r="489" spans="1:6" x14ac:dyDescent="0.25">
      <c r="A489" t="s">
        <v>14</v>
      </c>
      <c r="B489" s="7">
        <v>43963</v>
      </c>
      <c r="C489">
        <f t="shared" si="7"/>
        <v>2020</v>
      </c>
      <c r="E489" t="s">
        <v>6</v>
      </c>
      <c r="F489">
        <f>(FruitDMg!F489/FruitFW!F489)*100</f>
        <v>18.899999999999999</v>
      </c>
    </row>
    <row r="490" spans="1:6" x14ac:dyDescent="0.25">
      <c r="A490" t="s">
        <v>14</v>
      </c>
      <c r="B490" s="7">
        <v>43979</v>
      </c>
      <c r="C490">
        <f t="shared" si="7"/>
        <v>2020</v>
      </c>
      <c r="E490" t="s">
        <v>6</v>
      </c>
      <c r="F490">
        <f>(FruitDMg!F490/FruitFW!F490)*100</f>
        <v>19.5</v>
      </c>
    </row>
    <row r="491" spans="1:6" x14ac:dyDescent="0.25">
      <c r="A491" t="s">
        <v>14</v>
      </c>
      <c r="B491" s="7">
        <v>44223</v>
      </c>
      <c r="C491">
        <f t="shared" si="7"/>
        <v>2021</v>
      </c>
      <c r="E491" t="s">
        <v>6</v>
      </c>
      <c r="F491">
        <f>(FruitDMg!F491/FruitFW!F491)*100</f>
        <v>10.179676189999999</v>
      </c>
    </row>
    <row r="492" spans="1:6" x14ac:dyDescent="0.25">
      <c r="A492" t="s">
        <v>14</v>
      </c>
      <c r="B492" s="7">
        <v>44258</v>
      </c>
      <c r="C492">
        <f t="shared" si="7"/>
        <v>2021</v>
      </c>
      <c r="E492" t="s">
        <v>6</v>
      </c>
      <c r="F492">
        <f>(FruitDMg!F492/FruitFW!F492)*100</f>
        <v>19.175612444538675</v>
      </c>
    </row>
    <row r="493" spans="1:6" x14ac:dyDescent="0.25">
      <c r="A493" t="s">
        <v>14</v>
      </c>
      <c r="B493" s="7">
        <v>44272</v>
      </c>
      <c r="C493">
        <f t="shared" si="7"/>
        <v>2021</v>
      </c>
      <c r="E493" t="s">
        <v>6</v>
      </c>
      <c r="F493">
        <f>(FruitDMg!F493/FruitFW!F493)*100</f>
        <v>18.361198837303299</v>
      </c>
    </row>
    <row r="494" spans="1:6" x14ac:dyDescent="0.25">
      <c r="A494" t="s">
        <v>14</v>
      </c>
      <c r="B494" s="7">
        <v>44286</v>
      </c>
      <c r="C494">
        <f t="shared" si="7"/>
        <v>2021</v>
      </c>
      <c r="E494" t="s">
        <v>6</v>
      </c>
      <c r="F494">
        <f>(FruitDMg!F494/FruitFW!F494)*100</f>
        <v>17.885907532329423</v>
      </c>
    </row>
    <row r="495" spans="1:6" x14ac:dyDescent="0.25">
      <c r="A495" t="s">
        <v>14</v>
      </c>
      <c r="B495" s="7">
        <v>44300</v>
      </c>
      <c r="C495">
        <f t="shared" si="7"/>
        <v>2021</v>
      </c>
      <c r="E495" t="s">
        <v>6</v>
      </c>
      <c r="F495">
        <f>(FruitDMg!F495/FruitFW!F495)*100</f>
        <v>18.427956151869978</v>
      </c>
    </row>
    <row r="496" spans="1:6" x14ac:dyDescent="0.25">
      <c r="A496" t="s">
        <v>14</v>
      </c>
      <c r="B496" s="7">
        <v>44307</v>
      </c>
      <c r="C496">
        <f t="shared" si="7"/>
        <v>2021</v>
      </c>
      <c r="E496" t="s">
        <v>6</v>
      </c>
      <c r="F496">
        <f>(FruitDMg!F496/FruitFW!F496)*100</f>
        <v>17.876812774904771</v>
      </c>
    </row>
    <row r="497" spans="1:6" x14ac:dyDescent="0.25">
      <c r="A497" t="s">
        <v>14</v>
      </c>
      <c r="B497" s="7">
        <v>44315</v>
      </c>
      <c r="C497">
        <f t="shared" si="7"/>
        <v>2021</v>
      </c>
      <c r="E497" t="s">
        <v>6</v>
      </c>
      <c r="F497">
        <f>(FruitDMg!F497/FruitFW!F497)*100</f>
        <v>18.592248422786586</v>
      </c>
    </row>
    <row r="498" spans="1:6" x14ac:dyDescent="0.25">
      <c r="A498" t="s">
        <v>14</v>
      </c>
      <c r="B498" s="7">
        <v>44321</v>
      </c>
      <c r="C498">
        <f t="shared" si="7"/>
        <v>2021</v>
      </c>
      <c r="E498" t="s">
        <v>6</v>
      </c>
      <c r="F498">
        <f>(FruitDMg!F498/FruitFW!F498)*100</f>
        <v>16.589172996892394</v>
      </c>
    </row>
    <row r="499" spans="1:6" x14ac:dyDescent="0.25">
      <c r="A499" t="s">
        <v>14</v>
      </c>
      <c r="B499" s="7">
        <v>44335</v>
      </c>
      <c r="C499">
        <f t="shared" si="7"/>
        <v>2021</v>
      </c>
      <c r="E499" t="s">
        <v>6</v>
      </c>
      <c r="F499">
        <f>(FruitDMg!F499/FruitFW!F499)*100</f>
        <v>21.137679393476532</v>
      </c>
    </row>
    <row r="500" spans="1:6" x14ac:dyDescent="0.25">
      <c r="A500" t="s">
        <v>14</v>
      </c>
      <c r="B500" s="7">
        <v>44348</v>
      </c>
      <c r="C500">
        <f t="shared" si="7"/>
        <v>2021</v>
      </c>
      <c r="E500" t="s">
        <v>6</v>
      </c>
      <c r="F500">
        <f>(FruitDMg!F500/FruitFW!F500)*100</f>
        <v>17.560159290756321</v>
      </c>
    </row>
    <row r="501" spans="1:6" x14ac:dyDescent="0.25">
      <c r="A501" t="s">
        <v>14</v>
      </c>
      <c r="B501" s="7">
        <v>42386</v>
      </c>
      <c r="C501">
        <f t="shared" si="7"/>
        <v>2016</v>
      </c>
      <c r="E501" t="s">
        <v>6</v>
      </c>
      <c r="F501">
        <f>(FruitDMg!F501/FruitFW!F501)*100</f>
        <v>4.8173641570548726</v>
      </c>
    </row>
    <row r="502" spans="1:6" x14ac:dyDescent="0.25">
      <c r="A502" t="s">
        <v>14</v>
      </c>
      <c r="B502" s="7">
        <v>42386</v>
      </c>
      <c r="C502">
        <f t="shared" si="7"/>
        <v>2016</v>
      </c>
      <c r="E502" t="s">
        <v>6</v>
      </c>
      <c r="F502">
        <f>(FruitDMg!F502/FruitFW!F502)*100</f>
        <v>6.8797546012269937</v>
      </c>
    </row>
    <row r="503" spans="1:6" x14ac:dyDescent="0.25">
      <c r="A503" t="s">
        <v>14</v>
      </c>
      <c r="B503" s="7">
        <v>42386</v>
      </c>
      <c r="C503">
        <f t="shared" si="7"/>
        <v>2016</v>
      </c>
      <c r="E503" t="s">
        <v>6</v>
      </c>
      <c r="F503">
        <f>(FruitDMg!F503/FruitFW!F503)*100</f>
        <v>7.1711075441412513</v>
      </c>
    </row>
    <row r="504" spans="1:6" x14ac:dyDescent="0.25">
      <c r="A504" t="s">
        <v>14</v>
      </c>
      <c r="B504" s="7">
        <v>42389</v>
      </c>
      <c r="C504">
        <f t="shared" si="7"/>
        <v>2016</v>
      </c>
      <c r="E504" t="s">
        <v>6</v>
      </c>
      <c r="F504">
        <f>(FruitDMg!F504/FruitFW!F504)*100</f>
        <v>7.7745098039215685</v>
      </c>
    </row>
    <row r="505" spans="1:6" x14ac:dyDescent="0.25">
      <c r="A505" t="s">
        <v>14</v>
      </c>
      <c r="B505" s="7">
        <v>42424</v>
      </c>
      <c r="C505">
        <f t="shared" si="7"/>
        <v>2016</v>
      </c>
      <c r="E505" t="s">
        <v>6</v>
      </c>
      <c r="F505">
        <f>(FruitDMg!F505/FruitFW!F505)*100</f>
        <v>19.993606557377049</v>
      </c>
    </row>
    <row r="506" spans="1:6" x14ac:dyDescent="0.25">
      <c r="A506" t="s">
        <v>14</v>
      </c>
      <c r="B506" s="7">
        <v>42424</v>
      </c>
      <c r="C506">
        <f t="shared" si="7"/>
        <v>2016</v>
      </c>
      <c r="E506" t="s">
        <v>6</v>
      </c>
      <c r="F506">
        <f>(FruitDMg!F506/FruitFW!F506)*100</f>
        <v>12.256815703380589</v>
      </c>
    </row>
    <row r="507" spans="1:6" x14ac:dyDescent="0.25">
      <c r="A507" t="s">
        <v>14</v>
      </c>
      <c r="B507" s="7">
        <v>42424</v>
      </c>
      <c r="C507">
        <f t="shared" si="7"/>
        <v>2016</v>
      </c>
      <c r="E507" t="s">
        <v>6</v>
      </c>
      <c r="F507">
        <f>(FruitDMg!F507/FruitFW!F507)*100</f>
        <v>10.656271186440677</v>
      </c>
    </row>
    <row r="508" spans="1:6" x14ac:dyDescent="0.25">
      <c r="A508" t="s">
        <v>14</v>
      </c>
      <c r="B508" s="7">
        <v>42424</v>
      </c>
      <c r="C508">
        <f t="shared" si="7"/>
        <v>2016</v>
      </c>
      <c r="E508" t="s">
        <v>6</v>
      </c>
      <c r="F508">
        <f>(FruitDMg!F508/FruitFW!F508)*100</f>
        <v>11.408118081180813</v>
      </c>
    </row>
    <row r="509" spans="1:6" x14ac:dyDescent="0.25">
      <c r="A509" t="s">
        <v>14</v>
      </c>
      <c r="B509" s="7">
        <v>42438</v>
      </c>
      <c r="C509">
        <f t="shared" si="7"/>
        <v>2016</v>
      </c>
      <c r="E509" t="s">
        <v>6</v>
      </c>
      <c r="F509">
        <f>(FruitDMg!F509/FruitFW!F509)*100</f>
        <v>14.741984732824429</v>
      </c>
    </row>
    <row r="510" spans="1:6" x14ac:dyDescent="0.25">
      <c r="A510" t="s">
        <v>14</v>
      </c>
      <c r="B510" s="7">
        <v>42439</v>
      </c>
      <c r="C510">
        <f t="shared" si="7"/>
        <v>2016</v>
      </c>
      <c r="E510" t="s">
        <v>6</v>
      </c>
      <c r="F510">
        <f>(FruitDMg!F510/FruitFW!F510)*100</f>
        <v>17.7112676056338</v>
      </c>
    </row>
    <row r="511" spans="1:6" x14ac:dyDescent="0.25">
      <c r="A511" t="s">
        <v>14</v>
      </c>
      <c r="B511" s="7">
        <v>42439</v>
      </c>
      <c r="C511">
        <f t="shared" si="7"/>
        <v>2016</v>
      </c>
      <c r="E511" t="s">
        <v>6</v>
      </c>
      <c r="F511">
        <f>(FruitDMg!F511/FruitFW!F511)*100</f>
        <v>14.044731610337971</v>
      </c>
    </row>
    <row r="512" spans="1:6" x14ac:dyDescent="0.25">
      <c r="A512" t="s">
        <v>14</v>
      </c>
      <c r="B512" s="7">
        <v>42439</v>
      </c>
      <c r="C512">
        <f t="shared" si="7"/>
        <v>2016</v>
      </c>
      <c r="E512" t="s">
        <v>6</v>
      </c>
      <c r="F512">
        <f>(FruitDMg!F512/FruitFW!F512)*100</f>
        <v>11.283115577889449</v>
      </c>
    </row>
    <row r="513" spans="1:6" x14ac:dyDescent="0.25">
      <c r="A513" t="s">
        <v>14</v>
      </c>
      <c r="B513" s="7">
        <v>42452</v>
      </c>
      <c r="C513">
        <f t="shared" si="7"/>
        <v>2016</v>
      </c>
      <c r="E513" t="s">
        <v>6</v>
      </c>
      <c r="F513">
        <f>(FruitDMg!F513/FruitFW!F513)*100</f>
        <v>20.187864644107353</v>
      </c>
    </row>
    <row r="514" spans="1:6" x14ac:dyDescent="0.25">
      <c r="A514" t="s">
        <v>14</v>
      </c>
      <c r="B514" s="7">
        <v>42452</v>
      </c>
      <c r="C514">
        <f t="shared" si="7"/>
        <v>2016</v>
      </c>
      <c r="E514" t="s">
        <v>6</v>
      </c>
      <c r="F514">
        <f>(FruitDMg!F514/FruitFW!F514)*100</f>
        <v>14.191780821917806</v>
      </c>
    </row>
    <row r="515" spans="1:6" x14ac:dyDescent="0.25">
      <c r="A515" t="s">
        <v>14</v>
      </c>
      <c r="B515" s="7">
        <v>42452</v>
      </c>
      <c r="C515">
        <f t="shared" si="7"/>
        <v>2016</v>
      </c>
      <c r="E515" t="s">
        <v>6</v>
      </c>
      <c r="F515">
        <f>(FruitDMg!F515/FruitFW!F515)*100</f>
        <v>12.766216216216216</v>
      </c>
    </row>
    <row r="516" spans="1:6" x14ac:dyDescent="0.25">
      <c r="A516" t="s">
        <v>14</v>
      </c>
      <c r="B516" s="7">
        <v>42452</v>
      </c>
      <c r="C516">
        <f t="shared" si="7"/>
        <v>2016</v>
      </c>
      <c r="E516" t="s">
        <v>6</v>
      </c>
      <c r="F516">
        <f>(FruitDMg!F516/FruitFW!F516)*100</f>
        <v>14.159914712153517</v>
      </c>
    </row>
    <row r="517" spans="1:6" x14ac:dyDescent="0.25">
      <c r="A517" t="s">
        <v>14</v>
      </c>
      <c r="B517" s="7">
        <v>42467</v>
      </c>
      <c r="C517">
        <f t="shared" si="7"/>
        <v>2016</v>
      </c>
      <c r="E517" t="s">
        <v>6</v>
      </c>
      <c r="F517">
        <f>(FruitDMg!F517/FruitFW!F517)*100</f>
        <v>21.640720524017471</v>
      </c>
    </row>
    <row r="518" spans="1:6" x14ac:dyDescent="0.25">
      <c r="A518" t="s">
        <v>14</v>
      </c>
      <c r="B518" s="7">
        <v>42467</v>
      </c>
      <c r="C518">
        <f t="shared" si="7"/>
        <v>2016</v>
      </c>
      <c r="E518" t="s">
        <v>6</v>
      </c>
      <c r="F518">
        <f>(FruitDMg!F518/FruitFW!F518)*100</f>
        <v>14.673462510530749</v>
      </c>
    </row>
    <row r="519" spans="1:6" x14ac:dyDescent="0.25">
      <c r="A519" t="s">
        <v>14</v>
      </c>
      <c r="B519" s="7">
        <v>42467</v>
      </c>
      <c r="C519">
        <f t="shared" si="7"/>
        <v>2016</v>
      </c>
      <c r="E519" t="s">
        <v>6</v>
      </c>
      <c r="F519">
        <f>(FruitDMg!F519/FruitFW!F519)*100</f>
        <v>13.527851458885943</v>
      </c>
    </row>
    <row r="520" spans="1:6" x14ac:dyDescent="0.25">
      <c r="A520" t="s">
        <v>14</v>
      </c>
      <c r="B520" s="7">
        <v>42467</v>
      </c>
      <c r="C520">
        <f t="shared" si="7"/>
        <v>2016</v>
      </c>
      <c r="E520" t="s">
        <v>6</v>
      </c>
      <c r="F520">
        <f>(FruitDMg!F520/FruitFW!F520)*100</f>
        <v>14.827450980392157</v>
      </c>
    </row>
    <row r="521" spans="1:6" x14ac:dyDescent="0.25">
      <c r="A521" t="s">
        <v>14</v>
      </c>
      <c r="B521" s="7">
        <v>42474</v>
      </c>
      <c r="C521">
        <f t="shared" si="7"/>
        <v>2016</v>
      </c>
      <c r="E521" t="s">
        <v>6</v>
      </c>
      <c r="F521">
        <f>(FruitDMg!F521/FruitFW!F521)*100</f>
        <v>15.70954773869347</v>
      </c>
    </row>
    <row r="522" spans="1:6" x14ac:dyDescent="0.25">
      <c r="A522" t="s">
        <v>14</v>
      </c>
      <c r="B522" s="7">
        <v>42475</v>
      </c>
      <c r="C522">
        <f t="shared" si="7"/>
        <v>2016</v>
      </c>
      <c r="E522" t="s">
        <v>6</v>
      </c>
      <c r="F522">
        <f>(FruitDMg!F522/FruitFW!F522)*100</f>
        <v>19.328571428571429</v>
      </c>
    </row>
    <row r="523" spans="1:6" x14ac:dyDescent="0.25">
      <c r="A523" t="s">
        <v>14</v>
      </c>
      <c r="B523" s="7">
        <v>42475</v>
      </c>
      <c r="C523">
        <f t="shared" si="7"/>
        <v>2016</v>
      </c>
      <c r="E523" t="s">
        <v>6</v>
      </c>
      <c r="F523">
        <f>(FruitDMg!F523/FruitFW!F523)*100</f>
        <v>14.828511354079058</v>
      </c>
    </row>
    <row r="524" spans="1:6" x14ac:dyDescent="0.25">
      <c r="A524" t="s">
        <v>14</v>
      </c>
      <c r="B524" s="7">
        <v>42475</v>
      </c>
      <c r="C524">
        <f t="shared" si="7"/>
        <v>2016</v>
      </c>
      <c r="E524" t="s">
        <v>6</v>
      </c>
      <c r="F524">
        <f>(FruitDMg!F524/FruitFW!F524)*100</f>
        <v>14.117186108637577</v>
      </c>
    </row>
    <row r="525" spans="1:6" x14ac:dyDescent="0.25">
      <c r="A525" t="s">
        <v>14</v>
      </c>
      <c r="B525" s="7">
        <v>42482</v>
      </c>
      <c r="C525">
        <f t="shared" si="7"/>
        <v>2016</v>
      </c>
      <c r="E525" t="s">
        <v>6</v>
      </c>
      <c r="F525">
        <f>(FruitDMg!F525/FruitFW!F525)*100</f>
        <v>19.589741131351872</v>
      </c>
    </row>
    <row r="526" spans="1:6" x14ac:dyDescent="0.25">
      <c r="A526" t="s">
        <v>14</v>
      </c>
      <c r="B526" s="7">
        <v>42482</v>
      </c>
      <c r="C526">
        <f t="shared" si="7"/>
        <v>2016</v>
      </c>
      <c r="E526" t="s">
        <v>6</v>
      </c>
      <c r="F526">
        <f>(FruitDMg!F526/FruitFW!F526)*100</f>
        <v>14.829942100909843</v>
      </c>
    </row>
    <row r="527" spans="1:6" x14ac:dyDescent="0.25">
      <c r="A527" t="s">
        <v>14</v>
      </c>
      <c r="B527" s="7">
        <v>42482</v>
      </c>
      <c r="C527">
        <f t="shared" si="7"/>
        <v>2016</v>
      </c>
      <c r="E527" t="s">
        <v>6</v>
      </c>
      <c r="F527">
        <f>(FruitDMg!F527/FruitFW!F527)*100</f>
        <v>13.925569176882661</v>
      </c>
    </row>
    <row r="528" spans="1:6" x14ac:dyDescent="0.25">
      <c r="A528" t="s">
        <v>14</v>
      </c>
      <c r="B528" s="7">
        <v>42482</v>
      </c>
      <c r="C528">
        <f t="shared" si="7"/>
        <v>2016</v>
      </c>
      <c r="E528" t="s">
        <v>6</v>
      </c>
      <c r="F528">
        <f>(FruitDMg!F528/FruitFW!F528)*100</f>
        <v>14.864522417153998</v>
      </c>
    </row>
    <row r="529" spans="1:6" x14ac:dyDescent="0.25">
      <c r="A529" t="s">
        <v>14</v>
      </c>
      <c r="B529" s="7">
        <v>42489</v>
      </c>
      <c r="C529">
        <f t="shared" si="7"/>
        <v>2016</v>
      </c>
      <c r="E529" t="s">
        <v>6</v>
      </c>
      <c r="F529">
        <f>(FruitDMg!F529/FruitFW!F529)*100</f>
        <v>21.155643564356431</v>
      </c>
    </row>
    <row r="530" spans="1:6" x14ac:dyDescent="0.25">
      <c r="A530" t="s">
        <v>14</v>
      </c>
      <c r="B530" s="7">
        <v>42489</v>
      </c>
      <c r="C530">
        <f t="shared" si="7"/>
        <v>2016</v>
      </c>
      <c r="E530" t="s">
        <v>6</v>
      </c>
      <c r="F530">
        <f>(FruitDMg!F530/FruitFW!F530)*100</f>
        <v>15.283387622149839</v>
      </c>
    </row>
    <row r="531" spans="1:6" x14ac:dyDescent="0.25">
      <c r="A531" t="s">
        <v>14</v>
      </c>
      <c r="B531" s="7">
        <v>42489</v>
      </c>
      <c r="C531">
        <f t="shared" si="7"/>
        <v>2016</v>
      </c>
      <c r="E531" t="s">
        <v>6</v>
      </c>
      <c r="F531">
        <f>(FruitDMg!F531/FruitFW!F531)*100</f>
        <v>13.82617220801364</v>
      </c>
    </row>
    <row r="532" spans="1:6" x14ac:dyDescent="0.25">
      <c r="A532" t="s">
        <v>14</v>
      </c>
      <c r="B532" s="7">
        <v>42489</v>
      </c>
      <c r="C532">
        <f t="shared" si="7"/>
        <v>2016</v>
      </c>
      <c r="E532" t="s">
        <v>6</v>
      </c>
      <c r="F532">
        <f>(FruitDMg!F532/FruitFW!F532)*100</f>
        <v>15.927976766698935</v>
      </c>
    </row>
    <row r="533" spans="1:6" x14ac:dyDescent="0.25">
      <c r="A533" t="s">
        <v>14</v>
      </c>
      <c r="B533" s="7">
        <v>42494</v>
      </c>
      <c r="C533">
        <f t="shared" si="7"/>
        <v>2016</v>
      </c>
      <c r="E533" t="s">
        <v>6</v>
      </c>
      <c r="F533">
        <f>(FruitDMg!F533/FruitFW!F533)*100</f>
        <v>16.714503816793894</v>
      </c>
    </row>
    <row r="534" spans="1:6" x14ac:dyDescent="0.25">
      <c r="A534" t="s">
        <v>14</v>
      </c>
      <c r="B534" s="7">
        <v>42496</v>
      </c>
      <c r="C534">
        <f t="shared" si="7"/>
        <v>2016</v>
      </c>
      <c r="E534" t="s">
        <v>6</v>
      </c>
      <c r="F534">
        <f>(FruitDMg!F534/FruitFW!F534)*100</f>
        <v>19.286764705882355</v>
      </c>
    </row>
    <row r="535" spans="1:6" x14ac:dyDescent="0.25">
      <c r="A535" t="s">
        <v>14</v>
      </c>
      <c r="B535" s="7">
        <v>42496</v>
      </c>
      <c r="C535">
        <f t="shared" si="7"/>
        <v>2016</v>
      </c>
      <c r="E535" t="s">
        <v>6</v>
      </c>
      <c r="F535">
        <f>(FruitDMg!F535/FruitFW!F535)*100</f>
        <v>16.258360655737704</v>
      </c>
    </row>
    <row r="536" spans="1:6" x14ac:dyDescent="0.25">
      <c r="A536" t="s">
        <v>14</v>
      </c>
      <c r="B536" s="7">
        <v>42496</v>
      </c>
      <c r="C536">
        <f t="shared" si="7"/>
        <v>2016</v>
      </c>
      <c r="E536" t="s">
        <v>6</v>
      </c>
      <c r="F536">
        <f>(FruitDMg!F536/FruitFW!F536)*100</f>
        <v>13.793668831168832</v>
      </c>
    </row>
    <row r="537" spans="1:6" x14ac:dyDescent="0.25">
      <c r="A537" t="s">
        <v>14</v>
      </c>
      <c r="B537" s="7">
        <v>42509</v>
      </c>
      <c r="C537">
        <f t="shared" si="7"/>
        <v>2016</v>
      </c>
      <c r="E537" t="s">
        <v>6</v>
      </c>
      <c r="F537">
        <f>(FruitDMg!F537/FruitFW!F537)*100</f>
        <v>20.452812202097231</v>
      </c>
    </row>
    <row r="538" spans="1:6" x14ac:dyDescent="0.25">
      <c r="A538" t="s">
        <v>14</v>
      </c>
      <c r="B538" s="7">
        <v>42509</v>
      </c>
      <c r="C538">
        <f t="shared" si="7"/>
        <v>2016</v>
      </c>
      <c r="E538" t="s">
        <v>6</v>
      </c>
      <c r="F538">
        <f>(FruitDMg!F538/FruitFW!F538)*100</f>
        <v>15.454159869494291</v>
      </c>
    </row>
    <row r="539" spans="1:6" x14ac:dyDescent="0.25">
      <c r="A539" t="s">
        <v>14</v>
      </c>
      <c r="B539" s="7">
        <v>42509</v>
      </c>
      <c r="C539">
        <f t="shared" si="7"/>
        <v>2016</v>
      </c>
      <c r="E539" t="s">
        <v>6</v>
      </c>
      <c r="F539">
        <f>(FruitDMg!F539/FruitFW!F539)*100</f>
        <v>16.28158844765343</v>
      </c>
    </row>
    <row r="540" spans="1:6" x14ac:dyDescent="0.25">
      <c r="A540" t="s">
        <v>14</v>
      </c>
      <c r="B540" s="7">
        <v>42510</v>
      </c>
      <c r="C540">
        <f t="shared" si="7"/>
        <v>2016</v>
      </c>
      <c r="E540" t="s">
        <v>6</v>
      </c>
      <c r="F540">
        <f>(FruitDMg!F540/FruitFW!F540)*100</f>
        <v>18.586909090909092</v>
      </c>
    </row>
    <row r="541" spans="1:6" x14ac:dyDescent="0.25">
      <c r="A541" t="s">
        <v>14</v>
      </c>
      <c r="B541" s="7">
        <v>42522</v>
      </c>
      <c r="C541">
        <f t="shared" si="7"/>
        <v>2016</v>
      </c>
      <c r="E541" t="s">
        <v>6</v>
      </c>
      <c r="F541">
        <f>(FruitDMg!F541/FruitFW!F541)*100</f>
        <v>15.315529991783073</v>
      </c>
    </row>
    <row r="542" spans="1:6" x14ac:dyDescent="0.25">
      <c r="A542" t="s">
        <v>14</v>
      </c>
      <c r="B542" s="7">
        <v>42523</v>
      </c>
      <c r="C542">
        <f t="shared" si="7"/>
        <v>2016</v>
      </c>
      <c r="E542" t="s">
        <v>6</v>
      </c>
      <c r="F542">
        <f>(FruitDMg!F542/FruitFW!F542)*100</f>
        <v>20.064220183486238</v>
      </c>
    </row>
    <row r="543" spans="1:6" x14ac:dyDescent="0.25">
      <c r="A543" t="s">
        <v>14</v>
      </c>
      <c r="B543" s="7">
        <v>42523</v>
      </c>
      <c r="C543">
        <f t="shared" si="7"/>
        <v>2016</v>
      </c>
      <c r="E543" t="s">
        <v>6</v>
      </c>
      <c r="F543">
        <f>(FruitDMg!F543/FruitFW!F543)*100</f>
        <v>17.043703703703702</v>
      </c>
    </row>
    <row r="544" spans="1:6" x14ac:dyDescent="0.25">
      <c r="A544" t="s">
        <v>14</v>
      </c>
      <c r="B544" s="7">
        <v>42523</v>
      </c>
      <c r="C544">
        <f t="shared" si="7"/>
        <v>2016</v>
      </c>
      <c r="E544" t="s">
        <v>6</v>
      </c>
      <c r="F544">
        <f>(FruitDMg!F544/FruitFW!F544)*100</f>
        <v>15.038150289017343</v>
      </c>
    </row>
    <row r="545" spans="1:6" x14ac:dyDescent="0.25">
      <c r="A545" t="s">
        <v>14</v>
      </c>
      <c r="B545" s="7">
        <v>42531</v>
      </c>
      <c r="C545">
        <f t="shared" si="7"/>
        <v>2016</v>
      </c>
      <c r="E545" t="s">
        <v>6</v>
      </c>
      <c r="F545">
        <f>(FruitDMg!F545/FruitFW!F545)*100</f>
        <v>19.217712177121772</v>
      </c>
    </row>
    <row r="546" spans="1:6" x14ac:dyDescent="0.25">
      <c r="A546" t="s">
        <v>14</v>
      </c>
      <c r="B546" s="7">
        <v>42535</v>
      </c>
      <c r="C546">
        <f t="shared" si="7"/>
        <v>2016</v>
      </c>
      <c r="E546" t="s">
        <v>6</v>
      </c>
      <c r="F546">
        <f>(FruitDMg!F546/FruitFW!F546)*100</f>
        <v>17.985483870967744</v>
      </c>
    </row>
    <row r="547" spans="1:6" x14ac:dyDescent="0.25">
      <c r="A547" t="s">
        <v>14</v>
      </c>
      <c r="B547" s="7">
        <v>42535</v>
      </c>
      <c r="C547">
        <f t="shared" si="7"/>
        <v>2016</v>
      </c>
      <c r="E547" t="s">
        <v>6</v>
      </c>
      <c r="F547">
        <f>(FruitDMg!F547/FruitFW!F547)*100</f>
        <v>16.001452784503631</v>
      </c>
    </row>
    <row r="548" spans="1:6" x14ac:dyDescent="0.25">
      <c r="A548" t="s">
        <v>14</v>
      </c>
      <c r="B548" s="7">
        <v>42753</v>
      </c>
      <c r="C548">
        <f t="shared" si="7"/>
        <v>2017</v>
      </c>
      <c r="E548" t="s">
        <v>6</v>
      </c>
      <c r="F548">
        <f>(FruitDMg!F548/FruitFW!F548)*100</f>
        <v>4.4467713787085517</v>
      </c>
    </row>
    <row r="549" spans="1:6" x14ac:dyDescent="0.25">
      <c r="A549" t="s">
        <v>14</v>
      </c>
      <c r="B549" s="7">
        <v>42753</v>
      </c>
      <c r="C549">
        <f t="shared" si="7"/>
        <v>2017</v>
      </c>
      <c r="E549" t="s">
        <v>6</v>
      </c>
      <c r="F549">
        <f>(FruitDMg!F549/FruitFW!F549)*100</f>
        <v>7.9224489795918371</v>
      </c>
    </row>
    <row r="550" spans="1:6" x14ac:dyDescent="0.25">
      <c r="A550" t="s">
        <v>14</v>
      </c>
      <c r="B550" s="7">
        <v>42753</v>
      </c>
      <c r="C550">
        <f t="shared" si="7"/>
        <v>2017</v>
      </c>
      <c r="E550" t="s">
        <v>6</v>
      </c>
      <c r="F550">
        <f>(FruitDMg!F550/FruitFW!F550)*100</f>
        <v>8.4004636785162266</v>
      </c>
    </row>
    <row r="551" spans="1:6" x14ac:dyDescent="0.25">
      <c r="A551" t="s">
        <v>14</v>
      </c>
      <c r="B551" s="7">
        <v>42753</v>
      </c>
      <c r="C551">
        <f t="shared" ref="C551:C614" si="8">YEAR(B551)</f>
        <v>2017</v>
      </c>
      <c r="E551" t="s">
        <v>6</v>
      </c>
      <c r="F551">
        <f>(FruitDMg!F551/FruitFW!F551)*100</f>
        <v>8.8926974664679594</v>
      </c>
    </row>
    <row r="552" spans="1:6" x14ac:dyDescent="0.25">
      <c r="A552" t="s">
        <v>14</v>
      </c>
      <c r="B552" s="7">
        <v>42788</v>
      </c>
      <c r="C552">
        <f t="shared" si="8"/>
        <v>2017</v>
      </c>
      <c r="E552" t="s">
        <v>6</v>
      </c>
      <c r="F552">
        <f>(FruitDMg!F552/FruitFW!F552)*100</f>
        <v>17.522649572649577</v>
      </c>
    </row>
    <row r="553" spans="1:6" x14ac:dyDescent="0.25">
      <c r="A553" t="s">
        <v>14</v>
      </c>
      <c r="B553" s="7">
        <v>42789</v>
      </c>
      <c r="C553">
        <f t="shared" si="8"/>
        <v>2017</v>
      </c>
      <c r="E553" t="s">
        <v>6</v>
      </c>
      <c r="F553">
        <f>(FruitDMg!F553/FruitFW!F553)*100</f>
        <v>11.643237486687966</v>
      </c>
    </row>
    <row r="554" spans="1:6" x14ac:dyDescent="0.25">
      <c r="A554" t="s">
        <v>14</v>
      </c>
      <c r="B554" s="7">
        <v>42789</v>
      </c>
      <c r="C554">
        <f t="shared" si="8"/>
        <v>2017</v>
      </c>
      <c r="E554" t="s">
        <v>6</v>
      </c>
      <c r="F554">
        <f>(FruitDMg!F554/FruitFW!F554)*100</f>
        <v>14.154577883472061</v>
      </c>
    </row>
    <row r="555" spans="1:6" x14ac:dyDescent="0.25">
      <c r="A555" t="s">
        <v>14</v>
      </c>
      <c r="B555" s="7">
        <v>42789</v>
      </c>
      <c r="C555">
        <f t="shared" si="8"/>
        <v>2017</v>
      </c>
      <c r="E555" t="s">
        <v>6</v>
      </c>
      <c r="F555">
        <f>(FruitDMg!F555/FruitFW!F555)*100</f>
        <v>11.618749999999999</v>
      </c>
    </row>
    <row r="556" spans="1:6" x14ac:dyDescent="0.25">
      <c r="A556" t="s">
        <v>14</v>
      </c>
      <c r="B556" s="7">
        <v>42803</v>
      </c>
      <c r="C556">
        <f t="shared" si="8"/>
        <v>2017</v>
      </c>
      <c r="E556" t="s">
        <v>6</v>
      </c>
      <c r="F556">
        <f>(FruitDMg!F556/FruitFW!F556)*100</f>
        <v>18.109090909090913</v>
      </c>
    </row>
    <row r="557" spans="1:6" x14ac:dyDescent="0.25">
      <c r="A557" t="s">
        <v>14</v>
      </c>
      <c r="B557" s="7">
        <v>42803</v>
      </c>
      <c r="C557">
        <f t="shared" si="8"/>
        <v>2017</v>
      </c>
      <c r="E557" t="s">
        <v>6</v>
      </c>
      <c r="F557">
        <f>(FruitDMg!F557/FruitFW!F557)*100</f>
        <v>14.209545875810935</v>
      </c>
    </row>
    <row r="558" spans="1:6" x14ac:dyDescent="0.25">
      <c r="A558" t="s">
        <v>14</v>
      </c>
      <c r="B558" s="7">
        <v>42804</v>
      </c>
      <c r="C558">
        <f t="shared" si="8"/>
        <v>2017</v>
      </c>
      <c r="E558" t="s">
        <v>6</v>
      </c>
      <c r="F558">
        <f>(FruitDMg!F558/FruitFW!F558)*100</f>
        <v>13.882021379980561</v>
      </c>
    </row>
    <row r="559" spans="1:6" x14ac:dyDescent="0.25">
      <c r="A559" t="s">
        <v>14</v>
      </c>
      <c r="B559" s="7">
        <v>42804</v>
      </c>
      <c r="C559">
        <f t="shared" si="8"/>
        <v>2017</v>
      </c>
      <c r="E559" t="s">
        <v>6</v>
      </c>
      <c r="F559">
        <f>(FruitDMg!F559/FruitFW!F559)*100</f>
        <v>15.368181818181819</v>
      </c>
    </row>
    <row r="560" spans="1:6" x14ac:dyDescent="0.25">
      <c r="A560" t="s">
        <v>14</v>
      </c>
      <c r="B560" s="7">
        <v>42816</v>
      </c>
      <c r="C560">
        <f t="shared" si="8"/>
        <v>2017</v>
      </c>
      <c r="E560" t="s">
        <v>6</v>
      </c>
      <c r="F560">
        <f>(FruitDMg!F560/FruitFW!F560)*100</f>
        <v>17.492821031344789</v>
      </c>
    </row>
    <row r="561" spans="1:6" x14ac:dyDescent="0.25">
      <c r="A561" t="s">
        <v>14</v>
      </c>
      <c r="B561" s="7">
        <v>42817</v>
      </c>
      <c r="C561">
        <f t="shared" si="8"/>
        <v>2017</v>
      </c>
      <c r="E561" t="s">
        <v>6</v>
      </c>
      <c r="F561">
        <f>(FruitDMg!F561/FruitFW!F561)*100</f>
        <v>14.277727682596931</v>
      </c>
    </row>
    <row r="562" spans="1:6" x14ac:dyDescent="0.25">
      <c r="A562" t="s">
        <v>14</v>
      </c>
      <c r="B562" s="7">
        <v>42817</v>
      </c>
      <c r="C562">
        <f t="shared" si="8"/>
        <v>2017</v>
      </c>
      <c r="E562" t="s">
        <v>6</v>
      </c>
      <c r="F562">
        <f>(FruitDMg!F562/FruitFW!F562)*100</f>
        <v>16.456059113300491</v>
      </c>
    </row>
    <row r="563" spans="1:6" x14ac:dyDescent="0.25">
      <c r="A563" t="s">
        <v>14</v>
      </c>
      <c r="B563" s="7">
        <v>42817</v>
      </c>
      <c r="C563">
        <f t="shared" si="8"/>
        <v>2017</v>
      </c>
      <c r="E563" t="s">
        <v>6</v>
      </c>
      <c r="F563">
        <f>(FruitDMg!F563/FruitFW!F563)*100</f>
        <v>14.817662801070473</v>
      </c>
    </row>
    <row r="564" spans="1:6" x14ac:dyDescent="0.25">
      <c r="A564" t="s">
        <v>14</v>
      </c>
      <c r="B564" s="7">
        <v>42831</v>
      </c>
      <c r="C564">
        <f t="shared" si="8"/>
        <v>2017</v>
      </c>
      <c r="E564" t="s">
        <v>6</v>
      </c>
      <c r="F564">
        <f>(FruitDMg!F564/FruitFW!F564)*100</f>
        <v>19.189130434782609</v>
      </c>
    </row>
    <row r="565" spans="1:6" x14ac:dyDescent="0.25">
      <c r="A565" t="s">
        <v>14</v>
      </c>
      <c r="B565" s="7">
        <v>42832</v>
      </c>
      <c r="C565">
        <f t="shared" si="8"/>
        <v>2017</v>
      </c>
      <c r="E565" t="s">
        <v>6</v>
      </c>
      <c r="F565">
        <f>(FruitDMg!F565/FruitFW!F565)*100</f>
        <v>13.919111816019033</v>
      </c>
    </row>
    <row r="566" spans="1:6" x14ac:dyDescent="0.25">
      <c r="A566" t="s">
        <v>14</v>
      </c>
      <c r="B566" s="7">
        <v>42832</v>
      </c>
      <c r="C566">
        <f t="shared" si="8"/>
        <v>2017</v>
      </c>
      <c r="E566" t="s">
        <v>6</v>
      </c>
      <c r="F566">
        <f>(FruitDMg!F566/FruitFW!F566)*100</f>
        <v>17.29516864175023</v>
      </c>
    </row>
    <row r="567" spans="1:6" x14ac:dyDescent="0.25">
      <c r="A567" t="s">
        <v>14</v>
      </c>
      <c r="B567" s="7">
        <v>42832</v>
      </c>
      <c r="C567">
        <f t="shared" si="8"/>
        <v>2017</v>
      </c>
      <c r="E567" t="s">
        <v>6</v>
      </c>
      <c r="F567">
        <f>(FruitDMg!F567/FruitFW!F567)*100</f>
        <v>15.371590909090907</v>
      </c>
    </row>
    <row r="568" spans="1:6" x14ac:dyDescent="0.25">
      <c r="A568" t="s">
        <v>14</v>
      </c>
      <c r="B568" s="7">
        <v>42837</v>
      </c>
      <c r="C568">
        <f t="shared" si="8"/>
        <v>2017</v>
      </c>
      <c r="E568" t="s">
        <v>6</v>
      </c>
      <c r="F568">
        <f>(FruitDMg!F568/FruitFW!F568)*100</f>
        <v>17.725149700598802</v>
      </c>
    </row>
    <row r="569" spans="1:6" x14ac:dyDescent="0.25">
      <c r="A569" t="s">
        <v>14</v>
      </c>
      <c r="B569" s="7">
        <v>42838</v>
      </c>
      <c r="C569">
        <f t="shared" si="8"/>
        <v>2017</v>
      </c>
      <c r="E569" t="s">
        <v>6</v>
      </c>
      <c r="F569">
        <f>(FruitDMg!F569/FruitFW!F569)*100</f>
        <v>14.398679098679102</v>
      </c>
    </row>
    <row r="570" spans="1:6" x14ac:dyDescent="0.25">
      <c r="A570" t="s">
        <v>14</v>
      </c>
      <c r="B570" s="7">
        <v>42838</v>
      </c>
      <c r="C570">
        <f t="shared" si="8"/>
        <v>2017</v>
      </c>
      <c r="E570" t="s">
        <v>6</v>
      </c>
      <c r="F570">
        <f>(FruitDMg!F570/FruitFW!F570)*100</f>
        <v>17.018940052128588</v>
      </c>
    </row>
    <row r="571" spans="1:6" x14ac:dyDescent="0.25">
      <c r="A571" t="s">
        <v>14</v>
      </c>
      <c r="B571" s="7">
        <v>42838</v>
      </c>
      <c r="C571">
        <f t="shared" si="8"/>
        <v>2017</v>
      </c>
      <c r="E571" t="s">
        <v>6</v>
      </c>
      <c r="F571">
        <f>(FruitDMg!F571/FruitFW!F571)*100</f>
        <v>15.074764150943395</v>
      </c>
    </row>
    <row r="572" spans="1:6" x14ac:dyDescent="0.25">
      <c r="A572" t="s">
        <v>14</v>
      </c>
      <c r="B572" s="7">
        <v>42844</v>
      </c>
      <c r="C572">
        <f t="shared" si="8"/>
        <v>2017</v>
      </c>
      <c r="E572" t="s">
        <v>6</v>
      </c>
      <c r="F572">
        <f>(FruitDMg!F572/FruitFW!F572)*100</f>
        <v>17.803274559193955</v>
      </c>
    </row>
    <row r="573" spans="1:6" x14ac:dyDescent="0.25">
      <c r="A573" t="s">
        <v>14</v>
      </c>
      <c r="B573" s="7">
        <v>42845</v>
      </c>
      <c r="C573">
        <f t="shared" si="8"/>
        <v>2017</v>
      </c>
      <c r="E573" t="s">
        <v>6</v>
      </c>
      <c r="F573">
        <f>(FruitDMg!F573/FruitFW!F573)*100</f>
        <v>14.356871678056191</v>
      </c>
    </row>
    <row r="574" spans="1:6" x14ac:dyDescent="0.25">
      <c r="A574" t="s">
        <v>14</v>
      </c>
      <c r="B574" s="7">
        <v>42845</v>
      </c>
      <c r="C574">
        <f t="shared" si="8"/>
        <v>2017</v>
      </c>
      <c r="E574" t="s">
        <v>6</v>
      </c>
      <c r="F574">
        <f>(FruitDMg!F574/FruitFW!F574)*100</f>
        <v>16.742672413793102</v>
      </c>
    </row>
    <row r="575" spans="1:6" x14ac:dyDescent="0.25">
      <c r="A575" t="s">
        <v>14</v>
      </c>
      <c r="B575" s="7">
        <v>42845</v>
      </c>
      <c r="C575">
        <f t="shared" si="8"/>
        <v>2017</v>
      </c>
      <c r="E575" t="s">
        <v>6</v>
      </c>
      <c r="F575">
        <f>(FruitDMg!F575/FruitFW!F575)*100</f>
        <v>16.116201117318436</v>
      </c>
    </row>
    <row r="576" spans="1:6" x14ac:dyDescent="0.25">
      <c r="A576" t="s">
        <v>14</v>
      </c>
      <c r="B576" s="7">
        <v>42853</v>
      </c>
      <c r="C576">
        <f t="shared" si="8"/>
        <v>2017</v>
      </c>
      <c r="E576" t="s">
        <v>6</v>
      </c>
      <c r="F576">
        <f>(FruitDMg!F576/FruitFW!F576)*100</f>
        <v>15.866389351081528</v>
      </c>
    </row>
    <row r="577" spans="1:6" x14ac:dyDescent="0.25">
      <c r="A577" t="s">
        <v>14</v>
      </c>
      <c r="B577" s="7">
        <v>42853</v>
      </c>
      <c r="C577">
        <f t="shared" si="8"/>
        <v>2017</v>
      </c>
      <c r="E577" t="s">
        <v>6</v>
      </c>
      <c r="F577">
        <f>(FruitDMg!F577/FruitFW!F577)*100</f>
        <v>17.817162872154114</v>
      </c>
    </row>
    <row r="578" spans="1:6" x14ac:dyDescent="0.25">
      <c r="A578" t="s">
        <v>14</v>
      </c>
      <c r="B578" s="7">
        <v>42853</v>
      </c>
      <c r="C578">
        <f t="shared" si="8"/>
        <v>2017</v>
      </c>
      <c r="E578" t="s">
        <v>6</v>
      </c>
      <c r="F578">
        <f>(FruitDMg!F578/FruitFW!F578)*100</f>
        <v>16.363853503184714</v>
      </c>
    </row>
    <row r="579" spans="1:6" x14ac:dyDescent="0.25">
      <c r="A579" t="s">
        <v>14</v>
      </c>
      <c r="B579" s="7">
        <v>42853</v>
      </c>
      <c r="C579">
        <f t="shared" si="8"/>
        <v>2017</v>
      </c>
      <c r="E579" t="s">
        <v>6</v>
      </c>
      <c r="F579">
        <f>(FruitDMg!F579/FruitFW!F579)*100</f>
        <v>18.321753515301907</v>
      </c>
    </row>
    <row r="580" spans="1:6" x14ac:dyDescent="0.25">
      <c r="A580" t="s">
        <v>14</v>
      </c>
      <c r="B580" s="7">
        <v>42858</v>
      </c>
      <c r="C580">
        <f t="shared" si="8"/>
        <v>2017</v>
      </c>
      <c r="E580" t="s">
        <v>6</v>
      </c>
      <c r="F580">
        <f>(FruitDMg!F580/FruitFW!F580)*100</f>
        <v>17.939217191097466</v>
      </c>
    </row>
    <row r="581" spans="1:6" x14ac:dyDescent="0.25">
      <c r="A581" t="s">
        <v>14</v>
      </c>
      <c r="B581" s="7">
        <v>42859</v>
      </c>
      <c r="C581">
        <f t="shared" si="8"/>
        <v>2017</v>
      </c>
      <c r="E581" t="s">
        <v>6</v>
      </c>
      <c r="F581">
        <f>(FruitDMg!F581/FruitFW!F581)*100</f>
        <v>15.49492273730684</v>
      </c>
    </row>
    <row r="582" spans="1:6" x14ac:dyDescent="0.25">
      <c r="A582" t="s">
        <v>14</v>
      </c>
      <c r="B582" s="7">
        <v>42860</v>
      </c>
      <c r="C582">
        <f t="shared" si="8"/>
        <v>2017</v>
      </c>
      <c r="E582" t="s">
        <v>6</v>
      </c>
      <c r="F582">
        <f>(FruitDMg!F582/FruitFW!F582)*100</f>
        <v>15.177570093457945</v>
      </c>
    </row>
    <row r="583" spans="1:6" x14ac:dyDescent="0.25">
      <c r="A583" t="s">
        <v>14</v>
      </c>
      <c r="B583" s="7">
        <v>42860</v>
      </c>
      <c r="C583">
        <f t="shared" si="8"/>
        <v>2017</v>
      </c>
      <c r="E583" t="s">
        <v>6</v>
      </c>
      <c r="F583">
        <f>(FruitDMg!F583/FruitFW!F583)*100</f>
        <v>18.015517241379307</v>
      </c>
    </row>
    <row r="584" spans="1:6" x14ac:dyDescent="0.25">
      <c r="A584" t="s">
        <v>14</v>
      </c>
      <c r="B584" s="7">
        <v>42872</v>
      </c>
      <c r="C584">
        <f t="shared" si="8"/>
        <v>2017</v>
      </c>
      <c r="E584" t="s">
        <v>6</v>
      </c>
      <c r="F584">
        <f>(FruitDMg!F584/FruitFW!F584)*100</f>
        <v>18.981975308641974</v>
      </c>
    </row>
    <row r="585" spans="1:6" x14ac:dyDescent="0.25">
      <c r="A585" t="s">
        <v>14</v>
      </c>
      <c r="B585" s="7">
        <v>42873</v>
      </c>
      <c r="C585">
        <f t="shared" si="8"/>
        <v>2017</v>
      </c>
      <c r="E585" t="s">
        <v>6</v>
      </c>
      <c r="F585">
        <f>(FruitDMg!F585/FruitFW!F585)*100</f>
        <v>16.051573292402146</v>
      </c>
    </row>
    <row r="586" spans="1:6" x14ac:dyDescent="0.25">
      <c r="A586" t="s">
        <v>14</v>
      </c>
      <c r="B586" s="7">
        <v>42873</v>
      </c>
      <c r="C586">
        <f t="shared" si="8"/>
        <v>2017</v>
      </c>
      <c r="E586" t="s">
        <v>6</v>
      </c>
      <c r="F586">
        <f>(FruitDMg!F586/FruitFW!F586)*100</f>
        <v>18.073355263157893</v>
      </c>
    </row>
    <row r="587" spans="1:6" x14ac:dyDescent="0.25">
      <c r="A587" t="s">
        <v>14</v>
      </c>
      <c r="B587" s="7">
        <v>42873</v>
      </c>
      <c r="C587">
        <f t="shared" si="8"/>
        <v>2017</v>
      </c>
      <c r="E587" t="s">
        <v>6</v>
      </c>
      <c r="F587">
        <f>(FruitDMg!F587/FruitFW!F587)*100</f>
        <v>16.449848024316115</v>
      </c>
    </row>
    <row r="588" spans="1:6" x14ac:dyDescent="0.25">
      <c r="A588" t="s">
        <v>14</v>
      </c>
      <c r="B588" s="7">
        <v>42886</v>
      </c>
      <c r="C588">
        <f t="shared" si="8"/>
        <v>2017</v>
      </c>
      <c r="E588" t="s">
        <v>6</v>
      </c>
      <c r="F588">
        <f>(FruitDMg!F588/FruitFW!F588)*100</f>
        <v>19.478048780487804</v>
      </c>
    </row>
    <row r="589" spans="1:6" x14ac:dyDescent="0.25">
      <c r="A589" t="s">
        <v>14</v>
      </c>
      <c r="B589" s="7">
        <v>42887</v>
      </c>
      <c r="C589">
        <f t="shared" si="8"/>
        <v>2017</v>
      </c>
      <c r="E589" t="s">
        <v>6</v>
      </c>
      <c r="F589">
        <f>(FruitDMg!F589/FruitFW!F589)*100</f>
        <v>15.216829451540196</v>
      </c>
    </row>
    <row r="590" spans="1:6" x14ac:dyDescent="0.25">
      <c r="A590" t="s">
        <v>14</v>
      </c>
      <c r="B590" s="7">
        <v>42887</v>
      </c>
      <c r="C590">
        <f t="shared" si="8"/>
        <v>2017</v>
      </c>
      <c r="E590" t="s">
        <v>6</v>
      </c>
      <c r="F590">
        <f>(FruitDMg!F590/FruitFW!F590)*100</f>
        <v>19.150429553264601</v>
      </c>
    </row>
    <row r="591" spans="1:6" x14ac:dyDescent="0.25">
      <c r="A591" t="s">
        <v>14</v>
      </c>
      <c r="B591" s="7">
        <v>42887</v>
      </c>
      <c r="C591">
        <f t="shared" si="8"/>
        <v>2017</v>
      </c>
      <c r="E591" t="s">
        <v>6</v>
      </c>
      <c r="F591">
        <f>(FruitDMg!F591/FruitFW!F591)*100</f>
        <v>17.017437452615617</v>
      </c>
    </row>
    <row r="592" spans="1:6" x14ac:dyDescent="0.25">
      <c r="A592" t="s">
        <v>14</v>
      </c>
      <c r="B592" s="7">
        <v>42893</v>
      </c>
      <c r="C592">
        <f t="shared" si="8"/>
        <v>2017</v>
      </c>
      <c r="E592" t="s">
        <v>6</v>
      </c>
      <c r="F592">
        <f>(FruitDMg!F592/FruitFW!F592)*100</f>
        <v>17.081796311146753</v>
      </c>
    </row>
    <row r="593" spans="1:6" x14ac:dyDescent="0.25">
      <c r="A593" t="s">
        <v>14</v>
      </c>
      <c r="B593" s="7">
        <v>42893</v>
      </c>
      <c r="C593">
        <f t="shared" si="8"/>
        <v>2017</v>
      </c>
      <c r="E593" t="s">
        <v>6</v>
      </c>
      <c r="F593">
        <f>(FruitDMg!F593/FruitFW!F593)*100</f>
        <v>18.129075630252103</v>
      </c>
    </row>
    <row r="594" spans="1:6" x14ac:dyDescent="0.25">
      <c r="A594" t="s">
        <v>14</v>
      </c>
      <c r="B594" s="7">
        <v>42894</v>
      </c>
      <c r="C594">
        <f t="shared" si="8"/>
        <v>2017</v>
      </c>
      <c r="E594" t="s">
        <v>6</v>
      </c>
      <c r="F594">
        <f>(FruitDMg!F594/FruitFW!F594)*100</f>
        <v>19.364851485148513</v>
      </c>
    </row>
    <row r="595" spans="1:6" x14ac:dyDescent="0.25">
      <c r="A595" t="s">
        <v>14</v>
      </c>
      <c r="B595" s="7">
        <v>42907</v>
      </c>
      <c r="C595">
        <f t="shared" si="8"/>
        <v>2017</v>
      </c>
      <c r="E595" t="s">
        <v>6</v>
      </c>
      <c r="F595">
        <f>(FruitDMg!F595/FruitFW!F595)*100</f>
        <v>15.507164404223229</v>
      </c>
    </row>
    <row r="596" spans="1:6" x14ac:dyDescent="0.25">
      <c r="A596" t="s">
        <v>14</v>
      </c>
      <c r="B596" s="7">
        <v>42907</v>
      </c>
      <c r="C596">
        <f t="shared" si="8"/>
        <v>2017</v>
      </c>
      <c r="E596" t="s">
        <v>6</v>
      </c>
      <c r="F596">
        <f>(FruitDMg!F596/FruitFW!F596)*100</f>
        <v>18.643404255319147</v>
      </c>
    </row>
    <row r="597" spans="1:6" x14ac:dyDescent="0.25">
      <c r="A597" t="s">
        <v>14</v>
      </c>
      <c r="B597" s="7">
        <v>42908</v>
      </c>
      <c r="C597">
        <f t="shared" si="8"/>
        <v>2017</v>
      </c>
      <c r="E597" t="s">
        <v>6</v>
      </c>
      <c r="F597">
        <f>(FruitDMg!F597/FruitFW!F597)*100</f>
        <v>19.02859490550534</v>
      </c>
    </row>
    <row r="598" spans="1:6" x14ac:dyDescent="0.25">
      <c r="A598" t="s">
        <v>14</v>
      </c>
      <c r="B598" s="7">
        <v>43115</v>
      </c>
      <c r="C598">
        <f t="shared" si="8"/>
        <v>2018</v>
      </c>
      <c r="E598" t="s">
        <v>6</v>
      </c>
      <c r="F598">
        <f>(FruitDMg!F598/FruitFW!F598)*100</f>
        <v>3.2983858570330518</v>
      </c>
    </row>
    <row r="599" spans="1:6" x14ac:dyDescent="0.25">
      <c r="A599" t="s">
        <v>14</v>
      </c>
      <c r="B599" s="7">
        <v>43115</v>
      </c>
      <c r="C599">
        <f t="shared" si="8"/>
        <v>2018</v>
      </c>
      <c r="E599" t="s">
        <v>6</v>
      </c>
      <c r="F599">
        <f>(FruitDMg!F599/FruitFW!F599)*100</f>
        <v>8.86006711409396</v>
      </c>
    </row>
    <row r="600" spans="1:6" x14ac:dyDescent="0.25">
      <c r="A600" t="s">
        <v>14</v>
      </c>
      <c r="B600" s="7">
        <v>43116</v>
      </c>
      <c r="C600">
        <f t="shared" si="8"/>
        <v>2018</v>
      </c>
      <c r="E600" t="s">
        <v>6</v>
      </c>
      <c r="F600">
        <f>(FruitDMg!F600/FruitFW!F600)*100</f>
        <v>6.8971935007385534</v>
      </c>
    </row>
    <row r="601" spans="1:6" x14ac:dyDescent="0.25">
      <c r="A601" t="s">
        <v>14</v>
      </c>
      <c r="B601" s="7">
        <v>43116</v>
      </c>
      <c r="C601">
        <f t="shared" si="8"/>
        <v>2018</v>
      </c>
      <c r="E601" t="s">
        <v>6</v>
      </c>
      <c r="F601">
        <f>(FruitDMg!F601/FruitFW!F601)*100</f>
        <v>8.0215530903328069</v>
      </c>
    </row>
    <row r="602" spans="1:6" x14ac:dyDescent="0.25">
      <c r="A602" t="s">
        <v>14</v>
      </c>
      <c r="B602" s="7">
        <v>43150</v>
      </c>
      <c r="C602">
        <f t="shared" si="8"/>
        <v>2018</v>
      </c>
      <c r="E602" t="s">
        <v>6</v>
      </c>
      <c r="F602">
        <f>(FruitDMg!F602/FruitFW!F602)*100</f>
        <v>14.536549707602337</v>
      </c>
    </row>
    <row r="603" spans="1:6" x14ac:dyDescent="0.25">
      <c r="A603" t="s">
        <v>14</v>
      </c>
      <c r="B603" s="7">
        <v>43150</v>
      </c>
      <c r="C603">
        <f t="shared" si="8"/>
        <v>2018</v>
      </c>
      <c r="E603" t="s">
        <v>6</v>
      </c>
      <c r="F603">
        <f>(FruitDMg!F603/FruitFW!F603)*100</f>
        <v>12.741104294478529</v>
      </c>
    </row>
    <row r="604" spans="1:6" x14ac:dyDescent="0.25">
      <c r="A604" t="s">
        <v>14</v>
      </c>
      <c r="B604" s="7">
        <v>43151</v>
      </c>
      <c r="C604">
        <f t="shared" si="8"/>
        <v>2018</v>
      </c>
      <c r="E604" t="s">
        <v>6</v>
      </c>
      <c r="F604">
        <f>(FruitDMg!F604/FruitFW!F604)*100</f>
        <v>10.176363636363636</v>
      </c>
    </row>
    <row r="605" spans="1:6" x14ac:dyDescent="0.25">
      <c r="A605" t="s">
        <v>14</v>
      </c>
      <c r="B605" s="7">
        <v>43151</v>
      </c>
      <c r="C605">
        <f t="shared" si="8"/>
        <v>2018</v>
      </c>
      <c r="E605" t="s">
        <v>6</v>
      </c>
      <c r="F605">
        <f>(FruitDMg!F605/FruitFW!F605)*100</f>
        <v>13.088082901554404</v>
      </c>
    </row>
    <row r="606" spans="1:6" x14ac:dyDescent="0.25">
      <c r="A606" t="s">
        <v>14</v>
      </c>
      <c r="B606" s="7">
        <v>43164</v>
      </c>
      <c r="C606">
        <f t="shared" si="8"/>
        <v>2018</v>
      </c>
      <c r="E606" t="s">
        <v>6</v>
      </c>
      <c r="F606">
        <f>(FruitDMg!F606/FruitFW!F606)*100</f>
        <v>14.992636579572446</v>
      </c>
    </row>
    <row r="607" spans="1:6" x14ac:dyDescent="0.25">
      <c r="A607" t="s">
        <v>14</v>
      </c>
      <c r="B607" s="7">
        <v>43164</v>
      </c>
      <c r="C607">
        <f t="shared" si="8"/>
        <v>2018</v>
      </c>
      <c r="E607" t="s">
        <v>6</v>
      </c>
      <c r="F607">
        <f>(FruitDMg!F607/FruitFW!F607)*100</f>
        <v>14.934758155230595</v>
      </c>
    </row>
    <row r="608" spans="1:6" x14ac:dyDescent="0.25">
      <c r="A608" t="s">
        <v>14</v>
      </c>
      <c r="B608" s="7">
        <v>43165</v>
      </c>
      <c r="C608">
        <f t="shared" si="8"/>
        <v>2018</v>
      </c>
      <c r="E608" t="s">
        <v>6</v>
      </c>
      <c r="F608">
        <f>(FruitDMg!F608/FruitFW!F608)*100</f>
        <v>12.060748663101606</v>
      </c>
    </row>
    <row r="609" spans="1:6" x14ac:dyDescent="0.25">
      <c r="A609" t="s">
        <v>14</v>
      </c>
      <c r="B609" s="7">
        <v>43165</v>
      </c>
      <c r="C609">
        <f t="shared" si="8"/>
        <v>2018</v>
      </c>
      <c r="E609" t="s">
        <v>6</v>
      </c>
      <c r="F609">
        <f>(FruitDMg!F609/FruitFW!F609)*100</f>
        <v>15.156299659477867</v>
      </c>
    </row>
    <row r="610" spans="1:6" x14ac:dyDescent="0.25">
      <c r="A610" t="s">
        <v>14</v>
      </c>
      <c r="B610" s="7">
        <v>43178</v>
      </c>
      <c r="C610">
        <f t="shared" si="8"/>
        <v>2018</v>
      </c>
      <c r="E610" t="s">
        <v>6</v>
      </c>
      <c r="F610">
        <f>(FruitDMg!F610/FruitFW!F610)*100</f>
        <v>14.797043294614573</v>
      </c>
    </row>
    <row r="611" spans="1:6" x14ac:dyDescent="0.25">
      <c r="A611" t="s">
        <v>14</v>
      </c>
      <c r="B611" s="7">
        <v>43178</v>
      </c>
      <c r="C611">
        <f t="shared" si="8"/>
        <v>2018</v>
      </c>
      <c r="E611" t="s">
        <v>6</v>
      </c>
      <c r="F611">
        <f>(FruitDMg!F611/FruitFW!F611)*100</f>
        <v>16.985775862068966</v>
      </c>
    </row>
    <row r="612" spans="1:6" x14ac:dyDescent="0.25">
      <c r="A612" t="s">
        <v>14</v>
      </c>
      <c r="B612" s="7">
        <v>43179</v>
      </c>
      <c r="C612">
        <f t="shared" si="8"/>
        <v>2018</v>
      </c>
      <c r="E612" t="s">
        <v>6</v>
      </c>
      <c r="F612">
        <f>(FruitDMg!F612/FruitFW!F612)*100</f>
        <v>13.074800796812747</v>
      </c>
    </row>
    <row r="613" spans="1:6" x14ac:dyDescent="0.25">
      <c r="A613" t="s">
        <v>14</v>
      </c>
      <c r="B613" s="7">
        <v>43179</v>
      </c>
      <c r="C613">
        <f t="shared" si="8"/>
        <v>2018</v>
      </c>
      <c r="E613" t="s">
        <v>6</v>
      </c>
      <c r="F613">
        <f>(FruitDMg!F613/FruitFW!F613)*100</f>
        <v>15.825886143931259</v>
      </c>
    </row>
    <row r="614" spans="1:6" x14ac:dyDescent="0.25">
      <c r="A614" t="s">
        <v>14</v>
      </c>
      <c r="B614" s="7">
        <v>43194</v>
      </c>
      <c r="C614">
        <f t="shared" si="8"/>
        <v>2018</v>
      </c>
      <c r="E614" t="s">
        <v>6</v>
      </c>
      <c r="F614">
        <f>(FruitDMg!F614/FruitFW!F614)*100</f>
        <v>16.620560747663554</v>
      </c>
    </row>
    <row r="615" spans="1:6" x14ac:dyDescent="0.25">
      <c r="A615" t="s">
        <v>14</v>
      </c>
      <c r="B615" s="7">
        <v>43194</v>
      </c>
      <c r="C615">
        <f t="shared" ref="C615:C678" si="9">YEAR(B615)</f>
        <v>2018</v>
      </c>
      <c r="E615" t="s">
        <v>6</v>
      </c>
      <c r="F615">
        <f>(FruitDMg!F615/FruitFW!F615)*100</f>
        <v>17.813450292397665</v>
      </c>
    </row>
    <row r="616" spans="1:6" x14ac:dyDescent="0.25">
      <c r="A616" t="s">
        <v>14</v>
      </c>
      <c r="B616" s="7">
        <v>43195</v>
      </c>
      <c r="C616">
        <f t="shared" si="9"/>
        <v>2018</v>
      </c>
      <c r="E616" t="s">
        <v>6</v>
      </c>
      <c r="F616">
        <f>(FruitDMg!F616/FruitFW!F616)*100</f>
        <v>13.114804722979112</v>
      </c>
    </row>
    <row r="617" spans="1:6" x14ac:dyDescent="0.25">
      <c r="A617" t="s">
        <v>14</v>
      </c>
      <c r="B617" s="7">
        <v>43195</v>
      </c>
      <c r="C617">
        <f t="shared" si="9"/>
        <v>2018</v>
      </c>
      <c r="E617" t="s">
        <v>6</v>
      </c>
      <c r="F617">
        <f>(FruitDMg!F617/FruitFW!F617)*100</f>
        <v>16.886349848331651</v>
      </c>
    </row>
    <row r="618" spans="1:6" x14ac:dyDescent="0.25">
      <c r="A618" t="s">
        <v>14</v>
      </c>
      <c r="B618" s="7">
        <v>43200</v>
      </c>
      <c r="C618">
        <f t="shared" si="9"/>
        <v>2018</v>
      </c>
      <c r="E618" t="s">
        <v>6</v>
      </c>
      <c r="F618">
        <f>(FruitDMg!F618/FruitFW!F618)*100</f>
        <v>15.292715231788081</v>
      </c>
    </row>
    <row r="619" spans="1:6" x14ac:dyDescent="0.25">
      <c r="A619" t="s">
        <v>14</v>
      </c>
      <c r="B619" s="7">
        <v>43200</v>
      </c>
      <c r="C619">
        <f t="shared" si="9"/>
        <v>2018</v>
      </c>
      <c r="E619" t="s">
        <v>6</v>
      </c>
      <c r="F619">
        <f>(FruitDMg!F619/FruitFW!F619)*100</f>
        <v>18.262151394422308</v>
      </c>
    </row>
    <row r="620" spans="1:6" x14ac:dyDescent="0.25">
      <c r="A620" t="s">
        <v>14</v>
      </c>
      <c r="B620" s="7">
        <v>43201</v>
      </c>
      <c r="C620">
        <f t="shared" si="9"/>
        <v>2018</v>
      </c>
      <c r="E620" t="s">
        <v>6</v>
      </c>
      <c r="F620">
        <f>(FruitDMg!F620/FruitFW!F620)*100</f>
        <v>13.150447227191414</v>
      </c>
    </row>
    <row r="621" spans="1:6" x14ac:dyDescent="0.25">
      <c r="A621" t="s">
        <v>14</v>
      </c>
      <c r="B621" s="7">
        <v>43201</v>
      </c>
      <c r="C621">
        <f t="shared" si="9"/>
        <v>2018</v>
      </c>
      <c r="E621" t="s">
        <v>6</v>
      </c>
      <c r="F621">
        <f>(FruitDMg!F621/FruitFW!F621)*100</f>
        <v>17.708242303872893</v>
      </c>
    </row>
    <row r="622" spans="1:6" x14ac:dyDescent="0.25">
      <c r="A622" t="s">
        <v>14</v>
      </c>
      <c r="B622" s="7">
        <v>43206</v>
      </c>
      <c r="C622">
        <f t="shared" si="9"/>
        <v>2018</v>
      </c>
      <c r="E622" t="s">
        <v>6</v>
      </c>
      <c r="F622">
        <f>(FruitDMg!F622/FruitFW!F622)*100</f>
        <v>14.961608775137108</v>
      </c>
    </row>
    <row r="623" spans="1:6" x14ac:dyDescent="0.25">
      <c r="A623" t="s">
        <v>14</v>
      </c>
      <c r="B623" s="7">
        <v>43206</v>
      </c>
      <c r="C623">
        <f t="shared" si="9"/>
        <v>2018</v>
      </c>
      <c r="E623" t="s">
        <v>6</v>
      </c>
      <c r="F623">
        <f>(FruitDMg!F623/FruitFW!F623)*100</f>
        <v>18.478983382209186</v>
      </c>
    </row>
    <row r="624" spans="1:6" x14ac:dyDescent="0.25">
      <c r="A624" t="s">
        <v>14</v>
      </c>
      <c r="B624" s="7">
        <v>43209</v>
      </c>
      <c r="C624">
        <f t="shared" si="9"/>
        <v>2018</v>
      </c>
      <c r="E624" t="s">
        <v>6</v>
      </c>
      <c r="F624">
        <f>(FruitDMg!F624/FruitFW!F624)*100</f>
        <v>14.22679856115108</v>
      </c>
    </row>
    <row r="625" spans="1:6" x14ac:dyDescent="0.25">
      <c r="A625" t="s">
        <v>14</v>
      </c>
      <c r="B625" s="7">
        <v>43209</v>
      </c>
      <c r="C625">
        <f t="shared" si="9"/>
        <v>2018</v>
      </c>
      <c r="E625" t="s">
        <v>6</v>
      </c>
      <c r="F625">
        <f>(FruitDMg!F625/FruitFW!F625)*100</f>
        <v>18.365957446808512</v>
      </c>
    </row>
    <row r="626" spans="1:6" x14ac:dyDescent="0.25">
      <c r="A626" t="s">
        <v>14</v>
      </c>
      <c r="B626" s="7">
        <v>43215</v>
      </c>
      <c r="C626">
        <f t="shared" si="9"/>
        <v>2018</v>
      </c>
      <c r="E626" t="s">
        <v>6</v>
      </c>
      <c r="F626">
        <f>(FruitDMg!F626/FruitFW!F626)*100</f>
        <v>13.731818181818181</v>
      </c>
    </row>
    <row r="627" spans="1:6" x14ac:dyDescent="0.25">
      <c r="A627" t="s">
        <v>14</v>
      </c>
      <c r="B627" s="7">
        <v>43215</v>
      </c>
      <c r="C627">
        <f t="shared" si="9"/>
        <v>2018</v>
      </c>
      <c r="E627" t="s">
        <v>6</v>
      </c>
      <c r="F627">
        <f>(FruitDMg!F627/FruitFW!F627)*100</f>
        <v>17.506653426017881</v>
      </c>
    </row>
    <row r="628" spans="1:6" x14ac:dyDescent="0.25">
      <c r="A628" t="s">
        <v>14</v>
      </c>
      <c r="B628" s="7">
        <v>43215</v>
      </c>
      <c r="C628">
        <f t="shared" si="9"/>
        <v>2018</v>
      </c>
      <c r="E628" t="s">
        <v>6</v>
      </c>
      <c r="F628">
        <f>(FruitDMg!F628/FruitFW!F628)*100</f>
        <v>19.03220338983051</v>
      </c>
    </row>
    <row r="629" spans="1:6" x14ac:dyDescent="0.25">
      <c r="A629" t="s">
        <v>14</v>
      </c>
      <c r="B629" s="7">
        <v>43215</v>
      </c>
      <c r="C629">
        <f t="shared" si="9"/>
        <v>2018</v>
      </c>
      <c r="E629" t="s">
        <v>6</v>
      </c>
      <c r="F629">
        <f>(FruitDMg!F629/FruitFW!F629)*100</f>
        <v>16.506852791878174</v>
      </c>
    </row>
    <row r="630" spans="1:6" x14ac:dyDescent="0.25">
      <c r="A630" t="s">
        <v>14</v>
      </c>
      <c r="B630" s="7">
        <v>43221</v>
      </c>
      <c r="C630">
        <f t="shared" si="9"/>
        <v>2018</v>
      </c>
      <c r="E630" t="s">
        <v>6</v>
      </c>
      <c r="F630">
        <f>(FruitDMg!F630/FruitFW!F630)*100</f>
        <v>15.122085889570553</v>
      </c>
    </row>
    <row r="631" spans="1:6" x14ac:dyDescent="0.25">
      <c r="A631" t="s">
        <v>14</v>
      </c>
      <c r="B631" s="7">
        <v>43221</v>
      </c>
      <c r="C631">
        <f t="shared" si="9"/>
        <v>2018</v>
      </c>
      <c r="E631" t="s">
        <v>6</v>
      </c>
      <c r="F631">
        <f>(FruitDMg!F631/FruitFW!F631)*100</f>
        <v>17.279708826205642</v>
      </c>
    </row>
    <row r="632" spans="1:6" x14ac:dyDescent="0.25">
      <c r="A632" t="s">
        <v>14</v>
      </c>
      <c r="B632" s="7">
        <v>43221</v>
      </c>
      <c r="C632">
        <f t="shared" si="9"/>
        <v>2018</v>
      </c>
      <c r="E632" t="s">
        <v>6</v>
      </c>
      <c r="F632">
        <f>(FruitDMg!F632/FruitFW!F632)*100</f>
        <v>17.668706293706293</v>
      </c>
    </row>
    <row r="633" spans="1:6" x14ac:dyDescent="0.25">
      <c r="A633" t="s">
        <v>14</v>
      </c>
      <c r="B633" s="7">
        <v>43221</v>
      </c>
      <c r="C633">
        <f t="shared" si="9"/>
        <v>2018</v>
      </c>
      <c r="E633" t="s">
        <v>6</v>
      </c>
      <c r="F633">
        <f>(FruitDMg!F633/FruitFW!F633)*100</f>
        <v>17.445920941968037</v>
      </c>
    </row>
    <row r="634" spans="1:6" x14ac:dyDescent="0.25">
      <c r="A634" t="s">
        <v>14</v>
      </c>
      <c r="B634" s="7">
        <v>43234</v>
      </c>
      <c r="C634">
        <f t="shared" si="9"/>
        <v>2018</v>
      </c>
      <c r="E634" t="s">
        <v>6</v>
      </c>
      <c r="F634">
        <f>(FruitDMg!F634/FruitFW!F634)*100</f>
        <v>15.072139303482587</v>
      </c>
    </row>
    <row r="635" spans="1:6" x14ac:dyDescent="0.25">
      <c r="A635" t="s">
        <v>14</v>
      </c>
      <c r="B635" s="7">
        <v>43234</v>
      </c>
      <c r="C635">
        <f t="shared" si="9"/>
        <v>2018</v>
      </c>
      <c r="E635" t="s">
        <v>6</v>
      </c>
      <c r="F635">
        <f>(FruitDMg!F635/FruitFW!F635)*100</f>
        <v>19.354885844748861</v>
      </c>
    </row>
    <row r="636" spans="1:6" x14ac:dyDescent="0.25">
      <c r="A636" t="s">
        <v>14</v>
      </c>
      <c r="B636" s="7">
        <v>43235</v>
      </c>
      <c r="C636">
        <f t="shared" si="9"/>
        <v>2018</v>
      </c>
      <c r="E636" t="s">
        <v>6</v>
      </c>
      <c r="F636">
        <f>(FruitDMg!F636/FruitFW!F636)*100</f>
        <v>14.45945945945946</v>
      </c>
    </row>
    <row r="637" spans="1:6" x14ac:dyDescent="0.25">
      <c r="A637" t="s">
        <v>14</v>
      </c>
      <c r="B637" s="7">
        <v>43235</v>
      </c>
      <c r="C637">
        <f t="shared" si="9"/>
        <v>2018</v>
      </c>
      <c r="E637" t="s">
        <v>6</v>
      </c>
      <c r="F637">
        <f>(FruitDMg!F637/FruitFW!F637)*100</f>
        <v>19.288037383177567</v>
      </c>
    </row>
    <row r="638" spans="1:6" x14ac:dyDescent="0.25">
      <c r="A638" t="s">
        <v>14</v>
      </c>
      <c r="B638" s="7">
        <v>43248</v>
      </c>
      <c r="C638">
        <f t="shared" si="9"/>
        <v>2018</v>
      </c>
      <c r="E638" t="s">
        <v>6</v>
      </c>
      <c r="F638">
        <f>(FruitDMg!F638/FruitFW!F638)*100</f>
        <v>16.654202401372213</v>
      </c>
    </row>
    <row r="639" spans="1:6" x14ac:dyDescent="0.25">
      <c r="A639" t="s">
        <v>14</v>
      </c>
      <c r="B639" s="7">
        <v>43248</v>
      </c>
      <c r="C639">
        <f t="shared" si="9"/>
        <v>2018</v>
      </c>
      <c r="E639" t="s">
        <v>6</v>
      </c>
      <c r="F639">
        <f>(FruitDMg!F639/FruitFW!F639)*100</f>
        <v>19.247475642161199</v>
      </c>
    </row>
    <row r="640" spans="1:6" x14ac:dyDescent="0.25">
      <c r="A640" t="s">
        <v>14</v>
      </c>
      <c r="B640" s="7">
        <v>43249</v>
      </c>
      <c r="C640">
        <f t="shared" si="9"/>
        <v>2018</v>
      </c>
      <c r="E640" t="s">
        <v>6</v>
      </c>
      <c r="F640">
        <f>(FruitDMg!F640/FruitFW!F640)*100</f>
        <v>14.660287891617275</v>
      </c>
    </row>
    <row r="641" spans="1:6" x14ac:dyDescent="0.25">
      <c r="A641" t="s">
        <v>14</v>
      </c>
      <c r="B641" s="7">
        <v>43249</v>
      </c>
      <c r="C641">
        <f t="shared" si="9"/>
        <v>2018</v>
      </c>
      <c r="E641" t="s">
        <v>6</v>
      </c>
      <c r="F641">
        <f>(FruitDMg!F641/FruitFW!F641)*100</f>
        <v>20.172195589645256</v>
      </c>
    </row>
    <row r="642" spans="1:6" x14ac:dyDescent="0.25">
      <c r="A642" t="s">
        <v>14</v>
      </c>
      <c r="B642" s="7">
        <v>43479</v>
      </c>
      <c r="C642">
        <f t="shared" si="9"/>
        <v>2019</v>
      </c>
      <c r="E642" t="s">
        <v>6</v>
      </c>
      <c r="F642">
        <f>(FruitDMg!F642/FruitFW!F642)*100</f>
        <v>3.9390862944162439</v>
      </c>
    </row>
    <row r="643" spans="1:6" x14ac:dyDescent="0.25">
      <c r="A643" t="s">
        <v>14</v>
      </c>
      <c r="B643" s="7">
        <v>43479</v>
      </c>
      <c r="C643">
        <f t="shared" si="9"/>
        <v>2019</v>
      </c>
      <c r="E643" t="s">
        <v>6</v>
      </c>
      <c r="F643">
        <f>(FruitDMg!F643/FruitFW!F643)*100</f>
        <v>7.3491408934707918</v>
      </c>
    </row>
    <row r="644" spans="1:6" x14ac:dyDescent="0.25">
      <c r="A644" t="s">
        <v>14</v>
      </c>
      <c r="B644" s="7">
        <v>43479</v>
      </c>
      <c r="C644">
        <f t="shared" si="9"/>
        <v>2019</v>
      </c>
      <c r="E644" t="s">
        <v>6</v>
      </c>
      <c r="F644">
        <f>(FruitDMg!F644/FruitFW!F644)*100</f>
        <v>8.4678200692041532</v>
      </c>
    </row>
    <row r="645" spans="1:6" x14ac:dyDescent="0.25">
      <c r="A645" t="s">
        <v>14</v>
      </c>
      <c r="B645" s="7">
        <v>43479</v>
      </c>
      <c r="C645">
        <f t="shared" si="9"/>
        <v>2019</v>
      </c>
      <c r="E645" t="s">
        <v>6</v>
      </c>
      <c r="F645">
        <f>(FruitDMg!F645/FruitFW!F645)*100</f>
        <v>6.1164596273291911</v>
      </c>
    </row>
    <row r="646" spans="1:6" x14ac:dyDescent="0.25">
      <c r="A646" t="s">
        <v>14</v>
      </c>
      <c r="B646" s="7">
        <v>43514</v>
      </c>
      <c r="C646">
        <f t="shared" si="9"/>
        <v>2019</v>
      </c>
      <c r="E646" t="s">
        <v>6</v>
      </c>
      <c r="F646">
        <f>(FruitDMg!F646/FruitFW!F646)*100</f>
        <v>21.490693069306932</v>
      </c>
    </row>
    <row r="647" spans="1:6" x14ac:dyDescent="0.25">
      <c r="A647" t="s">
        <v>14</v>
      </c>
      <c r="B647" s="7">
        <v>43514</v>
      </c>
      <c r="C647">
        <f t="shared" si="9"/>
        <v>2019</v>
      </c>
      <c r="E647" t="s">
        <v>6</v>
      </c>
      <c r="F647">
        <f>(FruitDMg!F647/FruitFW!F647)*100</f>
        <v>13.427450980392159</v>
      </c>
    </row>
    <row r="648" spans="1:6" x14ac:dyDescent="0.25">
      <c r="A648" t="s">
        <v>14</v>
      </c>
      <c r="B648" s="7">
        <v>43514</v>
      </c>
      <c r="C648">
        <f t="shared" si="9"/>
        <v>2019</v>
      </c>
      <c r="E648" t="s">
        <v>6</v>
      </c>
      <c r="F648">
        <f>(FruitDMg!F648/FruitFW!F648)*100</f>
        <v>13.231542056074765</v>
      </c>
    </row>
    <row r="649" spans="1:6" x14ac:dyDescent="0.25">
      <c r="A649" t="s">
        <v>14</v>
      </c>
      <c r="B649" s="7">
        <v>43514</v>
      </c>
      <c r="C649">
        <f t="shared" si="9"/>
        <v>2019</v>
      </c>
      <c r="E649" t="s">
        <v>6</v>
      </c>
      <c r="F649">
        <f>(FruitDMg!F649/FruitFW!F649)*100</f>
        <v>11.309111617312073</v>
      </c>
    </row>
    <row r="650" spans="1:6" x14ac:dyDescent="0.25">
      <c r="A650" t="s">
        <v>14</v>
      </c>
      <c r="B650" s="7">
        <v>43528</v>
      </c>
      <c r="C650">
        <f t="shared" si="9"/>
        <v>2019</v>
      </c>
      <c r="E650" t="s">
        <v>6</v>
      </c>
      <c r="F650">
        <f>(FruitDMg!F650/FruitFW!F650)*100</f>
        <v>17.767881241565451</v>
      </c>
    </row>
    <row r="651" spans="1:6" x14ac:dyDescent="0.25">
      <c r="A651" t="s">
        <v>14</v>
      </c>
      <c r="B651" s="7">
        <v>43528</v>
      </c>
      <c r="C651">
        <f t="shared" si="9"/>
        <v>2019</v>
      </c>
      <c r="E651" t="s">
        <v>6</v>
      </c>
      <c r="F651">
        <f>(FruitDMg!F651/FruitFW!F651)*100</f>
        <v>11.899229074889869</v>
      </c>
    </row>
    <row r="652" spans="1:6" x14ac:dyDescent="0.25">
      <c r="A652" t="s">
        <v>14</v>
      </c>
      <c r="B652" s="7">
        <v>43529</v>
      </c>
      <c r="C652">
        <f t="shared" si="9"/>
        <v>2019</v>
      </c>
      <c r="E652" t="s">
        <v>6</v>
      </c>
      <c r="F652">
        <f>(FruitDMg!F652/FruitFW!F652)*100</f>
        <v>14.247874720357942</v>
      </c>
    </row>
    <row r="653" spans="1:6" x14ac:dyDescent="0.25">
      <c r="A653" t="s">
        <v>14</v>
      </c>
      <c r="B653" s="7">
        <v>43542</v>
      </c>
      <c r="C653">
        <f t="shared" si="9"/>
        <v>2019</v>
      </c>
      <c r="E653" t="s">
        <v>6</v>
      </c>
      <c r="F653">
        <f>(FruitDMg!F653/FruitFW!F653)*100</f>
        <v>21.109659863945581</v>
      </c>
    </row>
    <row r="654" spans="1:6" x14ac:dyDescent="0.25">
      <c r="A654" t="s">
        <v>14</v>
      </c>
      <c r="B654" s="7">
        <v>43542</v>
      </c>
      <c r="C654">
        <f t="shared" si="9"/>
        <v>2019</v>
      </c>
      <c r="E654" t="s">
        <v>6</v>
      </c>
      <c r="F654">
        <f>(FruitDMg!F654/FruitFW!F654)*100</f>
        <v>15.014081145584726</v>
      </c>
    </row>
    <row r="655" spans="1:6" x14ac:dyDescent="0.25">
      <c r="A655" t="s">
        <v>14</v>
      </c>
      <c r="B655" s="7">
        <v>43543</v>
      </c>
      <c r="C655">
        <f t="shared" si="9"/>
        <v>2019</v>
      </c>
      <c r="E655" t="s">
        <v>6</v>
      </c>
      <c r="F655">
        <f>(FruitDMg!F655/FruitFW!F655)*100</f>
        <v>15.511201629327903</v>
      </c>
    </row>
    <row r="656" spans="1:6" x14ac:dyDescent="0.25">
      <c r="A656" t="s">
        <v>14</v>
      </c>
      <c r="B656" s="7">
        <v>43557</v>
      </c>
      <c r="C656">
        <f t="shared" si="9"/>
        <v>2019</v>
      </c>
      <c r="E656" t="s">
        <v>6</v>
      </c>
      <c r="F656">
        <f>(FruitDMg!F656/FruitFW!F656)*100</f>
        <v>19.844186046511631</v>
      </c>
    </row>
    <row r="657" spans="1:6" x14ac:dyDescent="0.25">
      <c r="A657" t="s">
        <v>14</v>
      </c>
      <c r="B657" s="7">
        <v>43557</v>
      </c>
      <c r="C657">
        <f t="shared" si="9"/>
        <v>2019</v>
      </c>
      <c r="E657" t="s">
        <v>6</v>
      </c>
      <c r="F657">
        <f>(FruitDMg!F657/FruitFW!F657)*100</f>
        <v>18.260504201680671</v>
      </c>
    </row>
    <row r="658" spans="1:6" x14ac:dyDescent="0.25">
      <c r="A658" t="s">
        <v>14</v>
      </c>
      <c r="B658" s="7">
        <v>43557</v>
      </c>
      <c r="C658">
        <f t="shared" si="9"/>
        <v>2019</v>
      </c>
      <c r="E658" t="s">
        <v>6</v>
      </c>
      <c r="F658">
        <f>(FruitDMg!F658/FruitFW!F658)*100</f>
        <v>17.704468718967231</v>
      </c>
    </row>
    <row r="659" spans="1:6" x14ac:dyDescent="0.25">
      <c r="A659" t="s">
        <v>14</v>
      </c>
      <c r="B659" s="7">
        <v>43557</v>
      </c>
      <c r="C659">
        <f t="shared" si="9"/>
        <v>2019</v>
      </c>
      <c r="E659" t="s">
        <v>6</v>
      </c>
      <c r="F659">
        <f>(FruitDMg!F659/FruitFW!F659)*100</f>
        <v>13.256132075471697</v>
      </c>
    </row>
    <row r="660" spans="1:6" x14ac:dyDescent="0.25">
      <c r="A660" t="s">
        <v>14</v>
      </c>
      <c r="B660" s="7">
        <v>43564</v>
      </c>
      <c r="C660">
        <f t="shared" si="9"/>
        <v>2019</v>
      </c>
      <c r="E660" t="s">
        <v>6</v>
      </c>
      <c r="F660">
        <f>(FruitDMg!F660/FruitFW!F660)*100</f>
        <v>15.747206703910615</v>
      </c>
    </row>
    <row r="661" spans="1:6" x14ac:dyDescent="0.25">
      <c r="A661" t="s">
        <v>14</v>
      </c>
      <c r="B661" s="7">
        <v>43564</v>
      </c>
      <c r="C661">
        <f t="shared" si="9"/>
        <v>2019</v>
      </c>
      <c r="E661" t="s">
        <v>6</v>
      </c>
      <c r="F661">
        <f>(FruitDMg!F661/FruitFW!F661)*100</f>
        <v>20.1063687150838</v>
      </c>
    </row>
    <row r="662" spans="1:6" x14ac:dyDescent="0.25">
      <c r="A662" t="s">
        <v>14</v>
      </c>
      <c r="B662" s="7">
        <v>43564</v>
      </c>
      <c r="C662">
        <f t="shared" si="9"/>
        <v>2019</v>
      </c>
      <c r="E662" t="s">
        <v>6</v>
      </c>
      <c r="F662">
        <f>(FruitDMg!F662/FruitFW!F662)*100</f>
        <v>17.971707317073172</v>
      </c>
    </row>
    <row r="663" spans="1:6" x14ac:dyDescent="0.25">
      <c r="A663" t="s">
        <v>14</v>
      </c>
      <c r="B663" s="7">
        <v>43564</v>
      </c>
      <c r="C663">
        <f t="shared" si="9"/>
        <v>2019</v>
      </c>
      <c r="E663" t="s">
        <v>6</v>
      </c>
      <c r="F663">
        <f>(FruitDMg!F663/FruitFW!F663)*100</f>
        <v>13.922916666666666</v>
      </c>
    </row>
    <row r="664" spans="1:6" x14ac:dyDescent="0.25">
      <c r="A664" t="s">
        <v>14</v>
      </c>
      <c r="B664" s="7">
        <v>43570</v>
      </c>
      <c r="C664">
        <f t="shared" si="9"/>
        <v>2019</v>
      </c>
      <c r="E664" t="s">
        <v>6</v>
      </c>
      <c r="F664">
        <f>(FruitDMg!F664/FruitFW!F664)*100</f>
        <v>15.899449541284405</v>
      </c>
    </row>
    <row r="665" spans="1:6" x14ac:dyDescent="0.25">
      <c r="A665" t="s">
        <v>14</v>
      </c>
      <c r="B665" s="7">
        <v>43570</v>
      </c>
      <c r="C665">
        <f t="shared" si="9"/>
        <v>2019</v>
      </c>
      <c r="E665" t="s">
        <v>6</v>
      </c>
      <c r="F665">
        <f>(FruitDMg!F665/FruitFW!F665)*100</f>
        <v>19.126193001060443</v>
      </c>
    </row>
    <row r="666" spans="1:6" x14ac:dyDescent="0.25">
      <c r="A666" t="s">
        <v>14</v>
      </c>
      <c r="B666" s="7">
        <v>43570</v>
      </c>
      <c r="C666">
        <f t="shared" si="9"/>
        <v>2019</v>
      </c>
      <c r="E666" t="s">
        <v>6</v>
      </c>
      <c r="F666">
        <f>(FruitDMg!F666/FruitFW!F666)*100</f>
        <v>18.758237547892719</v>
      </c>
    </row>
    <row r="667" spans="1:6" x14ac:dyDescent="0.25">
      <c r="A667" t="s">
        <v>14</v>
      </c>
      <c r="B667" s="7">
        <v>43570</v>
      </c>
      <c r="C667">
        <f t="shared" si="9"/>
        <v>2019</v>
      </c>
      <c r="E667" t="s">
        <v>6</v>
      </c>
      <c r="F667">
        <f>(FruitDMg!F667/FruitFW!F667)*100</f>
        <v>14.334814814814814</v>
      </c>
    </row>
    <row r="668" spans="1:6" x14ac:dyDescent="0.25">
      <c r="A668" t="s">
        <v>14</v>
      </c>
      <c r="B668" s="7">
        <v>43577</v>
      </c>
      <c r="C668">
        <f t="shared" si="9"/>
        <v>2019</v>
      </c>
      <c r="E668" t="s">
        <v>6</v>
      </c>
      <c r="F668">
        <f>(FruitDMg!F668/FruitFW!F668)*100</f>
        <v>14.864310954063603</v>
      </c>
    </row>
    <row r="669" spans="1:6" x14ac:dyDescent="0.25">
      <c r="A669" t="s">
        <v>14</v>
      </c>
      <c r="B669" s="7">
        <v>43577</v>
      </c>
      <c r="C669">
        <f t="shared" si="9"/>
        <v>2019</v>
      </c>
      <c r="E669" t="s">
        <v>6</v>
      </c>
      <c r="F669">
        <f>(FruitDMg!F669/FruitFW!F669)*100</f>
        <v>19.665254237288135</v>
      </c>
    </row>
    <row r="670" spans="1:6" x14ac:dyDescent="0.25">
      <c r="A670" t="s">
        <v>14</v>
      </c>
      <c r="B670" s="7">
        <v>43577</v>
      </c>
      <c r="C670">
        <f t="shared" si="9"/>
        <v>2019</v>
      </c>
      <c r="E670" t="s">
        <v>6</v>
      </c>
      <c r="F670">
        <f>(FruitDMg!F670/FruitFW!F670)*100</f>
        <v>18.468421052631577</v>
      </c>
    </row>
    <row r="671" spans="1:6" x14ac:dyDescent="0.25">
      <c r="A671" t="s">
        <v>14</v>
      </c>
      <c r="B671" s="7">
        <v>43577</v>
      </c>
      <c r="C671">
        <f t="shared" si="9"/>
        <v>2019</v>
      </c>
      <c r="E671" t="s">
        <v>6</v>
      </c>
      <c r="F671">
        <f>(FruitDMg!F671/FruitFW!F671)*100</f>
        <v>14.013574660633484</v>
      </c>
    </row>
    <row r="672" spans="1:6" x14ac:dyDescent="0.25">
      <c r="A672" t="s">
        <v>14</v>
      </c>
      <c r="B672" s="7">
        <v>43584</v>
      </c>
      <c r="C672">
        <f t="shared" si="9"/>
        <v>2019</v>
      </c>
      <c r="E672" t="s">
        <v>6</v>
      </c>
      <c r="F672">
        <f>(FruitDMg!F672/FruitFW!F672)*100</f>
        <v>14.384389348025708</v>
      </c>
    </row>
    <row r="673" spans="1:6" x14ac:dyDescent="0.25">
      <c r="A673" t="s">
        <v>14</v>
      </c>
      <c r="B673" s="7">
        <v>43584</v>
      </c>
      <c r="C673">
        <f t="shared" si="9"/>
        <v>2019</v>
      </c>
      <c r="E673" t="s">
        <v>6</v>
      </c>
      <c r="F673">
        <f>(FruitDMg!F673/FruitFW!F673)*100</f>
        <v>17.522631578947369</v>
      </c>
    </row>
    <row r="674" spans="1:6" x14ac:dyDescent="0.25">
      <c r="A674" t="s">
        <v>14</v>
      </c>
      <c r="B674" s="7">
        <v>43584</v>
      </c>
      <c r="C674">
        <f t="shared" si="9"/>
        <v>2019</v>
      </c>
      <c r="E674" t="s">
        <v>6</v>
      </c>
      <c r="F674">
        <f>(FruitDMg!F674/FruitFW!F674)*100</f>
        <v>19.194882729211088</v>
      </c>
    </row>
    <row r="675" spans="1:6" x14ac:dyDescent="0.25">
      <c r="A675" t="s">
        <v>14</v>
      </c>
      <c r="B675" s="7">
        <v>43584</v>
      </c>
      <c r="C675">
        <f t="shared" si="9"/>
        <v>2019</v>
      </c>
      <c r="E675" t="s">
        <v>6</v>
      </c>
      <c r="F675">
        <f>(FruitDMg!F675/FruitFW!F675)*100</f>
        <v>14.392284263959393</v>
      </c>
    </row>
    <row r="676" spans="1:6" x14ac:dyDescent="0.25">
      <c r="A676" t="s">
        <v>14</v>
      </c>
      <c r="B676" s="7">
        <v>43612</v>
      </c>
      <c r="C676">
        <f t="shared" si="9"/>
        <v>2019</v>
      </c>
      <c r="E676" t="s">
        <v>6</v>
      </c>
      <c r="F676">
        <f>(FruitDMg!F676/FruitFW!F676)*100</f>
        <v>20.858064516129033</v>
      </c>
    </row>
    <row r="677" spans="1:6" x14ac:dyDescent="0.25">
      <c r="A677" t="s">
        <v>14</v>
      </c>
      <c r="B677" s="7">
        <v>43612</v>
      </c>
      <c r="C677">
        <f t="shared" si="9"/>
        <v>2019</v>
      </c>
      <c r="E677" t="s">
        <v>6</v>
      </c>
      <c r="F677">
        <f>(FruitDMg!F677/FruitFW!F677)*100</f>
        <v>19.979508196721309</v>
      </c>
    </row>
    <row r="678" spans="1:6" x14ac:dyDescent="0.25">
      <c r="A678" t="s">
        <v>14</v>
      </c>
      <c r="B678" s="7">
        <v>43613</v>
      </c>
      <c r="C678">
        <f t="shared" si="9"/>
        <v>2019</v>
      </c>
      <c r="E678" t="s">
        <v>6</v>
      </c>
      <c r="F678">
        <f>(FruitDMg!F678/FruitFW!F678)*100</f>
        <v>15.773584905660378</v>
      </c>
    </row>
    <row r="679" spans="1:6" x14ac:dyDescent="0.25">
      <c r="A679" t="s">
        <v>14</v>
      </c>
      <c r="B679" s="7">
        <v>43613</v>
      </c>
      <c r="C679">
        <f t="shared" ref="C679:C742" si="10">YEAR(B679)</f>
        <v>2019</v>
      </c>
      <c r="E679" t="s">
        <v>6</v>
      </c>
      <c r="F679">
        <f>(FruitDMg!F679/FruitFW!F679)*100</f>
        <v>20.695384615384615</v>
      </c>
    </row>
    <row r="680" spans="1:6" x14ac:dyDescent="0.25">
      <c r="A680" t="s">
        <v>14</v>
      </c>
      <c r="B680" s="7">
        <v>43850</v>
      </c>
      <c r="C680">
        <f t="shared" si="10"/>
        <v>2020</v>
      </c>
      <c r="E680" t="s">
        <v>6</v>
      </c>
      <c r="F680">
        <f>(FruitDMg!F680/FruitFW!F680)*100</f>
        <v>4.66622009569378</v>
      </c>
    </row>
    <row r="681" spans="1:6" x14ac:dyDescent="0.25">
      <c r="A681" t="s">
        <v>14</v>
      </c>
      <c r="B681" s="7">
        <v>43850</v>
      </c>
      <c r="C681">
        <f t="shared" si="10"/>
        <v>2020</v>
      </c>
      <c r="E681" t="s">
        <v>6</v>
      </c>
      <c r="F681">
        <f>(FruitDMg!F681/FruitFW!F681)*100</f>
        <v>5.3410526315789468</v>
      </c>
    </row>
    <row r="682" spans="1:6" x14ac:dyDescent="0.25">
      <c r="A682" t="s">
        <v>14</v>
      </c>
      <c r="B682" s="7">
        <v>43851</v>
      </c>
      <c r="C682">
        <f t="shared" si="10"/>
        <v>2020</v>
      </c>
      <c r="E682" t="s">
        <v>6</v>
      </c>
      <c r="F682">
        <f>(FruitDMg!F682/FruitFW!F682)*100</f>
        <v>11.709700176366841</v>
      </c>
    </row>
    <row r="683" spans="1:6" x14ac:dyDescent="0.25">
      <c r="A683" t="s">
        <v>14</v>
      </c>
      <c r="B683" s="7">
        <v>43878</v>
      </c>
      <c r="C683">
        <f t="shared" si="10"/>
        <v>2020</v>
      </c>
      <c r="E683" t="s">
        <v>6</v>
      </c>
      <c r="F683">
        <f>(FruitDMg!F683/FruitFW!F683)*100</f>
        <v>14.258050847457628</v>
      </c>
    </row>
    <row r="684" spans="1:6" x14ac:dyDescent="0.25">
      <c r="A684" t="s">
        <v>14</v>
      </c>
      <c r="B684" s="7">
        <v>43878</v>
      </c>
      <c r="C684">
        <f t="shared" si="10"/>
        <v>2020</v>
      </c>
      <c r="E684" t="s">
        <v>6</v>
      </c>
      <c r="F684">
        <f>(FruitDMg!F684/FruitFW!F684)*100</f>
        <v>15.064879356568364</v>
      </c>
    </row>
    <row r="685" spans="1:6" x14ac:dyDescent="0.25">
      <c r="A685" t="s">
        <v>14</v>
      </c>
      <c r="B685" s="7">
        <v>43880</v>
      </c>
      <c r="C685">
        <f t="shared" si="10"/>
        <v>2020</v>
      </c>
      <c r="E685" t="s">
        <v>6</v>
      </c>
      <c r="F685">
        <f>(FruitDMg!F685/FruitFW!F685)*100</f>
        <v>15.278656126482213</v>
      </c>
    </row>
    <row r="686" spans="1:6" x14ac:dyDescent="0.25">
      <c r="A686" t="s">
        <v>14</v>
      </c>
      <c r="B686" s="7">
        <v>43892</v>
      </c>
      <c r="C686">
        <f t="shared" si="10"/>
        <v>2020</v>
      </c>
      <c r="E686" t="s">
        <v>6</v>
      </c>
      <c r="F686">
        <f>(FruitDMg!F686/FruitFW!F686)*100</f>
        <v>13.253872437357634</v>
      </c>
    </row>
    <row r="687" spans="1:6" x14ac:dyDescent="0.25">
      <c r="A687" t="s">
        <v>14</v>
      </c>
      <c r="B687" s="7">
        <v>43892</v>
      </c>
      <c r="C687">
        <f t="shared" si="10"/>
        <v>2020</v>
      </c>
      <c r="E687" t="s">
        <v>6</v>
      </c>
      <c r="F687">
        <f>(FruitDMg!F687/FruitFW!F687)*100</f>
        <v>17.311059371362049</v>
      </c>
    </row>
    <row r="688" spans="1:6" x14ac:dyDescent="0.25">
      <c r="A688" t="s">
        <v>14</v>
      </c>
      <c r="B688" s="7">
        <v>43894</v>
      </c>
      <c r="C688">
        <f t="shared" si="10"/>
        <v>2020</v>
      </c>
      <c r="E688" t="s">
        <v>6</v>
      </c>
      <c r="F688">
        <f>(FruitDMg!F688/FruitFW!F688)*100</f>
        <v>17.055057618437903</v>
      </c>
    </row>
    <row r="689" spans="1:6" x14ac:dyDescent="0.25">
      <c r="A689" t="s">
        <v>14</v>
      </c>
      <c r="B689" s="7">
        <v>43906</v>
      </c>
      <c r="C689">
        <f t="shared" si="10"/>
        <v>2020</v>
      </c>
      <c r="E689" t="s">
        <v>6</v>
      </c>
      <c r="F689">
        <f>(FruitDMg!F689/FruitFW!F689)*100</f>
        <v>13.515030060120239</v>
      </c>
    </row>
    <row r="690" spans="1:6" x14ac:dyDescent="0.25">
      <c r="A690" t="s">
        <v>14</v>
      </c>
      <c r="B690" s="7">
        <v>43906</v>
      </c>
      <c r="C690">
        <f t="shared" si="10"/>
        <v>2020</v>
      </c>
      <c r="E690" t="s">
        <v>6</v>
      </c>
      <c r="F690">
        <f>(FruitDMg!F690/FruitFW!F690)*100</f>
        <v>18.819459459459463</v>
      </c>
    </row>
    <row r="691" spans="1:6" x14ac:dyDescent="0.25">
      <c r="A691" t="s">
        <v>14</v>
      </c>
      <c r="B691" s="7">
        <v>43907</v>
      </c>
      <c r="C691">
        <f t="shared" si="10"/>
        <v>2020</v>
      </c>
      <c r="E691" t="s">
        <v>6</v>
      </c>
      <c r="F691">
        <f>(FruitDMg!F691/FruitFW!F691)*100</f>
        <v>18.249822064056943</v>
      </c>
    </row>
    <row r="692" spans="1:6" x14ac:dyDescent="0.25">
      <c r="A692" t="s">
        <v>14</v>
      </c>
      <c r="B692" s="7">
        <v>43950</v>
      </c>
      <c r="C692">
        <f t="shared" si="10"/>
        <v>2020</v>
      </c>
      <c r="E692" t="s">
        <v>6</v>
      </c>
      <c r="F692">
        <f>(FruitDMg!F692/FruitFW!F692)*100</f>
        <v>16.085477941176467</v>
      </c>
    </row>
    <row r="693" spans="1:6" x14ac:dyDescent="0.25">
      <c r="A693" t="s">
        <v>14</v>
      </c>
      <c r="B693" s="7">
        <v>43950</v>
      </c>
      <c r="C693">
        <f t="shared" si="10"/>
        <v>2020</v>
      </c>
      <c r="E693" t="s">
        <v>6</v>
      </c>
      <c r="F693">
        <f>(FruitDMg!F693/FruitFW!F693)*100</f>
        <v>22.499999999999996</v>
      </c>
    </row>
    <row r="694" spans="1:6" x14ac:dyDescent="0.25">
      <c r="A694" t="s">
        <v>14</v>
      </c>
      <c r="B694" s="7">
        <v>43950</v>
      </c>
      <c r="C694">
        <f t="shared" si="10"/>
        <v>2020</v>
      </c>
      <c r="E694" t="s">
        <v>6</v>
      </c>
      <c r="F694">
        <f>(FruitDMg!F694/FruitFW!F694)*100</f>
        <v>20.701479915433403</v>
      </c>
    </row>
    <row r="695" spans="1:6" x14ac:dyDescent="0.25">
      <c r="A695" t="s">
        <v>14</v>
      </c>
      <c r="B695" s="7">
        <v>43963</v>
      </c>
      <c r="C695">
        <f t="shared" si="10"/>
        <v>2020</v>
      </c>
      <c r="E695" t="s">
        <v>6</v>
      </c>
      <c r="F695">
        <f>(FruitDMg!F695/FruitFW!F695)*100</f>
        <v>19.086666666666662</v>
      </c>
    </row>
    <row r="696" spans="1:6" x14ac:dyDescent="0.25">
      <c r="A696" t="s">
        <v>14</v>
      </c>
      <c r="B696" s="7">
        <v>43964</v>
      </c>
      <c r="C696">
        <f t="shared" si="10"/>
        <v>2020</v>
      </c>
      <c r="E696" t="s">
        <v>6</v>
      </c>
      <c r="F696">
        <f>(FruitDMg!F696/FruitFW!F696)*100</f>
        <v>16.491519434628973</v>
      </c>
    </row>
    <row r="697" spans="1:6" x14ac:dyDescent="0.25">
      <c r="A697" t="s">
        <v>14</v>
      </c>
      <c r="B697" s="7">
        <v>43964</v>
      </c>
      <c r="C697">
        <f t="shared" si="10"/>
        <v>2020</v>
      </c>
      <c r="E697" t="s">
        <v>6</v>
      </c>
      <c r="F697">
        <f>(FruitDMg!F697/FruitFW!F697)*100</f>
        <v>17.229013854930724</v>
      </c>
    </row>
    <row r="698" spans="1:6" x14ac:dyDescent="0.25">
      <c r="A698" t="s">
        <v>14</v>
      </c>
      <c r="B698" s="7">
        <v>43978</v>
      </c>
      <c r="C698">
        <f t="shared" si="10"/>
        <v>2020</v>
      </c>
      <c r="E698" t="s">
        <v>6</v>
      </c>
      <c r="F698">
        <f>(FruitDMg!F698/FruitFW!F698)*100</f>
        <v>17.545820745216513</v>
      </c>
    </row>
    <row r="699" spans="1:6" x14ac:dyDescent="0.25">
      <c r="A699" t="s">
        <v>14</v>
      </c>
      <c r="B699" s="7">
        <v>43978</v>
      </c>
      <c r="C699">
        <f t="shared" si="10"/>
        <v>2020</v>
      </c>
      <c r="E699" t="s">
        <v>6</v>
      </c>
      <c r="F699">
        <f>(FruitDMg!F699/FruitFW!F699)*100</f>
        <v>17.431622516556288</v>
      </c>
    </row>
    <row r="700" spans="1:6" x14ac:dyDescent="0.25">
      <c r="A700" t="s">
        <v>14</v>
      </c>
      <c r="B700" s="7">
        <v>44223</v>
      </c>
      <c r="C700">
        <f t="shared" si="10"/>
        <v>2021</v>
      </c>
      <c r="E700" t="s">
        <v>6</v>
      </c>
      <c r="F700">
        <f>(FruitDMg!F700/FruitFW!F700)*100</f>
        <v>7.5589011681920564</v>
      </c>
    </row>
    <row r="701" spans="1:6" x14ac:dyDescent="0.25">
      <c r="A701" t="s">
        <v>14</v>
      </c>
      <c r="B701" s="7">
        <v>44223</v>
      </c>
      <c r="C701">
        <f t="shared" si="10"/>
        <v>2021</v>
      </c>
      <c r="E701" t="s">
        <v>6</v>
      </c>
      <c r="F701">
        <f>(FruitDMg!F701/FruitFW!F701)*100</f>
        <v>4.6943397652804499</v>
      </c>
    </row>
    <row r="702" spans="1:6" x14ac:dyDescent="0.25">
      <c r="A702" t="s">
        <v>14</v>
      </c>
      <c r="B702" s="7">
        <v>44224</v>
      </c>
      <c r="C702">
        <f t="shared" si="10"/>
        <v>2021</v>
      </c>
      <c r="E702" t="s">
        <v>6</v>
      </c>
      <c r="F702">
        <f>(FruitDMg!F702/FruitFW!F702)*100</f>
        <v>8.3585931079804414</v>
      </c>
    </row>
    <row r="703" spans="1:6" x14ac:dyDescent="0.25">
      <c r="A703" t="s">
        <v>14</v>
      </c>
      <c r="B703" s="7">
        <v>44244</v>
      </c>
      <c r="C703">
        <f t="shared" si="10"/>
        <v>2021</v>
      </c>
      <c r="E703" t="s">
        <v>6</v>
      </c>
      <c r="F703">
        <f>(FruitDMg!F703/FruitFW!F703)*100</f>
        <v>14.60947470652895</v>
      </c>
    </row>
    <row r="704" spans="1:6" x14ac:dyDescent="0.25">
      <c r="A704" t="s">
        <v>14</v>
      </c>
      <c r="B704" s="7">
        <v>44245</v>
      </c>
      <c r="C704">
        <f t="shared" si="10"/>
        <v>2021</v>
      </c>
      <c r="E704" t="s">
        <v>6</v>
      </c>
      <c r="F704">
        <f>(FruitDMg!F704/FruitFW!F704)*100</f>
        <v>13.954951991615323</v>
      </c>
    </row>
    <row r="705" spans="1:6" x14ac:dyDescent="0.25">
      <c r="A705" t="s">
        <v>14</v>
      </c>
      <c r="B705" s="7">
        <v>44245</v>
      </c>
      <c r="C705">
        <f t="shared" si="10"/>
        <v>2021</v>
      </c>
      <c r="E705" t="s">
        <v>6</v>
      </c>
      <c r="F705">
        <f>(FruitDMg!F705/FruitFW!F705)*100</f>
        <v>11.47358897149172</v>
      </c>
    </row>
    <row r="706" spans="1:6" x14ac:dyDescent="0.25">
      <c r="A706" t="s">
        <v>14</v>
      </c>
      <c r="B706" s="7">
        <v>44258</v>
      </c>
      <c r="C706">
        <f t="shared" si="10"/>
        <v>2021</v>
      </c>
      <c r="E706" t="s">
        <v>6</v>
      </c>
      <c r="F706">
        <f>(FruitDMg!F706/FruitFW!F706)*100</f>
        <v>16.706848929775177</v>
      </c>
    </row>
    <row r="707" spans="1:6" x14ac:dyDescent="0.25">
      <c r="A707" t="s">
        <v>14</v>
      </c>
      <c r="B707" s="7">
        <v>44258</v>
      </c>
      <c r="C707">
        <f t="shared" si="10"/>
        <v>2021</v>
      </c>
      <c r="E707" t="s">
        <v>6</v>
      </c>
      <c r="F707">
        <f>(FruitDMg!F707/FruitFW!F707)*100</f>
        <v>19.072721888242729</v>
      </c>
    </row>
    <row r="708" spans="1:6" x14ac:dyDescent="0.25">
      <c r="A708" t="s">
        <v>14</v>
      </c>
      <c r="B708" s="7">
        <v>44258</v>
      </c>
      <c r="C708">
        <f t="shared" si="10"/>
        <v>2021</v>
      </c>
      <c r="E708" t="s">
        <v>6</v>
      </c>
      <c r="F708">
        <f>(FruitDMg!F708/FruitFW!F708)*100</f>
        <v>14.151342109183387</v>
      </c>
    </row>
    <row r="709" spans="1:6" x14ac:dyDescent="0.25">
      <c r="A709" t="s">
        <v>14</v>
      </c>
      <c r="B709" s="7">
        <v>44272</v>
      </c>
      <c r="C709">
        <f t="shared" si="10"/>
        <v>2021</v>
      </c>
      <c r="E709" t="s">
        <v>6</v>
      </c>
      <c r="F709">
        <f>(FruitDMg!F709/FruitFW!F709)*100</f>
        <v>15.104635559609243</v>
      </c>
    </row>
    <row r="710" spans="1:6" x14ac:dyDescent="0.25">
      <c r="A710" t="s">
        <v>14</v>
      </c>
      <c r="B710" s="7">
        <v>44272</v>
      </c>
      <c r="C710">
        <f t="shared" si="10"/>
        <v>2021</v>
      </c>
      <c r="E710" t="s">
        <v>6</v>
      </c>
      <c r="F710">
        <f>(FruitDMg!F710/FruitFW!F710)*100</f>
        <v>20.978719120356907</v>
      </c>
    </row>
    <row r="711" spans="1:6" x14ac:dyDescent="0.25">
      <c r="A711" t="s">
        <v>14</v>
      </c>
      <c r="B711" s="7">
        <v>44272</v>
      </c>
      <c r="C711">
        <f t="shared" si="10"/>
        <v>2021</v>
      </c>
      <c r="E711" t="s">
        <v>6</v>
      </c>
      <c r="F711">
        <f>(FruitDMg!F711/FruitFW!F711)*100</f>
        <v>16.885029626892418</v>
      </c>
    </row>
    <row r="712" spans="1:6" x14ac:dyDescent="0.25">
      <c r="A712" t="s">
        <v>14</v>
      </c>
      <c r="B712" s="7">
        <v>44286</v>
      </c>
      <c r="C712">
        <f t="shared" si="10"/>
        <v>2021</v>
      </c>
      <c r="E712" t="s">
        <v>6</v>
      </c>
      <c r="F712">
        <f>(FruitDMg!F712/FruitFW!F712)*100</f>
        <v>18.577450891269521</v>
      </c>
    </row>
    <row r="713" spans="1:6" x14ac:dyDescent="0.25">
      <c r="A713" t="s">
        <v>14</v>
      </c>
      <c r="B713" s="7">
        <v>44287</v>
      </c>
      <c r="C713">
        <f t="shared" si="10"/>
        <v>2021</v>
      </c>
      <c r="E713" t="s">
        <v>6</v>
      </c>
      <c r="F713">
        <f>(FruitDMg!F713/FruitFW!F713)*100</f>
        <v>17.5436209349126</v>
      </c>
    </row>
    <row r="714" spans="1:6" x14ac:dyDescent="0.25">
      <c r="A714" t="s">
        <v>14</v>
      </c>
      <c r="B714" s="7">
        <v>44287</v>
      </c>
      <c r="C714">
        <f t="shared" si="10"/>
        <v>2021</v>
      </c>
      <c r="E714" t="s">
        <v>6</v>
      </c>
      <c r="F714">
        <f>(FruitDMg!F714/FruitFW!F714)*100</f>
        <v>15.261805630066863</v>
      </c>
    </row>
    <row r="715" spans="1:6" x14ac:dyDescent="0.25">
      <c r="A715" t="s">
        <v>14</v>
      </c>
      <c r="B715" s="7">
        <v>44300</v>
      </c>
      <c r="C715">
        <f t="shared" si="10"/>
        <v>2021</v>
      </c>
      <c r="E715" t="s">
        <v>6</v>
      </c>
      <c r="F715">
        <f>(FruitDMg!F715/FruitFW!F715)*100</f>
        <v>19.597722336014424</v>
      </c>
    </row>
    <row r="716" spans="1:6" x14ac:dyDescent="0.25">
      <c r="A716" t="s">
        <v>14</v>
      </c>
      <c r="B716" s="7">
        <v>44301</v>
      </c>
      <c r="C716">
        <f t="shared" si="10"/>
        <v>2021</v>
      </c>
      <c r="E716" t="s">
        <v>6</v>
      </c>
      <c r="F716">
        <f>(FruitDMg!F716/FruitFW!F716)*100</f>
        <v>18.568593698922566</v>
      </c>
    </row>
    <row r="717" spans="1:6" x14ac:dyDescent="0.25">
      <c r="A717" t="s">
        <v>14</v>
      </c>
      <c r="B717" s="7">
        <v>44301</v>
      </c>
      <c r="C717">
        <f t="shared" si="10"/>
        <v>2021</v>
      </c>
      <c r="E717" t="s">
        <v>6</v>
      </c>
      <c r="F717">
        <f>(FruitDMg!F717/FruitFW!F717)*100</f>
        <v>15.48969324434486</v>
      </c>
    </row>
    <row r="718" spans="1:6" x14ac:dyDescent="0.25">
      <c r="A718" t="s">
        <v>14</v>
      </c>
      <c r="B718" s="7">
        <v>44307</v>
      </c>
      <c r="C718">
        <f t="shared" si="10"/>
        <v>2021</v>
      </c>
      <c r="E718" t="s">
        <v>6</v>
      </c>
      <c r="F718">
        <f>(FruitDMg!F718/FruitFW!F718)*100</f>
        <v>16.501104271237118</v>
      </c>
    </row>
    <row r="719" spans="1:6" x14ac:dyDescent="0.25">
      <c r="A719" t="s">
        <v>14</v>
      </c>
      <c r="B719" s="7">
        <v>44307</v>
      </c>
      <c r="C719">
        <f t="shared" si="10"/>
        <v>2021</v>
      </c>
      <c r="E719" t="s">
        <v>6</v>
      </c>
      <c r="F719">
        <f>(FruitDMg!F719/FruitFW!F719)*100</f>
        <v>20.031729248173825</v>
      </c>
    </row>
    <row r="720" spans="1:6" x14ac:dyDescent="0.25">
      <c r="A720" t="s">
        <v>14</v>
      </c>
      <c r="B720" s="7">
        <v>44307</v>
      </c>
      <c r="C720">
        <f t="shared" si="10"/>
        <v>2021</v>
      </c>
      <c r="E720" t="s">
        <v>6</v>
      </c>
      <c r="F720">
        <f>(FruitDMg!F720/FruitFW!F720)*100</f>
        <v>17.770705424026957</v>
      </c>
    </row>
    <row r="721" spans="1:6" x14ac:dyDescent="0.25">
      <c r="A721" t="s">
        <v>14</v>
      </c>
      <c r="B721" s="7">
        <v>44315</v>
      </c>
      <c r="C721">
        <f t="shared" si="10"/>
        <v>2021</v>
      </c>
      <c r="E721" t="s">
        <v>6</v>
      </c>
      <c r="F721">
        <f>(FruitDMg!F721/FruitFW!F721)*100</f>
        <v>17.547630090583045</v>
      </c>
    </row>
    <row r="722" spans="1:6" x14ac:dyDescent="0.25">
      <c r="A722" t="s">
        <v>14</v>
      </c>
      <c r="B722" s="7">
        <v>44316</v>
      </c>
      <c r="C722">
        <f t="shared" si="10"/>
        <v>2021</v>
      </c>
      <c r="E722" t="s">
        <v>6</v>
      </c>
      <c r="F722">
        <f>(FruitDMg!F722/FruitFW!F722)*100</f>
        <v>17.313691612126185</v>
      </c>
    </row>
    <row r="723" spans="1:6" x14ac:dyDescent="0.25">
      <c r="A723" t="s">
        <v>14</v>
      </c>
      <c r="B723" s="7">
        <v>44316</v>
      </c>
      <c r="C723">
        <f t="shared" si="10"/>
        <v>2021</v>
      </c>
      <c r="E723" t="s">
        <v>6</v>
      </c>
      <c r="F723">
        <f>(FruitDMg!F723/FruitFW!F723)*100</f>
        <v>15.992323546380941</v>
      </c>
    </row>
    <row r="724" spans="1:6" x14ac:dyDescent="0.25">
      <c r="A724" t="s">
        <v>14</v>
      </c>
      <c r="B724" s="7">
        <v>44321</v>
      </c>
      <c r="C724">
        <f t="shared" si="10"/>
        <v>2021</v>
      </c>
      <c r="E724" t="s">
        <v>6</v>
      </c>
      <c r="F724">
        <f>(FruitDMg!F724/FruitFW!F724)*100</f>
        <v>20.713726229171293</v>
      </c>
    </row>
    <row r="725" spans="1:6" x14ac:dyDescent="0.25">
      <c r="A725" t="s">
        <v>14</v>
      </c>
      <c r="B725" s="7">
        <v>44322</v>
      </c>
      <c r="C725">
        <f t="shared" si="10"/>
        <v>2021</v>
      </c>
      <c r="E725" t="s">
        <v>6</v>
      </c>
      <c r="F725">
        <f>(FruitDMg!F725/FruitFW!F725)*100</f>
        <v>17.539737982006226</v>
      </c>
    </row>
    <row r="726" spans="1:6" x14ac:dyDescent="0.25">
      <c r="A726" t="s">
        <v>14</v>
      </c>
      <c r="B726" s="7">
        <v>44322</v>
      </c>
      <c r="C726">
        <f t="shared" si="10"/>
        <v>2021</v>
      </c>
      <c r="E726" t="s">
        <v>6</v>
      </c>
      <c r="F726">
        <f>(FruitDMg!F726/FruitFW!F726)*100</f>
        <v>17.262951440665923</v>
      </c>
    </row>
    <row r="727" spans="1:6" x14ac:dyDescent="0.25">
      <c r="A727" t="s">
        <v>14</v>
      </c>
      <c r="B727" s="7">
        <v>44335</v>
      </c>
      <c r="C727">
        <f t="shared" si="10"/>
        <v>2021</v>
      </c>
      <c r="E727" t="s">
        <v>6</v>
      </c>
      <c r="F727">
        <f>(FruitDMg!F727/FruitFW!F727)*100</f>
        <v>22.662287582207711</v>
      </c>
    </row>
    <row r="728" spans="1:6" x14ac:dyDescent="0.25">
      <c r="A728" t="s">
        <v>14</v>
      </c>
      <c r="B728" s="7">
        <v>44336</v>
      </c>
      <c r="C728">
        <f t="shared" si="10"/>
        <v>2021</v>
      </c>
      <c r="E728" t="s">
        <v>6</v>
      </c>
      <c r="F728">
        <f>(FruitDMg!F728/FruitFW!F728)*100</f>
        <v>16.958649996496604</v>
      </c>
    </row>
    <row r="729" spans="1:6" x14ac:dyDescent="0.25">
      <c r="A729" t="s">
        <v>14</v>
      </c>
      <c r="B729" s="7">
        <v>44336</v>
      </c>
      <c r="C729">
        <f t="shared" si="10"/>
        <v>2021</v>
      </c>
      <c r="E729" t="s">
        <v>6</v>
      </c>
      <c r="F729">
        <f>(FruitDMg!F729/FruitFW!F729)*100</f>
        <v>17.896366484072018</v>
      </c>
    </row>
    <row r="730" spans="1:6" x14ac:dyDescent="0.25">
      <c r="A730" t="s">
        <v>14</v>
      </c>
      <c r="B730" s="7">
        <v>44348</v>
      </c>
      <c r="C730">
        <f t="shared" si="10"/>
        <v>2021</v>
      </c>
      <c r="E730" t="s">
        <v>6</v>
      </c>
      <c r="F730">
        <f>(FruitDMg!F730/FruitFW!F730)*100</f>
        <v>22.144653141720198</v>
      </c>
    </row>
    <row r="731" spans="1:6" x14ac:dyDescent="0.25">
      <c r="A731" t="s">
        <v>14</v>
      </c>
      <c r="B731" s="7">
        <v>44349</v>
      </c>
      <c r="C731">
        <f t="shared" si="10"/>
        <v>2021</v>
      </c>
      <c r="E731" t="s">
        <v>6</v>
      </c>
      <c r="F731">
        <f>(FruitDMg!F731/FruitFW!F731)*100</f>
        <v>17.006499202671101</v>
      </c>
    </row>
    <row r="732" spans="1:6" x14ac:dyDescent="0.25">
      <c r="A732" t="s">
        <v>14</v>
      </c>
      <c r="B732" s="7">
        <v>44349</v>
      </c>
      <c r="C732">
        <f t="shared" si="10"/>
        <v>2021</v>
      </c>
      <c r="E732" t="s">
        <v>6</v>
      </c>
      <c r="F732">
        <f>(FruitDMg!F732/FruitFW!F732)*100</f>
        <v>16.7468534899348</v>
      </c>
    </row>
    <row r="734" spans="1:6" x14ac:dyDescent="0.25">
      <c r="A734" t="s">
        <v>15</v>
      </c>
      <c r="B734" s="7">
        <v>43850</v>
      </c>
      <c r="C734">
        <f t="shared" si="10"/>
        <v>2020</v>
      </c>
      <c r="E734" t="s">
        <v>16</v>
      </c>
      <c r="F734">
        <f>(FruitDMg!F734/FruitFW!F736)*100</f>
        <v>10.1</v>
      </c>
    </row>
    <row r="735" spans="1:6" x14ac:dyDescent="0.25">
      <c r="A735" t="s">
        <v>15</v>
      </c>
      <c r="B735" s="7">
        <v>43880</v>
      </c>
      <c r="C735">
        <f t="shared" si="10"/>
        <v>2020</v>
      </c>
      <c r="E735" t="s">
        <v>16</v>
      </c>
      <c r="F735">
        <f>(FruitDMg!F735/FruitFW!F737)*100</f>
        <v>15.300000000000002</v>
      </c>
    </row>
    <row r="736" spans="1:6" x14ac:dyDescent="0.25">
      <c r="A736" t="s">
        <v>15</v>
      </c>
      <c r="B736" s="7">
        <v>43892</v>
      </c>
      <c r="C736">
        <f t="shared" si="10"/>
        <v>2020</v>
      </c>
      <c r="E736" t="s">
        <v>16</v>
      </c>
      <c r="F736">
        <f>(FruitDMg!F736/FruitFW!F738)*100</f>
        <v>16.5</v>
      </c>
    </row>
    <row r="737" spans="1:6" x14ac:dyDescent="0.25">
      <c r="A737" t="s">
        <v>15</v>
      </c>
      <c r="B737" s="7">
        <v>43906</v>
      </c>
      <c r="C737">
        <f t="shared" si="10"/>
        <v>2020</v>
      </c>
      <c r="E737" t="s">
        <v>16</v>
      </c>
      <c r="F737">
        <f>(FruitDMg!F737/FruitFW!F739)*100</f>
        <v>16.100000000000001</v>
      </c>
    </row>
    <row r="738" spans="1:6" x14ac:dyDescent="0.25">
      <c r="A738" t="s">
        <v>15</v>
      </c>
      <c r="B738" s="7">
        <v>43949</v>
      </c>
      <c r="C738">
        <f t="shared" si="10"/>
        <v>2020</v>
      </c>
      <c r="E738" t="s">
        <v>16</v>
      </c>
      <c r="F738">
        <f>(FruitDMg!F738/FruitFW!F740)*100</f>
        <v>16.600000000000005</v>
      </c>
    </row>
    <row r="739" spans="1:6" x14ac:dyDescent="0.25">
      <c r="A739" t="s">
        <v>15</v>
      </c>
      <c r="B739" s="7">
        <v>43963</v>
      </c>
      <c r="C739">
        <f t="shared" si="10"/>
        <v>2020</v>
      </c>
      <c r="E739" t="s">
        <v>16</v>
      </c>
      <c r="F739">
        <f>(FruitDMg!F739/FruitFW!F741)*100</f>
        <v>17</v>
      </c>
    </row>
    <row r="740" spans="1:6" x14ac:dyDescent="0.25">
      <c r="A740" t="s">
        <v>15</v>
      </c>
      <c r="B740" s="7">
        <v>43976</v>
      </c>
      <c r="C740">
        <f t="shared" si="10"/>
        <v>2020</v>
      </c>
      <c r="E740" t="s">
        <v>16</v>
      </c>
      <c r="F740">
        <f>(FruitDMg!F740/FruitFW!F742)*100</f>
        <v>17.3</v>
      </c>
    </row>
    <row r="741" spans="1:6" x14ac:dyDescent="0.25">
      <c r="A741" t="s">
        <v>15</v>
      </c>
      <c r="B741" s="7">
        <v>44221</v>
      </c>
      <c r="C741">
        <f t="shared" si="10"/>
        <v>2021</v>
      </c>
      <c r="E741" t="s">
        <v>16</v>
      </c>
      <c r="F741">
        <f>(FruitDMg!F741/FruitFW!F743)*100</f>
        <v>10.189048139999999</v>
      </c>
    </row>
    <row r="742" spans="1:6" x14ac:dyDescent="0.25">
      <c r="A742" t="s">
        <v>15</v>
      </c>
      <c r="B742" s="7">
        <v>44245</v>
      </c>
      <c r="C742">
        <f t="shared" si="10"/>
        <v>2021</v>
      </c>
      <c r="E742" t="s">
        <v>16</v>
      </c>
      <c r="F742">
        <f>(FruitDMg!F742/FruitFW!F744)*100</f>
        <v>13.187815029999999</v>
      </c>
    </row>
    <row r="743" spans="1:6" x14ac:dyDescent="0.25">
      <c r="A743" t="s">
        <v>15</v>
      </c>
      <c r="B743" s="7">
        <v>44256</v>
      </c>
      <c r="C743">
        <f t="shared" ref="C743:C784" si="11">YEAR(B743)</f>
        <v>2021</v>
      </c>
      <c r="E743" t="s">
        <v>16</v>
      </c>
      <c r="F743">
        <f>(FruitDMg!F743/FruitFW!F745)*100</f>
        <v>14.327754919999999</v>
      </c>
    </row>
    <row r="744" spans="1:6" x14ac:dyDescent="0.25">
      <c r="A744" t="s">
        <v>15</v>
      </c>
      <c r="B744" s="7">
        <v>44271</v>
      </c>
      <c r="C744">
        <f t="shared" si="11"/>
        <v>2021</v>
      </c>
      <c r="E744" t="s">
        <v>16</v>
      </c>
      <c r="F744">
        <f>(FruitDMg!F744/FruitFW!F746)*100</f>
        <v>14.806242410000001</v>
      </c>
    </row>
    <row r="745" spans="1:6" x14ac:dyDescent="0.25">
      <c r="A745" t="s">
        <v>15</v>
      </c>
      <c r="B745" s="7">
        <v>44284</v>
      </c>
      <c r="C745">
        <f t="shared" si="11"/>
        <v>2021</v>
      </c>
      <c r="E745" t="s">
        <v>16</v>
      </c>
      <c r="F745">
        <f>(FruitDMg!F745/FruitFW!F747)*100</f>
        <v>15.547038700000002</v>
      </c>
    </row>
    <row r="746" spans="1:6" x14ac:dyDescent="0.25">
      <c r="A746" t="s">
        <v>15</v>
      </c>
      <c r="B746" s="7">
        <v>44298</v>
      </c>
      <c r="C746">
        <f t="shared" si="11"/>
        <v>2021</v>
      </c>
      <c r="E746" t="s">
        <v>16</v>
      </c>
      <c r="F746">
        <f>(FruitDMg!F746/FruitFW!F748)*100</f>
        <v>15.93281812</v>
      </c>
    </row>
    <row r="747" spans="1:6" x14ac:dyDescent="0.25">
      <c r="A747" t="s">
        <v>15</v>
      </c>
      <c r="B747" s="7">
        <v>44307</v>
      </c>
      <c r="C747">
        <f t="shared" si="11"/>
        <v>2021</v>
      </c>
      <c r="E747" t="s">
        <v>16</v>
      </c>
      <c r="F747">
        <f>(FruitDMg!F747/FruitFW!F749)*100</f>
        <v>15.991152989999998</v>
      </c>
    </row>
    <row r="748" spans="1:6" x14ac:dyDescent="0.25">
      <c r="A748" t="s">
        <v>15</v>
      </c>
      <c r="B748" s="7">
        <v>44315</v>
      </c>
      <c r="C748">
        <f t="shared" si="11"/>
        <v>2021</v>
      </c>
      <c r="E748" t="s">
        <v>16</v>
      </c>
      <c r="F748">
        <f>(FruitDMg!F748/FruitFW!F750)*100</f>
        <v>16.40011294</v>
      </c>
    </row>
    <row r="749" spans="1:6" x14ac:dyDescent="0.25">
      <c r="A749" t="s">
        <v>15</v>
      </c>
      <c r="B749" s="7">
        <v>44321</v>
      </c>
      <c r="C749">
        <f t="shared" si="11"/>
        <v>2021</v>
      </c>
      <c r="E749" t="s">
        <v>16</v>
      </c>
      <c r="F749">
        <f>(FruitDMg!F749/FruitFW!F751)*100</f>
        <v>16.644749740000002</v>
      </c>
    </row>
    <row r="750" spans="1:6" x14ac:dyDescent="0.25">
      <c r="A750" t="s">
        <v>15</v>
      </c>
      <c r="B750" s="7">
        <v>44333</v>
      </c>
      <c r="C750">
        <f t="shared" si="11"/>
        <v>2021</v>
      </c>
      <c r="E750" t="s">
        <v>16</v>
      </c>
      <c r="F750">
        <f>(FruitDMg!F750/FruitFW!F752)*100</f>
        <v>17.180538370000001</v>
      </c>
    </row>
    <row r="751" spans="1:6" x14ac:dyDescent="0.25">
      <c r="A751" t="s">
        <v>15</v>
      </c>
      <c r="B751" s="7">
        <v>44347</v>
      </c>
      <c r="C751">
        <f t="shared" si="11"/>
        <v>2021</v>
      </c>
      <c r="E751" t="s">
        <v>16</v>
      </c>
      <c r="F751">
        <f>(FruitDMg!F751/FruitFW!F753)*100</f>
        <v>17.54431529</v>
      </c>
    </row>
    <row r="752" spans="1:6" x14ac:dyDescent="0.25">
      <c r="A752" t="s">
        <v>15</v>
      </c>
      <c r="B752" s="7">
        <v>44607</v>
      </c>
      <c r="C752">
        <f t="shared" si="11"/>
        <v>2022</v>
      </c>
      <c r="E752" t="s">
        <v>16</v>
      </c>
      <c r="F752">
        <f>(FruitDMg!F752/FruitFW!F754)*100</f>
        <v>9.8000000000000007</v>
      </c>
    </row>
    <row r="753" spans="1:6" x14ac:dyDescent="0.25">
      <c r="A753" t="s">
        <v>15</v>
      </c>
      <c r="B753" s="7">
        <v>44608</v>
      </c>
      <c r="C753">
        <f t="shared" si="11"/>
        <v>2022</v>
      </c>
      <c r="E753" t="s">
        <v>16</v>
      </c>
      <c r="F753">
        <f>(FruitDMg!F753/FruitFW!F755)*100</f>
        <v>12.6</v>
      </c>
    </row>
    <row r="754" spans="1:6" x14ac:dyDescent="0.25">
      <c r="A754" t="s">
        <v>15</v>
      </c>
      <c r="B754" s="7">
        <v>44622</v>
      </c>
      <c r="C754">
        <f t="shared" si="11"/>
        <v>2022</v>
      </c>
      <c r="E754" t="s">
        <v>16</v>
      </c>
      <c r="F754">
        <f>(FruitDMg!F754/FruitFW!F756)*100</f>
        <v>14.7</v>
      </c>
    </row>
    <row r="755" spans="1:6" x14ac:dyDescent="0.25">
      <c r="A755" t="s">
        <v>15</v>
      </c>
      <c r="B755" s="7">
        <v>44622</v>
      </c>
      <c r="C755">
        <f t="shared" si="11"/>
        <v>2022</v>
      </c>
      <c r="E755" t="s">
        <v>16</v>
      </c>
      <c r="F755">
        <f>(FruitDMg!F755/FruitFW!F757)*100</f>
        <v>16.100000000000001</v>
      </c>
    </row>
    <row r="756" spans="1:6" x14ac:dyDescent="0.25">
      <c r="A756" t="s">
        <v>15</v>
      </c>
      <c r="B756" s="7">
        <v>44635</v>
      </c>
      <c r="C756">
        <f t="shared" si="11"/>
        <v>2022</v>
      </c>
      <c r="E756" t="s">
        <v>16</v>
      </c>
      <c r="F756">
        <f>(FruitDMg!F756/FruitFW!F758)*100</f>
        <v>15.299999999999999</v>
      </c>
    </row>
    <row r="757" spans="1:6" x14ac:dyDescent="0.25">
      <c r="A757" t="s">
        <v>15</v>
      </c>
      <c r="B757" s="7">
        <v>44662</v>
      </c>
      <c r="C757">
        <f t="shared" si="11"/>
        <v>2022</v>
      </c>
      <c r="E757" t="s">
        <v>16</v>
      </c>
      <c r="F757">
        <f>(FruitDMg!F757/FruitFW!F759)*100</f>
        <v>16.899999999999999</v>
      </c>
    </row>
    <row r="758" spans="1:6" x14ac:dyDescent="0.25">
      <c r="A758" t="s">
        <v>15</v>
      </c>
      <c r="B758" s="7">
        <v>44669</v>
      </c>
      <c r="C758">
        <f t="shared" si="11"/>
        <v>2022</v>
      </c>
      <c r="E758" t="s">
        <v>16</v>
      </c>
      <c r="F758">
        <f>(FruitDMg!F758/FruitFW!F760)*100</f>
        <v>16.899999999999999</v>
      </c>
    </row>
    <row r="759" spans="1:6" x14ac:dyDescent="0.25">
      <c r="A759" t="s">
        <v>15</v>
      </c>
      <c r="B759" s="7">
        <v>44677</v>
      </c>
      <c r="C759">
        <f t="shared" si="11"/>
        <v>2022</v>
      </c>
      <c r="E759" t="s">
        <v>16</v>
      </c>
      <c r="F759">
        <f>(FruitDMg!F759/FruitFW!F761)*100</f>
        <v>16.899999999999995</v>
      </c>
    </row>
    <row r="760" spans="1:6" x14ac:dyDescent="0.25">
      <c r="A760" t="s">
        <v>15</v>
      </c>
      <c r="B760" s="7">
        <v>44683</v>
      </c>
      <c r="C760">
        <f t="shared" si="11"/>
        <v>2022</v>
      </c>
      <c r="E760" t="s">
        <v>16</v>
      </c>
      <c r="F760">
        <f>(FruitDMg!F760/FruitFW!F762)*100</f>
        <v>17.7</v>
      </c>
    </row>
    <row r="761" spans="1:6" x14ac:dyDescent="0.25">
      <c r="A761" t="s">
        <v>15</v>
      </c>
      <c r="B761" s="7">
        <v>44697</v>
      </c>
      <c r="C761">
        <f t="shared" si="11"/>
        <v>2022</v>
      </c>
      <c r="E761" t="s">
        <v>16</v>
      </c>
      <c r="F761">
        <f>(FruitDMg!F761/FruitFW!F763)*100</f>
        <v>18.000000000000004</v>
      </c>
    </row>
    <row r="762" spans="1:6" x14ac:dyDescent="0.25">
      <c r="A762" t="s">
        <v>15</v>
      </c>
      <c r="B762" s="7">
        <v>44711</v>
      </c>
      <c r="C762">
        <f t="shared" si="11"/>
        <v>2022</v>
      </c>
      <c r="E762" t="s">
        <v>16</v>
      </c>
      <c r="F762">
        <f>(FruitDMg!F762/FruitFW!F764)*100</f>
        <v>18.3</v>
      </c>
    </row>
    <row r="763" spans="1:6" x14ac:dyDescent="0.25">
      <c r="A763" t="s">
        <v>15</v>
      </c>
      <c r="B763" s="7">
        <v>44949</v>
      </c>
      <c r="C763">
        <f t="shared" si="11"/>
        <v>2023</v>
      </c>
      <c r="E763" t="s">
        <v>16</v>
      </c>
      <c r="F763">
        <f>(FruitDMg!F763/FruitFW!F765)*100</f>
        <v>9.4</v>
      </c>
    </row>
    <row r="764" spans="1:6" x14ac:dyDescent="0.25">
      <c r="A764" t="s">
        <v>15</v>
      </c>
      <c r="B764" s="7">
        <v>44971</v>
      </c>
      <c r="C764">
        <f t="shared" si="11"/>
        <v>2023</v>
      </c>
      <c r="E764" t="s">
        <v>16</v>
      </c>
      <c r="F764">
        <f>(FruitDMg!F764/FruitFW!F766)*100</f>
        <v>12.8</v>
      </c>
    </row>
    <row r="765" spans="1:6" x14ac:dyDescent="0.25">
      <c r="A765" t="s">
        <v>15</v>
      </c>
      <c r="B765" s="7">
        <v>44987</v>
      </c>
      <c r="C765">
        <f t="shared" si="11"/>
        <v>2023</v>
      </c>
      <c r="E765" t="s">
        <v>16</v>
      </c>
      <c r="F765">
        <f>(FruitDMg!F765/FruitFW!F767)*100</f>
        <v>15.4</v>
      </c>
    </row>
    <row r="766" spans="1:6" x14ac:dyDescent="0.25">
      <c r="A766" t="s">
        <v>15</v>
      </c>
      <c r="B766" s="7">
        <v>44998</v>
      </c>
      <c r="C766">
        <f t="shared" si="11"/>
        <v>2023</v>
      </c>
      <c r="E766" t="s">
        <v>16</v>
      </c>
      <c r="F766">
        <f>(FruitDMg!F766/FruitFW!F768)*100</f>
        <v>16.2</v>
      </c>
    </row>
    <row r="767" spans="1:6" x14ac:dyDescent="0.25">
      <c r="A767" t="s">
        <v>15</v>
      </c>
      <c r="B767" s="7">
        <v>45014</v>
      </c>
      <c r="C767">
        <f t="shared" si="11"/>
        <v>2023</v>
      </c>
      <c r="E767" t="s">
        <v>16</v>
      </c>
      <c r="F767">
        <f>(FruitDMg!F767/FruitFW!F769)*100</f>
        <v>17.200000000000003</v>
      </c>
    </row>
    <row r="768" spans="1:6" x14ac:dyDescent="0.25">
      <c r="A768" t="s">
        <v>15</v>
      </c>
      <c r="B768" s="7">
        <v>45027</v>
      </c>
      <c r="C768">
        <f t="shared" si="11"/>
        <v>2023</v>
      </c>
      <c r="E768" t="s">
        <v>16</v>
      </c>
      <c r="F768">
        <f>(FruitDMg!F768/FruitFW!F770)*100</f>
        <v>18</v>
      </c>
    </row>
    <row r="769" spans="1:6" x14ac:dyDescent="0.25">
      <c r="A769" t="s">
        <v>15</v>
      </c>
      <c r="B769" s="7">
        <v>45040</v>
      </c>
      <c r="C769">
        <f t="shared" si="11"/>
        <v>2023</v>
      </c>
      <c r="E769" t="s">
        <v>16</v>
      </c>
      <c r="F769">
        <f>(FruitDMg!F769/FruitFW!F771)*100</f>
        <v>18.399999999999999</v>
      </c>
    </row>
    <row r="770" spans="1:6" x14ac:dyDescent="0.25">
      <c r="A770" t="s">
        <v>15</v>
      </c>
      <c r="B770" s="7">
        <v>45047</v>
      </c>
      <c r="C770">
        <f t="shared" si="11"/>
        <v>2023</v>
      </c>
      <c r="E770" t="s">
        <v>16</v>
      </c>
      <c r="F770">
        <f>(FruitDMg!F770/FruitFW!F772)*100</f>
        <v>18.500000000000004</v>
      </c>
    </row>
    <row r="771" spans="1:6" x14ac:dyDescent="0.25">
      <c r="A771" t="s">
        <v>15</v>
      </c>
      <c r="B771" s="7">
        <v>45062</v>
      </c>
      <c r="C771">
        <f t="shared" si="11"/>
        <v>2023</v>
      </c>
      <c r="E771" t="s">
        <v>16</v>
      </c>
      <c r="F771">
        <f>(FruitDMg!F771/FruitFW!F773)*100</f>
        <v>18.800000000000004</v>
      </c>
    </row>
    <row r="772" spans="1:6" x14ac:dyDescent="0.25">
      <c r="A772" t="s">
        <v>15</v>
      </c>
      <c r="B772" s="7">
        <v>45076</v>
      </c>
      <c r="C772">
        <f t="shared" si="11"/>
        <v>2023</v>
      </c>
      <c r="E772" t="s">
        <v>16</v>
      </c>
      <c r="F772">
        <f>(FruitDMg!F772/FruitFW!F774)*100</f>
        <v>19.300000000000004</v>
      </c>
    </row>
    <row r="773" spans="1:6" x14ac:dyDescent="0.25">
      <c r="A773" t="s">
        <v>15</v>
      </c>
      <c r="B773" s="7">
        <v>45083</v>
      </c>
      <c r="C773">
        <f t="shared" si="11"/>
        <v>2023</v>
      </c>
      <c r="E773" t="s">
        <v>16</v>
      </c>
      <c r="F773">
        <f>(FruitDMg!F773/FruitFW!F775)*100</f>
        <v>19.300000000000004</v>
      </c>
    </row>
    <row r="774" spans="1:6" x14ac:dyDescent="0.25">
      <c r="A774" t="s">
        <v>15</v>
      </c>
      <c r="B774" s="7">
        <v>45315</v>
      </c>
      <c r="C774">
        <f t="shared" si="11"/>
        <v>2024</v>
      </c>
      <c r="E774" t="s">
        <v>16</v>
      </c>
      <c r="F774">
        <f>(FruitDMg!F774/FruitFW!F776)*100</f>
        <v>9.9</v>
      </c>
    </row>
    <row r="775" spans="1:6" x14ac:dyDescent="0.25">
      <c r="A775" t="s">
        <v>15</v>
      </c>
      <c r="B775" s="7">
        <v>45335</v>
      </c>
      <c r="C775">
        <f t="shared" si="11"/>
        <v>2024</v>
      </c>
      <c r="E775" t="s">
        <v>16</v>
      </c>
      <c r="F775">
        <f>(FruitDMg!F775/FruitFW!F777)*100</f>
        <v>13.100000000000001</v>
      </c>
    </row>
    <row r="776" spans="1:6" x14ac:dyDescent="0.25">
      <c r="A776" t="s">
        <v>15</v>
      </c>
      <c r="B776" s="7">
        <v>45349</v>
      </c>
      <c r="C776">
        <f t="shared" si="11"/>
        <v>2024</v>
      </c>
      <c r="E776" t="s">
        <v>16</v>
      </c>
      <c r="F776">
        <f>(FruitDMg!F776/FruitFW!F778)*100</f>
        <v>14.900000000000002</v>
      </c>
    </row>
    <row r="777" spans="1:6" x14ac:dyDescent="0.25">
      <c r="A777" t="s">
        <v>15</v>
      </c>
      <c r="B777" s="7">
        <v>45363</v>
      </c>
      <c r="C777">
        <f t="shared" si="11"/>
        <v>2024</v>
      </c>
      <c r="E777" t="s">
        <v>16</v>
      </c>
      <c r="F777">
        <f>(FruitDMg!F777/FruitFW!F779)*100</f>
        <v>16</v>
      </c>
    </row>
    <row r="778" spans="1:6" x14ac:dyDescent="0.25">
      <c r="A778" t="s">
        <v>15</v>
      </c>
      <c r="B778" s="7">
        <v>45378</v>
      </c>
      <c r="C778">
        <f t="shared" si="11"/>
        <v>2024</v>
      </c>
      <c r="E778" t="s">
        <v>16</v>
      </c>
      <c r="F778">
        <f>(FruitDMg!F778/FruitFW!F780)*100</f>
        <v>16.7</v>
      </c>
    </row>
    <row r="779" spans="1:6" x14ac:dyDescent="0.25">
      <c r="A779" t="s">
        <v>15</v>
      </c>
      <c r="B779" s="7">
        <v>45390</v>
      </c>
      <c r="C779">
        <f t="shared" si="11"/>
        <v>2024</v>
      </c>
      <c r="E779" t="s">
        <v>16</v>
      </c>
      <c r="F779">
        <f>(FruitDMg!F779/FruitFW!F781)*100</f>
        <v>17</v>
      </c>
    </row>
    <row r="780" spans="1:6" x14ac:dyDescent="0.25">
      <c r="A780" t="s">
        <v>15</v>
      </c>
      <c r="B780" s="7">
        <v>45406</v>
      </c>
      <c r="C780">
        <f t="shared" si="11"/>
        <v>2024</v>
      </c>
      <c r="E780" t="s">
        <v>16</v>
      </c>
      <c r="F780">
        <f>(FruitDMg!F780/FruitFW!F782)*100</f>
        <v>17.3</v>
      </c>
    </row>
    <row r="781" spans="1:6" x14ac:dyDescent="0.25">
      <c r="A781" t="s">
        <v>15</v>
      </c>
      <c r="B781" s="7">
        <v>45412</v>
      </c>
      <c r="C781">
        <f t="shared" si="11"/>
        <v>2024</v>
      </c>
      <c r="E781" t="s">
        <v>16</v>
      </c>
      <c r="F781">
        <f>(FruitDMg!F781/FruitFW!F783)*100</f>
        <v>17.7</v>
      </c>
    </row>
    <row r="782" spans="1:6" x14ac:dyDescent="0.25">
      <c r="A782" t="s">
        <v>15</v>
      </c>
      <c r="B782" s="7">
        <v>45427</v>
      </c>
      <c r="C782">
        <f t="shared" si="11"/>
        <v>2024</v>
      </c>
      <c r="E782" t="s">
        <v>16</v>
      </c>
      <c r="F782">
        <f>(FruitDMg!F782/FruitFW!F784)*100</f>
        <v>17.899999999999995</v>
      </c>
    </row>
    <row r="783" spans="1:6" x14ac:dyDescent="0.25">
      <c r="A783" t="s">
        <v>15</v>
      </c>
      <c r="B783" s="7">
        <v>45441</v>
      </c>
      <c r="C783">
        <f t="shared" si="11"/>
        <v>2024</v>
      </c>
      <c r="E783" t="s">
        <v>16</v>
      </c>
      <c r="F783">
        <f>(FruitDMg!F783/FruitFW!F785)*100</f>
        <v>17.8</v>
      </c>
    </row>
    <row r="784" spans="1:6" x14ac:dyDescent="0.25">
      <c r="A784" t="s">
        <v>15</v>
      </c>
      <c r="B784" s="7">
        <v>45454</v>
      </c>
      <c r="C784">
        <f t="shared" si="11"/>
        <v>2024</v>
      </c>
      <c r="E784" t="s">
        <v>16</v>
      </c>
      <c r="F784">
        <f>(FruitDMg!F784/FruitFW!F786)*100</f>
        <v>17.899999999999999</v>
      </c>
    </row>
  </sheetData>
  <autoFilter ref="E1:E7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FruitFW</vt:lpstr>
      <vt:lpstr>FruitDMg</vt:lpstr>
      <vt:lpstr>FruitDMP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2025-08-15T05:37:03Z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