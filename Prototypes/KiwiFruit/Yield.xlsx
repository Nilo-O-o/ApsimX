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A3135AD3-433A-4E72-B992-39247A7EEA0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</sheets>
  <definedNames>
    <definedName name="_xlnm._FilterDatabase" localSheetId="3" hidden="1">FullBloom!$A$1:$A$612</definedName>
    <definedName name="_xlnm._FilterDatabase" localSheetId="2" hidden="1">SingleBerryDMC!$A$1:$A$1228</definedName>
    <definedName name="_xlnm._FilterDatabase" localSheetId="1" hidden="1">SingleBerryDW!$A$1:$A$1224</definedName>
    <definedName name="_xlnm._FilterDatabase" localSheetId="0" hidden="1">SingleBerryFW!$A$1:$A$1224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59" i="4" l="1"/>
  <c r="G1024" i="4"/>
  <c r="G631" i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I1224" i="1" l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G1024" i="3"/>
  <c r="G1156" i="3"/>
  <c r="G959" i="3"/>
  <c r="F1221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G1091" i="4" s="1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G1156" i="4" s="1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G1208" i="4" s="1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<sst xmlns="http://schemas.openxmlformats.org/spreadsheetml/2006/main" count="8666" uniqueCount="33">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</sst>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224"/>
  <sheetViews>
    <sheetView zoomScale="70" zoomScaleNormal="70" workbookViewId="0">
      <pane ySplit="1" topLeftCell="A955" activePane="bottomLeft" state="frozen"/>
      <selection pane="bottomLeft" activeCell="H959" sqref="H959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3" max="13" width="29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65.7</v>
      </c>
    </row>
    <row r="3" spans="1:9" hidden="1" x14ac:dyDescent="0.25">
      <c r="A3" t="s">
        <v>7</v>
      </c>
      <c r="B3" s="2">
        <v>44608</v>
      </c>
      <c r="C3">
        <v>2022</v>
      </c>
      <c r="E3" t="s">
        <v>6</v>
      </c>
      <c r="F3">
        <v>77</v>
      </c>
    </row>
    <row r="4" spans="1:9" hidden="1" x14ac:dyDescent="0.25">
      <c r="A4" t="s">
        <v>7</v>
      </c>
      <c r="B4" s="2">
        <v>44622</v>
      </c>
      <c r="C4">
        <v>2022</v>
      </c>
      <c r="E4" t="s">
        <v>6</v>
      </c>
      <c r="F4">
        <v>108.9</v>
      </c>
    </row>
    <row r="5" spans="1:9" hidden="1" x14ac:dyDescent="0.25">
      <c r="A5" t="s">
        <v>7</v>
      </c>
      <c r="B5" s="2">
        <v>44636</v>
      </c>
      <c r="C5">
        <v>2022</v>
      </c>
      <c r="E5" t="s">
        <v>6</v>
      </c>
      <c r="F5">
        <v>87.8</v>
      </c>
    </row>
    <row r="6" spans="1:9" hidden="1" x14ac:dyDescent="0.25">
      <c r="A6" t="s">
        <v>7</v>
      </c>
      <c r="B6" s="2">
        <v>44650</v>
      </c>
      <c r="C6">
        <v>2022</v>
      </c>
      <c r="E6" t="s">
        <v>6</v>
      </c>
      <c r="F6">
        <v>92</v>
      </c>
    </row>
    <row r="7" spans="1:9" hidden="1" x14ac:dyDescent="0.25">
      <c r="A7" t="s">
        <v>7</v>
      </c>
      <c r="B7" s="2">
        <v>44664</v>
      </c>
      <c r="C7">
        <v>2022</v>
      </c>
      <c r="E7" t="s">
        <v>6</v>
      </c>
      <c r="F7">
        <v>100</v>
      </c>
    </row>
    <row r="8" spans="1:9" hidden="1" x14ac:dyDescent="0.25">
      <c r="A8" t="s">
        <v>7</v>
      </c>
      <c r="B8" s="2">
        <v>44672</v>
      </c>
      <c r="C8">
        <v>2022</v>
      </c>
      <c r="E8" t="s">
        <v>6</v>
      </c>
      <c r="F8">
        <v>102.7</v>
      </c>
    </row>
    <row r="9" spans="1:9" hidden="1" x14ac:dyDescent="0.25">
      <c r="A9" t="s">
        <v>7</v>
      </c>
      <c r="B9" s="2">
        <v>44680</v>
      </c>
      <c r="C9">
        <v>2022</v>
      </c>
      <c r="E9" t="s">
        <v>6</v>
      </c>
      <c r="F9">
        <v>102.5</v>
      </c>
    </row>
    <row r="10" spans="1:9" hidden="1" x14ac:dyDescent="0.25">
      <c r="A10" t="s">
        <v>7</v>
      </c>
      <c r="B10" s="2">
        <v>44685</v>
      </c>
      <c r="C10">
        <v>2022</v>
      </c>
      <c r="E10" t="s">
        <v>6</v>
      </c>
      <c r="F10">
        <v>105.9</v>
      </c>
    </row>
    <row r="11" spans="1:9" hidden="1" x14ac:dyDescent="0.25">
      <c r="A11" t="s">
        <v>7</v>
      </c>
      <c r="B11" s="2">
        <v>44699</v>
      </c>
      <c r="C11">
        <v>2022</v>
      </c>
      <c r="E11" t="s">
        <v>6</v>
      </c>
      <c r="F11">
        <v>110.1</v>
      </c>
    </row>
    <row r="12" spans="1:9" hidden="1" x14ac:dyDescent="0.25">
      <c r="A12" t="s">
        <v>7</v>
      </c>
      <c r="B12" s="2">
        <v>44713</v>
      </c>
      <c r="C12">
        <v>2022</v>
      </c>
      <c r="E12" t="s">
        <v>6</v>
      </c>
      <c r="F12">
        <v>108.5</v>
      </c>
    </row>
    <row r="13" spans="1:9" hidden="1" x14ac:dyDescent="0.25">
      <c r="A13" t="s">
        <v>7</v>
      </c>
      <c r="B13" s="2">
        <v>44952</v>
      </c>
      <c r="C13">
        <v>2023</v>
      </c>
      <c r="E13" t="s">
        <v>6</v>
      </c>
      <c r="F13">
        <v>67.400000000000006</v>
      </c>
    </row>
    <row r="14" spans="1:9" hidden="1" x14ac:dyDescent="0.25">
      <c r="A14" t="s">
        <v>7</v>
      </c>
      <c r="B14" s="2">
        <v>44973</v>
      </c>
      <c r="C14">
        <v>2023</v>
      </c>
      <c r="E14" t="s">
        <v>6</v>
      </c>
      <c r="F14">
        <v>75.3</v>
      </c>
    </row>
    <row r="15" spans="1:9" hidden="1" x14ac:dyDescent="0.25">
      <c r="A15" t="s">
        <v>7</v>
      </c>
      <c r="B15" s="2">
        <v>44984</v>
      </c>
      <c r="C15">
        <v>2023</v>
      </c>
      <c r="E15" t="s">
        <v>6</v>
      </c>
      <c r="F15">
        <v>83.9</v>
      </c>
    </row>
    <row r="16" spans="1:9" hidden="1" x14ac:dyDescent="0.25">
      <c r="A16" t="s">
        <v>7</v>
      </c>
      <c r="B16" s="2">
        <v>45000</v>
      </c>
      <c r="C16">
        <v>2023</v>
      </c>
      <c r="E16" t="s">
        <v>6</v>
      </c>
      <c r="F16">
        <v>94.4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100.6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103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110.6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114.6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118.8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114.3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58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70.2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77.8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83.2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87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83.7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87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93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91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98.4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84.8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82.8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96.5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109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118.6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122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130.69999999999999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130.80000000000001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131.6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134.6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134.80000000000001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134.30000000000001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80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90.7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104.6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119.5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129.5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136.80000000000001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135.19999999999999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141.4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140.5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142.80000000000001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131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73.099999999999994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85.9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91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102.2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107.1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113.7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111.4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118.6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120.7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127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126.8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75.400000000000006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86.8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93.7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104.6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114.6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128.6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129.6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138.69999999999999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136.9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131.5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133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65.2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83.2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84.1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93.8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99.2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103.7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108.9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117.1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113.1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115.1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114.5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69.599999999999994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80.2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85.8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96.4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106.7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114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111.3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109.8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112.7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115.6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117.9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63.7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72.7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78.599999999999994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86.5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95.4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101.4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108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112.4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117.5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116.8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113.2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59.9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66.7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74.900000000000006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85.1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90.7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91.8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98.2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101.7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103.3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99.2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99.8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83.4</v>
      </c>
    </row>
    <row r="124" spans="1:6" hidden="1" x14ac:dyDescent="0.25">
      <c r="A124" t="s">
        <v>7</v>
      </c>
      <c r="B124" s="2">
        <v>44608</v>
      </c>
      <c r="C124">
        <f t="shared" ref="C124:C186" si="1">YEAR(B124)</f>
        <v>2022</v>
      </c>
      <c r="E124" t="s">
        <v>6</v>
      </c>
      <c r="F124">
        <v>94.3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102.9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104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113.4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125.8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132.9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139.80000000000001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135.1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138.1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142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61.4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67.8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73.099999999999994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78.099999999999994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84.1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89.9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95.9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97.4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97.8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99.8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109.6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57.1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71.099999999999994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77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83.1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87.3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86.6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90.1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99.7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101.1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100.3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97.4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64.400000000000006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68.599999999999994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86.5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90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98.4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102.7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102.3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103.9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100.2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103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101.2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59.6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58.3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74.400000000000006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85.7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79.400000000000006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92.4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91.9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101.1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94.9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113.4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115.3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101.2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103.3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119.2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103.4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115.3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105.7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122.2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106.7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123.3</v>
      </c>
    </row>
    <row r="187" spans="1:6" hidden="1" x14ac:dyDescent="0.25">
      <c r="A187" t="s">
        <v>7</v>
      </c>
      <c r="B187" s="2">
        <v>42521</v>
      </c>
      <c r="C187">
        <f t="shared" ref="C187:C249" si="2">YEAR(B187)</f>
        <v>2016</v>
      </c>
      <c r="E187" t="s">
        <v>6</v>
      </c>
      <c r="F187">
        <v>103.3</v>
      </c>
    </row>
    <row r="188" spans="1:6" hidden="1" x14ac:dyDescent="0.25">
      <c r="A188" t="s">
        <v>7</v>
      </c>
      <c r="B188" s="2">
        <v>42521</v>
      </c>
      <c r="C188">
        <f t="shared" si="2"/>
        <v>2016</v>
      </c>
      <c r="E188" t="s">
        <v>6</v>
      </c>
      <c r="F188">
        <v>122.6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106.7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118.4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64.3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54.6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86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82.6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96.5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88.4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102.8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93.6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117.4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103.2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114.5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108.9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118.9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111.8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110.2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124.6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120.5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109.1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123.6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117.7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121.5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118.8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122.4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113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115.9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117.7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62.4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57.1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82.1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79.7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89.9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87.6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93.2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90.1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102.3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98.2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105.5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98.8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110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99.3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113.2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106.4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117.6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109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115.1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108.3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114.4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105.5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52.3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72.099999999999994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78.900000000000006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90.7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98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100.2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104.2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100.3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93.8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105.9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58.7</v>
      </c>
    </row>
    <row r="250" spans="1:6" hidden="1" x14ac:dyDescent="0.25">
      <c r="A250" t="s">
        <v>7</v>
      </c>
      <c r="B250" s="2">
        <v>43880</v>
      </c>
      <c r="C250">
        <f t="shared" ref="C250:C312" si="3">YEAR(B250)</f>
        <v>2020</v>
      </c>
      <c r="E250" t="s">
        <v>6</v>
      </c>
      <c r="F250">
        <v>79.599999999999994</v>
      </c>
    </row>
    <row r="251" spans="1:6" hidden="1" x14ac:dyDescent="0.25">
      <c r="A251" t="s">
        <v>7</v>
      </c>
      <c r="B251" s="2">
        <v>43892</v>
      </c>
      <c r="C251">
        <f t="shared" si="3"/>
        <v>2020</v>
      </c>
      <c r="E251" t="s">
        <v>6</v>
      </c>
      <c r="F251">
        <v>77.900000000000006</v>
      </c>
    </row>
    <row r="252" spans="1:6" hidden="1" x14ac:dyDescent="0.25">
      <c r="A252" t="s">
        <v>7</v>
      </c>
      <c r="B252" s="2">
        <v>43906</v>
      </c>
      <c r="C252">
        <f t="shared" si="3"/>
        <v>2020</v>
      </c>
      <c r="E252" t="s">
        <v>6</v>
      </c>
      <c r="F252">
        <v>88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104.6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103.2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101.2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70.474939759999998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78.175444440000007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89.277777779999994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96.960333329999997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105.0482222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110.81411110000001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112.8977778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114.4113333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119.33077780000001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119.8372222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121.1773333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56.9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81.2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94.7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97.8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109.2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107.3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112.8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110.8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115.6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114.4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113.8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119.1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63.8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92.9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102.8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112.2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123.8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125.9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129.1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132.1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131.9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134.6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134.80000000000001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130.9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127.7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61.5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82.5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93.7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95.8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105.4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106.4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108.9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112.6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116.3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115.2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115.4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56.6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75.3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82.6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92.1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104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100.7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100.9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105.2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93.4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109.8</v>
      </c>
    </row>
    <row r="313" spans="1:6" hidden="1" x14ac:dyDescent="0.25">
      <c r="A313" t="s">
        <v>7</v>
      </c>
      <c r="B313" s="2">
        <v>43851</v>
      </c>
      <c r="C313">
        <f t="shared" ref="C313:C374" si="4">YEAR(B313)</f>
        <v>2020</v>
      </c>
      <c r="E313" t="s">
        <v>6</v>
      </c>
      <c r="F313">
        <v>61.3</v>
      </c>
    </row>
    <row r="314" spans="1:6" hidden="1" x14ac:dyDescent="0.25">
      <c r="A314" t="s">
        <v>7</v>
      </c>
      <c r="B314" s="2">
        <v>43880</v>
      </c>
      <c r="C314">
        <f t="shared" si="4"/>
        <v>2020</v>
      </c>
      <c r="E314" t="s">
        <v>6</v>
      </c>
      <c r="F314">
        <v>85.2</v>
      </c>
    </row>
    <row r="315" spans="1:6" hidden="1" x14ac:dyDescent="0.25">
      <c r="A315" t="s">
        <v>7</v>
      </c>
      <c r="B315" s="2">
        <v>43894</v>
      </c>
      <c r="C315">
        <f t="shared" si="4"/>
        <v>2020</v>
      </c>
      <c r="E315" t="s">
        <v>6</v>
      </c>
      <c r="F315">
        <v>82.7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93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108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107.8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107.9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68.09566667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88.180795450000005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97.313999999999993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100.2647778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104.94333330000001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104.7833333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107.1852222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97.25755556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110.47156630000001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104.2146667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65.2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62.3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61.2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61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91.7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88.5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81.3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78.599999999999994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85.2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100.6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99.5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85.7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109.5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103.6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93.8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91.6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118.7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113.1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102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99.5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101.5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118.9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112.3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104.3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120.9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114.2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102.6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101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122.8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117.3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103.3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104.8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108.8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122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123.2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104.9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122.6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110.8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110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121.7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109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121.5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121.1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108.4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124</v>
      </c>
    </row>
    <row r="375" spans="1:6" hidden="1" x14ac:dyDescent="0.25">
      <c r="A375" t="s">
        <v>7</v>
      </c>
      <c r="B375" s="2">
        <v>42535</v>
      </c>
      <c r="C375">
        <f t="shared" ref="C375:C438" si="5">YEAR(B375)</f>
        <v>2016</v>
      </c>
      <c r="E375" t="s">
        <v>6</v>
      </c>
      <c r="F375">
        <v>123.9</v>
      </c>
    </row>
    <row r="376" spans="1:6" hidden="1" x14ac:dyDescent="0.25">
      <c r="A376" t="s">
        <v>7</v>
      </c>
      <c r="B376" s="2">
        <v>42535</v>
      </c>
      <c r="C376">
        <f t="shared" si="5"/>
        <v>2016</v>
      </c>
      <c r="E376" t="s">
        <v>6</v>
      </c>
      <c r="F376">
        <v>114.6</v>
      </c>
    </row>
    <row r="377" spans="1:6" hidden="1" x14ac:dyDescent="0.25">
      <c r="A377" t="s">
        <v>7</v>
      </c>
      <c r="B377" s="2">
        <v>42753</v>
      </c>
      <c r="C377">
        <f t="shared" si="5"/>
        <v>2017</v>
      </c>
      <c r="E377" t="s">
        <v>6</v>
      </c>
      <c r="F377">
        <v>63.7</v>
      </c>
    </row>
    <row r="378" spans="1:6" hidden="1" x14ac:dyDescent="0.25">
      <c r="A378" t="s">
        <v>7</v>
      </c>
      <c r="B378" s="2">
        <v>42753</v>
      </c>
      <c r="C378">
        <f t="shared" si="5"/>
        <v>2017</v>
      </c>
      <c r="E378" t="s">
        <v>6</v>
      </c>
      <c r="F378">
        <v>64.7</v>
      </c>
    </row>
    <row r="379" spans="1:6" hidden="1" x14ac:dyDescent="0.25">
      <c r="A379" t="s">
        <v>7</v>
      </c>
      <c r="B379" s="2">
        <v>42753</v>
      </c>
      <c r="C379">
        <f t="shared" si="5"/>
        <v>2017</v>
      </c>
      <c r="E379" t="s">
        <v>6</v>
      </c>
      <c r="F379">
        <v>67.099999999999994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70.2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93.9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84.1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96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85.8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107.9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102.9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94.6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98.9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110.9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101.5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112.1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105.8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126.1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109.7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123.2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116.9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128.69999999999999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115.1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127.2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119.1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131.69999999999999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116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125.3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120.2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114.2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125.6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120.9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130.30000000000001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135.9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128.4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116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121.5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130.30000000000001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121.6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131.6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123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133.1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116.4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131.9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124.7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119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121.2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132.6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117.5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121.7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130.1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59.6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67.7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63.1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68.400000000000006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81.5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88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77.2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84.2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88.9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93.5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88.1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94.7</v>
      </c>
    </row>
    <row r="439" spans="1:6" hidden="1" x14ac:dyDescent="0.25">
      <c r="A439" t="s">
        <v>7</v>
      </c>
      <c r="B439" s="2">
        <v>43178</v>
      </c>
      <c r="C439">
        <f t="shared" ref="C439:C501" si="6">YEAR(B439)</f>
        <v>2018</v>
      </c>
      <c r="E439" t="s">
        <v>6</v>
      </c>
      <c r="F439">
        <v>92.8</v>
      </c>
    </row>
    <row r="440" spans="1:6" hidden="1" x14ac:dyDescent="0.25">
      <c r="A440" t="s">
        <v>7</v>
      </c>
      <c r="B440" s="2">
        <v>43178</v>
      </c>
      <c r="C440">
        <f t="shared" si="6"/>
        <v>2018</v>
      </c>
      <c r="E440" t="s">
        <v>6</v>
      </c>
      <c r="F440">
        <v>100.4</v>
      </c>
    </row>
    <row r="441" spans="1:6" hidden="1" x14ac:dyDescent="0.25">
      <c r="A441" t="s">
        <v>7</v>
      </c>
      <c r="B441" s="2">
        <v>43179</v>
      </c>
      <c r="C441">
        <f t="shared" si="6"/>
        <v>2018</v>
      </c>
      <c r="E441" t="s">
        <v>6</v>
      </c>
      <c r="F441">
        <v>93.1</v>
      </c>
    </row>
    <row r="442" spans="1:6" hidden="1" x14ac:dyDescent="0.25">
      <c r="A442" t="s">
        <v>7</v>
      </c>
      <c r="B442" s="2">
        <v>43179</v>
      </c>
      <c r="C442">
        <f t="shared" si="6"/>
        <v>2018</v>
      </c>
      <c r="E442" t="s">
        <v>6</v>
      </c>
      <c r="F442">
        <v>96.3</v>
      </c>
    </row>
    <row r="443" spans="1:6" hidden="1" x14ac:dyDescent="0.25">
      <c r="A443" t="s">
        <v>7</v>
      </c>
      <c r="B443" s="2">
        <v>43194</v>
      </c>
      <c r="C443">
        <f t="shared" si="6"/>
        <v>2018</v>
      </c>
      <c r="E443" t="s">
        <v>6</v>
      </c>
      <c r="F443">
        <v>102.6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110.1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98.9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105.7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100.4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111.8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100.7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109.4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102.3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111.2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103.4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114.4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100.7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106.2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118.2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114.1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109.9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114.4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118.9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120.6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109.5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118.4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107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116.6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112.9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118.1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104.3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118.2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58.2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57.8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64.400000000000006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50.5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81.599999999999994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85.6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87.8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74.099999999999994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90.8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73.5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83.8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98.2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81.7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95.2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100.7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106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107.4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89.5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102.5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110.4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109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94.3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104.4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108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113.2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94.4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102.6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110.5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108.9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95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93.8</v>
      </c>
    </row>
    <row r="502" spans="1:6" hidden="1" x14ac:dyDescent="0.25">
      <c r="A502" t="s">
        <v>7</v>
      </c>
      <c r="B502" s="2">
        <v>43584</v>
      </c>
      <c r="C502">
        <f t="shared" ref="C502:C564" si="7">YEAR(B502)</f>
        <v>2019</v>
      </c>
      <c r="E502" t="s">
        <v>6</v>
      </c>
      <c r="F502">
        <v>98.5</v>
      </c>
    </row>
    <row r="503" spans="1:6" hidden="1" x14ac:dyDescent="0.25">
      <c r="A503" t="s">
        <v>7</v>
      </c>
      <c r="B503" s="2">
        <v>43584</v>
      </c>
      <c r="C503">
        <f t="shared" si="7"/>
        <v>2019</v>
      </c>
      <c r="E503" t="s">
        <v>6</v>
      </c>
      <c r="F503">
        <v>102.3</v>
      </c>
    </row>
    <row r="504" spans="1:6" hidden="1" x14ac:dyDescent="0.25">
      <c r="A504" t="s">
        <v>7</v>
      </c>
      <c r="B504" s="2">
        <v>43584</v>
      </c>
      <c r="C504">
        <f t="shared" si="7"/>
        <v>2019</v>
      </c>
      <c r="E504" t="s">
        <v>6</v>
      </c>
      <c r="F504">
        <v>85.4</v>
      </c>
    </row>
    <row r="505" spans="1:6" hidden="1" x14ac:dyDescent="0.25">
      <c r="A505" t="s">
        <v>7</v>
      </c>
      <c r="B505" s="2">
        <v>43612</v>
      </c>
      <c r="C505">
        <f t="shared" si="7"/>
        <v>2019</v>
      </c>
      <c r="E505" t="s">
        <v>6</v>
      </c>
      <c r="F505">
        <v>116.6</v>
      </c>
    </row>
    <row r="506" spans="1:6" hidden="1" x14ac:dyDescent="0.25">
      <c r="A506" t="s">
        <v>7</v>
      </c>
      <c r="B506" s="2">
        <v>43612</v>
      </c>
      <c r="C506">
        <f t="shared" si="7"/>
        <v>2019</v>
      </c>
      <c r="E506" t="s">
        <v>6</v>
      </c>
      <c r="F506">
        <v>97.5</v>
      </c>
    </row>
    <row r="507" spans="1:6" hidden="1" x14ac:dyDescent="0.25">
      <c r="A507" t="s">
        <v>7</v>
      </c>
      <c r="B507" s="2">
        <v>43613</v>
      </c>
      <c r="C507">
        <f t="shared" si="7"/>
        <v>2019</v>
      </c>
      <c r="E507" t="s">
        <v>6</v>
      </c>
      <c r="F507">
        <v>104.5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114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56.7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70.8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74.599999999999994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75.900000000000006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87.8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85.9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78.099999999999994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99.8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92.5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84.3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108.8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99.9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94.6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121.5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113.2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122.7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99.3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120.8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91.7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115.7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68.366222219999997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60.43444444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59.576333329999997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70.137222219999998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67.538888889999996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68.143777779999994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77.873333329999994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86.499777780000002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75.648222219999994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84.237333329999998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95.272444440000001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86.118555560000004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101.1565556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92.894333329999995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92.753333330000004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104.657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101.2516667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97.531000000000006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97.304888890000001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110.3821111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101.0704444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110.3692222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97.827444439999994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98.942444440000003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109.3193333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97.286555559999996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104.60788890000001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113.8327778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97.199777780000005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109.16333330000001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115.5402222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97.870111109999996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102.58633330000001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60.2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83.8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87.9</v>
      </c>
    </row>
    <row r="565" spans="1:6" hidden="1" x14ac:dyDescent="0.25">
      <c r="A565" t="s">
        <v>8</v>
      </c>
      <c r="B565" s="2">
        <v>43906</v>
      </c>
      <c r="C565">
        <f t="shared" ref="C565:C612" si="8">YEAR(B565)</f>
        <v>2020</v>
      </c>
      <c r="E565" t="s">
        <v>9</v>
      </c>
      <c r="F565">
        <v>97.1</v>
      </c>
    </row>
    <row r="566" spans="1:6" hidden="1" x14ac:dyDescent="0.25">
      <c r="A566" t="s">
        <v>8</v>
      </c>
      <c r="B566" s="2">
        <v>43949</v>
      </c>
      <c r="C566">
        <f t="shared" si="8"/>
        <v>2020</v>
      </c>
      <c r="E566" t="s">
        <v>9</v>
      </c>
      <c r="F566">
        <v>109.3</v>
      </c>
    </row>
    <row r="567" spans="1:6" hidden="1" x14ac:dyDescent="0.25">
      <c r="A567" t="s">
        <v>8</v>
      </c>
      <c r="B567" s="2">
        <v>43963</v>
      </c>
      <c r="C567">
        <f t="shared" si="8"/>
        <v>2020</v>
      </c>
      <c r="E567" t="s">
        <v>9</v>
      </c>
      <c r="F567">
        <v>116.6</v>
      </c>
    </row>
    <row r="568" spans="1:6" hidden="1" x14ac:dyDescent="0.25">
      <c r="A568" t="s">
        <v>8</v>
      </c>
      <c r="B568" s="2">
        <v>43976</v>
      </c>
      <c r="C568">
        <f t="shared" si="8"/>
        <v>2020</v>
      </c>
      <c r="E568" t="s">
        <v>9</v>
      </c>
      <c r="F568">
        <v>116.8</v>
      </c>
    </row>
    <row r="569" spans="1:6" hidden="1" x14ac:dyDescent="0.25">
      <c r="A569" t="s">
        <v>8</v>
      </c>
      <c r="B569" s="2">
        <v>44221</v>
      </c>
      <c r="C569">
        <f t="shared" si="8"/>
        <v>2021</v>
      </c>
      <c r="E569" t="s">
        <v>9</v>
      </c>
      <c r="F569">
        <v>66.148111110000002</v>
      </c>
    </row>
    <row r="570" spans="1:6" hidden="1" x14ac:dyDescent="0.25">
      <c r="A570" t="s">
        <v>8</v>
      </c>
      <c r="B570" s="2">
        <v>44245</v>
      </c>
      <c r="C570">
        <f t="shared" si="8"/>
        <v>2021</v>
      </c>
      <c r="E570" t="s">
        <v>9</v>
      </c>
      <c r="F570">
        <v>78.188777779999995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85.639222219999994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91.981555560000004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96.656555560000001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102.13188890000001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106.438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114.3467778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108.5084444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110.1386667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114.625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66.400000000000006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76.599999999999994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82.4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99.9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91.4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103.4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107.5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110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111.3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115.8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115.8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73.099999999999994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87.7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103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104.4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120.2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122.5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126.6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126.7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129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129.19999999999999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126.5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67.5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78.2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86.7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92.6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99.8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103.5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113.8</v>
      </c>
    </row>
    <row r="609" spans="1:13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87.9</v>
      </c>
    </row>
    <row r="610" spans="1:13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105.6</v>
      </c>
    </row>
    <row r="611" spans="1:13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99.6</v>
      </c>
    </row>
    <row r="612" spans="1:13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104.6</v>
      </c>
    </row>
    <row r="613" spans="1:13" hidden="1" x14ac:dyDescent="0.25"/>
    <row r="614" spans="1:13" hidden="1" x14ac:dyDescent="0.25">
      <c r="A614" t="s">
        <v>10</v>
      </c>
      <c r="B614" s="2">
        <v>42387</v>
      </c>
      <c r="C614">
        <v>2016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hidden="1" x14ac:dyDescent="0.25">
      <c r="A615" t="s">
        <v>10</v>
      </c>
      <c r="B615" s="2">
        <v>42387</v>
      </c>
      <c r="C615">
        <v>2016</v>
      </c>
      <c r="E615" t="s">
        <v>6</v>
      </c>
      <c r="F615">
        <v>58.3</v>
      </c>
      <c r="G615">
        <f t="shared" ref="G615:G678" si="9">F615</f>
        <v>58.3</v>
      </c>
      <c r="I615" s="5">
        <f t="shared" ref="I615:I678" si="10" xml:space="preserve"> DATEDIF(DATE(YEAR(M615),1,0),M615,"d")+1</f>
        <v>334</v>
      </c>
      <c r="M615" s="2">
        <v>42337</v>
      </c>
    </row>
    <row r="616" spans="1:13" hidden="1" x14ac:dyDescent="0.25">
      <c r="A616" t="s">
        <v>10</v>
      </c>
      <c r="B616" s="2">
        <v>42423</v>
      </c>
      <c r="C616">
        <v>2016</v>
      </c>
      <c r="E616" t="s">
        <v>6</v>
      </c>
      <c r="F616">
        <v>74.400000000000006</v>
      </c>
      <c r="G616">
        <f t="shared" si="9"/>
        <v>74.400000000000006</v>
      </c>
      <c r="I616" s="5">
        <f t="shared" si="10"/>
        <v>331</v>
      </c>
      <c r="M616" s="2">
        <v>42334</v>
      </c>
    </row>
    <row r="617" spans="1:13" hidden="1" x14ac:dyDescent="0.25">
      <c r="A617" t="s">
        <v>10</v>
      </c>
      <c r="B617" s="2">
        <v>42423</v>
      </c>
      <c r="C617">
        <v>2016</v>
      </c>
      <c r="E617" t="s">
        <v>6</v>
      </c>
      <c r="F617">
        <v>85.7</v>
      </c>
      <c r="G617">
        <f t="shared" si="9"/>
        <v>85.7</v>
      </c>
      <c r="I617" s="5">
        <f t="shared" si="10"/>
        <v>333</v>
      </c>
      <c r="M617" s="2">
        <v>42336</v>
      </c>
    </row>
    <row r="618" spans="1:13" hidden="1" x14ac:dyDescent="0.25">
      <c r="A618" t="s">
        <v>10</v>
      </c>
      <c r="B618" s="2">
        <v>42437</v>
      </c>
      <c r="C618">
        <v>2016</v>
      </c>
      <c r="E618" t="s">
        <v>6</v>
      </c>
      <c r="F618">
        <v>79.400000000000006</v>
      </c>
      <c r="G618">
        <f t="shared" si="9"/>
        <v>79.400000000000006</v>
      </c>
      <c r="I618" s="5">
        <f t="shared" si="10"/>
        <v>331</v>
      </c>
      <c r="M618" s="2">
        <v>42334</v>
      </c>
    </row>
    <row r="619" spans="1:13" hidden="1" x14ac:dyDescent="0.25">
      <c r="A619" t="s">
        <v>10</v>
      </c>
      <c r="B619" s="2">
        <v>42437</v>
      </c>
      <c r="C619">
        <v>2016</v>
      </c>
      <c r="E619" t="s">
        <v>6</v>
      </c>
      <c r="F619">
        <v>92.4</v>
      </c>
      <c r="G619">
        <f t="shared" si="9"/>
        <v>92.4</v>
      </c>
      <c r="I619" s="5">
        <f t="shared" si="10"/>
        <v>336</v>
      </c>
      <c r="M619" s="2">
        <v>42339</v>
      </c>
    </row>
    <row r="620" spans="1:13" hidden="1" x14ac:dyDescent="0.25">
      <c r="A620" t="s">
        <v>10</v>
      </c>
      <c r="B620" s="2">
        <v>42451</v>
      </c>
      <c r="C620">
        <v>2016</v>
      </c>
      <c r="E620" t="s">
        <v>6</v>
      </c>
      <c r="F620">
        <v>91.9</v>
      </c>
      <c r="G620">
        <f t="shared" si="9"/>
        <v>91.9</v>
      </c>
      <c r="I620" s="5">
        <f t="shared" si="10"/>
        <v>330</v>
      </c>
      <c r="M620" s="2">
        <v>42333</v>
      </c>
    </row>
    <row r="621" spans="1:13" hidden="1" x14ac:dyDescent="0.25">
      <c r="A621" t="s">
        <v>10</v>
      </c>
      <c r="B621" s="2">
        <v>42451</v>
      </c>
      <c r="C621">
        <v>2016</v>
      </c>
      <c r="E621" t="s">
        <v>6</v>
      </c>
      <c r="F621">
        <v>101.1</v>
      </c>
      <c r="G621">
        <f t="shared" si="9"/>
        <v>101.1</v>
      </c>
      <c r="I621" s="5">
        <f t="shared" si="10"/>
        <v>331</v>
      </c>
      <c r="M621" s="2">
        <v>42334</v>
      </c>
    </row>
    <row r="622" spans="1:13" hidden="1" x14ac:dyDescent="0.25">
      <c r="A622" t="s">
        <v>10</v>
      </c>
      <c r="B622" s="2">
        <v>42466</v>
      </c>
      <c r="C622">
        <v>2016</v>
      </c>
      <c r="E622" t="s">
        <v>6</v>
      </c>
      <c r="F622">
        <v>94.9</v>
      </c>
      <c r="G622">
        <f t="shared" si="9"/>
        <v>94.9</v>
      </c>
      <c r="I622" s="5">
        <f t="shared" si="10"/>
        <v>336</v>
      </c>
      <c r="M622" s="2">
        <v>42339</v>
      </c>
    </row>
    <row r="623" spans="1:13" hidden="1" x14ac:dyDescent="0.25">
      <c r="A623" t="s">
        <v>10</v>
      </c>
      <c r="B623" s="2">
        <v>42467</v>
      </c>
      <c r="C623">
        <v>2016</v>
      </c>
      <c r="E623" t="s">
        <v>6</v>
      </c>
      <c r="F623">
        <v>113.4</v>
      </c>
      <c r="G623">
        <f t="shared" si="9"/>
        <v>113.4</v>
      </c>
      <c r="I623" s="5">
        <f t="shared" si="10"/>
        <v>327</v>
      </c>
      <c r="M623" s="2">
        <v>42330</v>
      </c>
    </row>
    <row r="624" spans="1:13" hidden="1" x14ac:dyDescent="0.25">
      <c r="A624" t="s">
        <v>10</v>
      </c>
      <c r="B624" s="2">
        <v>42474</v>
      </c>
      <c r="C624">
        <v>2016</v>
      </c>
      <c r="E624" t="s">
        <v>6</v>
      </c>
      <c r="F624">
        <v>115.3</v>
      </c>
      <c r="G624">
        <f t="shared" si="9"/>
        <v>115.3</v>
      </c>
      <c r="I624" s="5">
        <f t="shared" si="10"/>
        <v>334</v>
      </c>
      <c r="M624" s="2">
        <v>42337</v>
      </c>
    </row>
    <row r="625" spans="1:13" hidden="1" x14ac:dyDescent="0.25">
      <c r="A625" t="s">
        <v>10</v>
      </c>
      <c r="B625" s="2">
        <v>42475</v>
      </c>
      <c r="C625">
        <v>2016</v>
      </c>
      <c r="E625" t="s">
        <v>6</v>
      </c>
      <c r="F625">
        <v>101.2</v>
      </c>
      <c r="G625">
        <f t="shared" si="9"/>
        <v>101.2</v>
      </c>
      <c r="I625" s="5">
        <f t="shared" si="10"/>
        <v>331</v>
      </c>
      <c r="M625" s="2">
        <v>42334</v>
      </c>
    </row>
    <row r="626" spans="1:13" hidden="1" x14ac:dyDescent="0.25">
      <c r="A626" t="s">
        <v>10</v>
      </c>
      <c r="B626" s="2">
        <v>42482</v>
      </c>
      <c r="C626">
        <v>2016</v>
      </c>
      <c r="E626" t="s">
        <v>6</v>
      </c>
      <c r="F626">
        <v>103.3</v>
      </c>
      <c r="G626">
        <f t="shared" si="9"/>
        <v>103.3</v>
      </c>
      <c r="I626" s="5">
        <f t="shared" si="10"/>
        <v>333</v>
      </c>
      <c r="M626" s="2">
        <v>42336</v>
      </c>
    </row>
    <row r="627" spans="1:13" hidden="1" x14ac:dyDescent="0.25">
      <c r="A627" t="s">
        <v>10</v>
      </c>
      <c r="B627" s="2">
        <v>42482</v>
      </c>
      <c r="C627">
        <v>2016</v>
      </c>
      <c r="E627" t="s">
        <v>6</v>
      </c>
      <c r="F627">
        <v>119.2</v>
      </c>
      <c r="G627">
        <f t="shared" si="9"/>
        <v>119.2</v>
      </c>
      <c r="I627" s="5">
        <f t="shared" si="10"/>
        <v>330</v>
      </c>
      <c r="M627" s="2">
        <v>42333</v>
      </c>
    </row>
    <row r="628" spans="1:13" hidden="1" x14ac:dyDescent="0.25">
      <c r="A628" t="s">
        <v>10</v>
      </c>
      <c r="B628" s="2">
        <v>42486</v>
      </c>
      <c r="C628">
        <v>2016</v>
      </c>
      <c r="E628" t="s">
        <v>6</v>
      </c>
      <c r="F628">
        <v>103.4</v>
      </c>
      <c r="G628">
        <f t="shared" si="9"/>
        <v>103.4</v>
      </c>
      <c r="I628" s="5">
        <f t="shared" si="10"/>
        <v>331</v>
      </c>
      <c r="M628" s="2">
        <v>42334</v>
      </c>
    </row>
    <row r="629" spans="1:13" hidden="1" x14ac:dyDescent="0.25">
      <c r="A629" t="s">
        <v>10</v>
      </c>
      <c r="B629" s="2">
        <v>42486</v>
      </c>
      <c r="C629">
        <v>2016</v>
      </c>
      <c r="E629" t="s">
        <v>6</v>
      </c>
      <c r="F629">
        <v>115.3</v>
      </c>
      <c r="G629">
        <f t="shared" si="9"/>
        <v>115.3</v>
      </c>
      <c r="I629" s="5">
        <f t="shared" si="10"/>
        <v>336</v>
      </c>
      <c r="M629" s="2">
        <v>42339</v>
      </c>
    </row>
    <row r="630" spans="1:13" hidden="1" x14ac:dyDescent="0.25">
      <c r="A630" t="s">
        <v>10</v>
      </c>
      <c r="B630" s="2">
        <v>42493</v>
      </c>
      <c r="C630">
        <v>2016</v>
      </c>
      <c r="E630" t="s">
        <v>6</v>
      </c>
      <c r="F630">
        <v>105.7</v>
      </c>
      <c r="G630">
        <v>113.07</v>
      </c>
      <c r="H630" t="s">
        <v>27</v>
      </c>
      <c r="I630" s="5">
        <f t="shared" si="10"/>
        <v>330</v>
      </c>
      <c r="M630" s="2">
        <v>42333</v>
      </c>
    </row>
    <row r="631" spans="1:13" hidden="1" x14ac:dyDescent="0.25">
      <c r="A631" t="s">
        <v>10</v>
      </c>
      <c r="B631" s="2">
        <v>42493</v>
      </c>
      <c r="C631">
        <v>2016</v>
      </c>
      <c r="E631" t="s">
        <v>6</v>
      </c>
      <c r="F631">
        <v>122.2</v>
      </c>
      <c r="G631">
        <f t="shared" si="9"/>
        <v>122.2</v>
      </c>
      <c r="I631" s="5">
        <f t="shared" si="10"/>
        <v>327</v>
      </c>
      <c r="M631" s="2">
        <v>42330</v>
      </c>
    </row>
    <row r="632" spans="1:13" hidden="1" x14ac:dyDescent="0.25">
      <c r="A632" t="s">
        <v>10</v>
      </c>
      <c r="B632" s="2">
        <v>42510</v>
      </c>
      <c r="C632">
        <v>2016</v>
      </c>
      <c r="E632" t="s">
        <v>6</v>
      </c>
      <c r="F632">
        <v>106.7</v>
      </c>
      <c r="G632">
        <f t="shared" si="9"/>
        <v>106.7</v>
      </c>
      <c r="I632" s="5">
        <f t="shared" si="10"/>
        <v>334</v>
      </c>
      <c r="M632" s="2">
        <v>42337</v>
      </c>
    </row>
    <row r="633" spans="1:13" hidden="1" x14ac:dyDescent="0.25">
      <c r="A633" t="s">
        <v>10</v>
      </c>
      <c r="B633" s="2">
        <v>42510</v>
      </c>
      <c r="C633">
        <v>2016</v>
      </c>
      <c r="E633" t="s">
        <v>6</v>
      </c>
      <c r="F633">
        <v>123.3</v>
      </c>
      <c r="G633">
        <f t="shared" si="9"/>
        <v>123.3</v>
      </c>
      <c r="I633" s="5">
        <f t="shared" si="10"/>
        <v>331</v>
      </c>
      <c r="M633" s="2">
        <v>42334</v>
      </c>
    </row>
    <row r="634" spans="1:13" hidden="1" x14ac:dyDescent="0.25">
      <c r="A634" t="s">
        <v>10</v>
      </c>
      <c r="B634" s="2">
        <v>42521</v>
      </c>
      <c r="C634">
        <v>2016</v>
      </c>
      <c r="E634" t="s">
        <v>6</v>
      </c>
      <c r="F634">
        <v>103.3</v>
      </c>
      <c r="G634">
        <f t="shared" si="9"/>
        <v>103.3</v>
      </c>
      <c r="I634" s="5">
        <f t="shared" si="10"/>
        <v>333</v>
      </c>
      <c r="M634" s="2">
        <v>42336</v>
      </c>
    </row>
    <row r="635" spans="1:13" hidden="1" x14ac:dyDescent="0.25">
      <c r="A635" t="s">
        <v>10</v>
      </c>
      <c r="B635" s="2">
        <v>42521</v>
      </c>
      <c r="C635">
        <v>2016</v>
      </c>
      <c r="E635" t="s">
        <v>6</v>
      </c>
      <c r="F635">
        <v>122.6</v>
      </c>
      <c r="G635">
        <f t="shared" si="9"/>
        <v>122.6</v>
      </c>
      <c r="I635" s="5">
        <f t="shared" si="10"/>
        <v>331</v>
      </c>
      <c r="M635" s="2">
        <v>42334</v>
      </c>
    </row>
    <row r="636" spans="1:13" hidden="1" x14ac:dyDescent="0.25">
      <c r="A636" t="s">
        <v>10</v>
      </c>
      <c r="B636" s="2">
        <v>42535</v>
      </c>
      <c r="C636">
        <v>2016</v>
      </c>
      <c r="E636" t="s">
        <v>6</v>
      </c>
      <c r="F636">
        <v>106.7</v>
      </c>
      <c r="G636">
        <f t="shared" si="9"/>
        <v>106.7</v>
      </c>
      <c r="I636" s="5">
        <f t="shared" si="10"/>
        <v>336</v>
      </c>
      <c r="M636" s="2">
        <v>42339</v>
      </c>
    </row>
    <row r="637" spans="1:13" hidden="1" x14ac:dyDescent="0.25">
      <c r="A637" t="s">
        <v>10</v>
      </c>
      <c r="B637" s="2">
        <v>42535</v>
      </c>
      <c r="C637">
        <v>2016</v>
      </c>
      <c r="E637" t="s">
        <v>6</v>
      </c>
      <c r="F637">
        <v>118.4</v>
      </c>
      <c r="G637">
        <f t="shared" si="9"/>
        <v>118.4</v>
      </c>
      <c r="I637" s="5">
        <f t="shared" si="10"/>
        <v>327</v>
      </c>
      <c r="M637" s="2">
        <v>42330</v>
      </c>
    </row>
    <row r="638" spans="1:13" hidden="1" x14ac:dyDescent="0.25">
      <c r="A638" t="s">
        <v>10</v>
      </c>
      <c r="B638" s="2">
        <v>42386</v>
      </c>
      <c r="C638">
        <v>2016</v>
      </c>
      <c r="E638" t="s">
        <v>6</v>
      </c>
      <c r="F638">
        <v>56.9</v>
      </c>
      <c r="G638">
        <f t="shared" si="9"/>
        <v>56.9</v>
      </c>
      <c r="I638" s="5">
        <f t="shared" si="10"/>
        <v>334</v>
      </c>
      <c r="M638" s="2">
        <v>42337</v>
      </c>
    </row>
    <row r="639" spans="1:13" hidden="1" x14ac:dyDescent="0.25">
      <c r="A639" t="s">
        <v>10</v>
      </c>
      <c r="B639" s="2">
        <v>42424</v>
      </c>
      <c r="C639">
        <v>2016</v>
      </c>
      <c r="E639" t="s">
        <v>6</v>
      </c>
      <c r="F639">
        <v>81.2</v>
      </c>
      <c r="G639">
        <f t="shared" si="9"/>
        <v>81.2</v>
      </c>
      <c r="I639" s="5">
        <f t="shared" si="10"/>
        <v>331</v>
      </c>
      <c r="M639" s="2">
        <v>42334</v>
      </c>
    </row>
    <row r="640" spans="1:13" hidden="1" x14ac:dyDescent="0.25">
      <c r="A640" t="s">
        <v>10</v>
      </c>
      <c r="B640" s="2">
        <v>42439</v>
      </c>
      <c r="C640">
        <v>2016</v>
      </c>
      <c r="E640" t="s">
        <v>6</v>
      </c>
      <c r="F640">
        <v>94.7</v>
      </c>
      <c r="G640">
        <f t="shared" si="9"/>
        <v>94.7</v>
      </c>
      <c r="I640" s="5">
        <f t="shared" si="10"/>
        <v>333</v>
      </c>
      <c r="M640" s="2">
        <v>42336</v>
      </c>
    </row>
    <row r="641" spans="1:13" hidden="1" x14ac:dyDescent="0.25">
      <c r="A641" t="s">
        <v>10</v>
      </c>
      <c r="B641" s="2">
        <v>42452</v>
      </c>
      <c r="C641">
        <v>2016</v>
      </c>
      <c r="E641" t="s">
        <v>6</v>
      </c>
      <c r="F641">
        <v>97.8</v>
      </c>
      <c r="G641">
        <f t="shared" si="9"/>
        <v>97.8</v>
      </c>
      <c r="I641" s="5">
        <f t="shared" si="10"/>
        <v>330</v>
      </c>
      <c r="M641" s="2">
        <v>42333</v>
      </c>
    </row>
    <row r="642" spans="1:13" hidden="1" x14ac:dyDescent="0.25">
      <c r="A642" t="s">
        <v>10</v>
      </c>
      <c r="B642" s="2">
        <v>42467</v>
      </c>
      <c r="C642">
        <v>2016</v>
      </c>
      <c r="E642" t="s">
        <v>6</v>
      </c>
      <c r="F642">
        <v>109.2</v>
      </c>
      <c r="G642">
        <f t="shared" si="9"/>
        <v>109.2</v>
      </c>
      <c r="I642" s="5">
        <f t="shared" si="10"/>
        <v>331</v>
      </c>
      <c r="M642" s="2">
        <v>42334</v>
      </c>
    </row>
    <row r="643" spans="1:13" hidden="1" x14ac:dyDescent="0.25">
      <c r="A643" t="s">
        <v>10</v>
      </c>
      <c r="B643" s="2">
        <v>42474</v>
      </c>
      <c r="C643">
        <v>2016</v>
      </c>
      <c r="E643" t="s">
        <v>6</v>
      </c>
      <c r="F643">
        <v>107.3</v>
      </c>
      <c r="G643">
        <f t="shared" si="9"/>
        <v>107.3</v>
      </c>
      <c r="I643" s="5">
        <f t="shared" si="10"/>
        <v>327</v>
      </c>
      <c r="M643" s="2">
        <v>42330</v>
      </c>
    </row>
    <row r="644" spans="1:13" hidden="1" x14ac:dyDescent="0.25">
      <c r="A644" t="s">
        <v>10</v>
      </c>
      <c r="B644" s="2">
        <v>42482</v>
      </c>
      <c r="C644">
        <v>2016</v>
      </c>
      <c r="E644" t="s">
        <v>6</v>
      </c>
      <c r="F644">
        <v>112.8</v>
      </c>
      <c r="G644">
        <f t="shared" si="9"/>
        <v>112.8</v>
      </c>
      <c r="I644" s="5">
        <f t="shared" si="10"/>
        <v>334</v>
      </c>
      <c r="M644" s="2">
        <v>42337</v>
      </c>
    </row>
    <row r="645" spans="1:13" hidden="1" x14ac:dyDescent="0.25">
      <c r="A645" t="s">
        <v>10</v>
      </c>
      <c r="B645" s="2">
        <v>42489</v>
      </c>
      <c r="C645">
        <v>2016</v>
      </c>
      <c r="E645" t="s">
        <v>6</v>
      </c>
      <c r="F645">
        <v>110.8</v>
      </c>
      <c r="G645">
        <f t="shared" si="9"/>
        <v>110.8</v>
      </c>
      <c r="I645" s="5">
        <f t="shared" si="10"/>
        <v>336</v>
      </c>
      <c r="M645" s="2">
        <v>42339</v>
      </c>
    </row>
    <row r="646" spans="1:13" hidden="1" x14ac:dyDescent="0.25">
      <c r="A646" t="s">
        <v>10</v>
      </c>
      <c r="B646" s="2">
        <v>42496</v>
      </c>
      <c r="C646">
        <v>2016</v>
      </c>
      <c r="E646" t="s">
        <v>6</v>
      </c>
      <c r="F646">
        <v>115.6</v>
      </c>
      <c r="G646">
        <f t="shared" si="9"/>
        <v>115.6</v>
      </c>
      <c r="I646" s="5">
        <f t="shared" si="10"/>
        <v>331</v>
      </c>
      <c r="M646" s="2">
        <v>42334</v>
      </c>
    </row>
    <row r="647" spans="1:13" hidden="1" x14ac:dyDescent="0.25">
      <c r="A647" t="s">
        <v>10</v>
      </c>
      <c r="B647" s="2">
        <v>42510</v>
      </c>
      <c r="C647">
        <v>2016</v>
      </c>
      <c r="E647" t="s">
        <v>6</v>
      </c>
      <c r="F647">
        <v>114.4</v>
      </c>
      <c r="G647">
        <f t="shared" si="9"/>
        <v>114.4</v>
      </c>
      <c r="I647" s="5">
        <f t="shared" si="10"/>
        <v>333</v>
      </c>
      <c r="M647" s="2">
        <v>42336</v>
      </c>
    </row>
    <row r="648" spans="1:13" hidden="1" x14ac:dyDescent="0.25">
      <c r="A648" t="s">
        <v>10</v>
      </c>
      <c r="B648" s="2">
        <v>42523</v>
      </c>
      <c r="C648">
        <v>2016</v>
      </c>
      <c r="E648" t="s">
        <v>6</v>
      </c>
      <c r="F648">
        <v>113.8</v>
      </c>
      <c r="G648">
        <f t="shared" si="9"/>
        <v>113.8</v>
      </c>
      <c r="I648" s="5">
        <f t="shared" si="10"/>
        <v>330</v>
      </c>
      <c r="M648" s="2">
        <v>42333</v>
      </c>
    </row>
    <row r="649" spans="1:13" hidden="1" x14ac:dyDescent="0.25">
      <c r="A649" t="s">
        <v>10</v>
      </c>
      <c r="B649" s="2">
        <v>42535</v>
      </c>
      <c r="C649">
        <v>2016</v>
      </c>
      <c r="E649" t="s">
        <v>6</v>
      </c>
      <c r="F649">
        <v>119.1</v>
      </c>
      <c r="G649">
        <f t="shared" si="9"/>
        <v>119.1</v>
      </c>
      <c r="I649" s="5">
        <f t="shared" si="10"/>
        <v>336</v>
      </c>
      <c r="M649" s="2">
        <v>42339</v>
      </c>
    </row>
    <row r="650" spans="1:13" hidden="1" x14ac:dyDescent="0.25">
      <c r="A650" t="s">
        <v>10</v>
      </c>
      <c r="B650" s="2">
        <v>42386</v>
      </c>
      <c r="C650">
        <v>2016</v>
      </c>
      <c r="E650" t="s">
        <v>6</v>
      </c>
      <c r="F650">
        <v>65.2</v>
      </c>
      <c r="G650">
        <f t="shared" si="9"/>
        <v>65.2</v>
      </c>
      <c r="I650" s="5">
        <f t="shared" si="10"/>
        <v>333</v>
      </c>
      <c r="M650" s="2">
        <v>42336</v>
      </c>
    </row>
    <row r="651" spans="1:13" hidden="1" x14ac:dyDescent="0.25">
      <c r="A651" t="s">
        <v>10</v>
      </c>
      <c r="B651" s="2">
        <v>42386</v>
      </c>
      <c r="C651">
        <v>2016</v>
      </c>
      <c r="E651" t="s">
        <v>6</v>
      </c>
      <c r="F651">
        <v>62.3</v>
      </c>
      <c r="G651">
        <f t="shared" si="9"/>
        <v>62.3</v>
      </c>
      <c r="I651" s="5">
        <f t="shared" si="10"/>
        <v>330</v>
      </c>
      <c r="M651" s="2">
        <v>42333</v>
      </c>
    </row>
    <row r="652" spans="1:13" hidden="1" x14ac:dyDescent="0.25">
      <c r="A652" t="s">
        <v>10</v>
      </c>
      <c r="B652" s="2">
        <v>42386</v>
      </c>
      <c r="C652">
        <v>2016</v>
      </c>
      <c r="E652" t="s">
        <v>6</v>
      </c>
      <c r="F652">
        <v>61.2</v>
      </c>
      <c r="G652">
        <f t="shared" si="9"/>
        <v>61.2</v>
      </c>
      <c r="I652" s="5">
        <f t="shared" si="10"/>
        <v>331</v>
      </c>
      <c r="M652" s="2">
        <v>42334</v>
      </c>
    </row>
    <row r="653" spans="1:13" hidden="1" x14ac:dyDescent="0.25">
      <c r="A653" t="s">
        <v>10</v>
      </c>
      <c r="B653" s="2">
        <v>42389</v>
      </c>
      <c r="C653">
        <v>2016</v>
      </c>
      <c r="E653" t="s">
        <v>6</v>
      </c>
      <c r="F653">
        <v>61</v>
      </c>
      <c r="G653">
        <f t="shared" si="9"/>
        <v>61</v>
      </c>
      <c r="I653" s="5">
        <f t="shared" si="10"/>
        <v>327</v>
      </c>
      <c r="M653" s="2">
        <v>42330</v>
      </c>
    </row>
    <row r="654" spans="1:13" hidden="1" x14ac:dyDescent="0.25">
      <c r="A654" t="s">
        <v>10</v>
      </c>
      <c r="B654" s="2">
        <v>42424</v>
      </c>
      <c r="C654">
        <v>2016</v>
      </c>
      <c r="E654" t="s">
        <v>6</v>
      </c>
      <c r="F654">
        <v>91.7</v>
      </c>
      <c r="G654">
        <f t="shared" si="9"/>
        <v>91.7</v>
      </c>
      <c r="I654" s="5">
        <f t="shared" si="10"/>
        <v>334</v>
      </c>
      <c r="M654" s="2">
        <v>42337</v>
      </c>
    </row>
    <row r="655" spans="1:13" hidden="1" x14ac:dyDescent="0.25">
      <c r="A655" t="s">
        <v>10</v>
      </c>
      <c r="B655" s="2">
        <v>42424</v>
      </c>
      <c r="C655">
        <v>2016</v>
      </c>
      <c r="E655" t="s">
        <v>6</v>
      </c>
      <c r="F655">
        <v>88.5</v>
      </c>
      <c r="G655">
        <f t="shared" si="9"/>
        <v>88.5</v>
      </c>
      <c r="I655" s="5">
        <f t="shared" si="10"/>
        <v>331</v>
      </c>
      <c r="M655" s="2">
        <v>42334</v>
      </c>
    </row>
    <row r="656" spans="1:13" hidden="1" x14ac:dyDescent="0.25">
      <c r="A656" t="s">
        <v>10</v>
      </c>
      <c r="B656" s="2">
        <v>42424</v>
      </c>
      <c r="C656">
        <v>2016</v>
      </c>
      <c r="E656" t="s">
        <v>6</v>
      </c>
      <c r="F656">
        <v>81.3</v>
      </c>
      <c r="G656">
        <f t="shared" si="9"/>
        <v>81.3</v>
      </c>
      <c r="I656" s="5">
        <f t="shared" si="10"/>
        <v>331</v>
      </c>
      <c r="M656" s="2">
        <v>42334</v>
      </c>
    </row>
    <row r="657" spans="1:13" hidden="1" x14ac:dyDescent="0.25">
      <c r="A657" t="s">
        <v>10</v>
      </c>
      <c r="B657" s="2">
        <v>42424</v>
      </c>
      <c r="C657">
        <v>2016</v>
      </c>
      <c r="E657" t="s">
        <v>6</v>
      </c>
      <c r="F657">
        <v>78.599999999999994</v>
      </c>
      <c r="G657">
        <f t="shared" si="9"/>
        <v>78.599999999999994</v>
      </c>
      <c r="I657" s="5">
        <f t="shared" si="10"/>
        <v>327</v>
      </c>
      <c r="M657" s="2">
        <v>42330</v>
      </c>
    </row>
    <row r="658" spans="1:13" hidden="1" x14ac:dyDescent="0.25">
      <c r="A658" t="s">
        <v>10</v>
      </c>
      <c r="B658" s="2">
        <v>42438</v>
      </c>
      <c r="C658">
        <v>2016</v>
      </c>
      <c r="E658" t="s">
        <v>6</v>
      </c>
      <c r="F658">
        <v>85.2</v>
      </c>
      <c r="G658">
        <f t="shared" si="9"/>
        <v>85.2</v>
      </c>
      <c r="I658" s="5">
        <f t="shared" si="10"/>
        <v>334</v>
      </c>
      <c r="M658" s="2">
        <v>42337</v>
      </c>
    </row>
    <row r="659" spans="1:13" hidden="1" x14ac:dyDescent="0.25">
      <c r="A659" t="s">
        <v>10</v>
      </c>
      <c r="B659" s="2">
        <v>42439</v>
      </c>
      <c r="C659">
        <v>2016</v>
      </c>
      <c r="E659" t="s">
        <v>6</v>
      </c>
      <c r="F659">
        <v>100.6</v>
      </c>
      <c r="G659">
        <f t="shared" si="9"/>
        <v>100.6</v>
      </c>
      <c r="I659" s="5">
        <f t="shared" si="10"/>
        <v>336</v>
      </c>
      <c r="M659" s="2">
        <v>42339</v>
      </c>
    </row>
    <row r="660" spans="1:13" hidden="1" x14ac:dyDescent="0.25">
      <c r="A660" t="s">
        <v>10</v>
      </c>
      <c r="B660" s="2">
        <v>42439</v>
      </c>
      <c r="C660">
        <v>2016</v>
      </c>
      <c r="E660" t="s">
        <v>6</v>
      </c>
      <c r="F660">
        <v>99.5</v>
      </c>
      <c r="G660">
        <f t="shared" si="9"/>
        <v>99.5</v>
      </c>
      <c r="I660" s="5">
        <f t="shared" si="10"/>
        <v>331</v>
      </c>
      <c r="M660" s="2">
        <v>42334</v>
      </c>
    </row>
    <row r="661" spans="1:13" hidden="1" x14ac:dyDescent="0.25">
      <c r="A661" t="s">
        <v>10</v>
      </c>
      <c r="B661" s="2">
        <v>42439</v>
      </c>
      <c r="C661">
        <v>2016</v>
      </c>
      <c r="E661" t="s">
        <v>6</v>
      </c>
      <c r="F661">
        <v>85.7</v>
      </c>
      <c r="G661">
        <f t="shared" si="9"/>
        <v>85.7</v>
      </c>
      <c r="I661" s="5">
        <f t="shared" si="10"/>
        <v>333</v>
      </c>
      <c r="M661" s="2">
        <v>42336</v>
      </c>
    </row>
    <row r="662" spans="1:13" hidden="1" x14ac:dyDescent="0.25">
      <c r="A662" t="s">
        <v>10</v>
      </c>
      <c r="B662" s="2">
        <v>42452</v>
      </c>
      <c r="C662">
        <v>2016</v>
      </c>
      <c r="E662" t="s">
        <v>6</v>
      </c>
      <c r="F662">
        <v>109.5</v>
      </c>
      <c r="G662">
        <f t="shared" si="9"/>
        <v>109.5</v>
      </c>
      <c r="I662" s="5">
        <f t="shared" si="10"/>
        <v>330</v>
      </c>
      <c r="M662" s="2">
        <v>42333</v>
      </c>
    </row>
    <row r="663" spans="1:13" hidden="1" x14ac:dyDescent="0.25">
      <c r="A663" t="s">
        <v>10</v>
      </c>
      <c r="B663" s="2">
        <v>42452</v>
      </c>
      <c r="C663">
        <v>2016</v>
      </c>
      <c r="E663" t="s">
        <v>6</v>
      </c>
      <c r="F663">
        <v>103.6</v>
      </c>
      <c r="G663">
        <f t="shared" si="9"/>
        <v>103.6</v>
      </c>
      <c r="I663" s="5">
        <f t="shared" si="10"/>
        <v>331</v>
      </c>
      <c r="M663" s="2">
        <v>42334</v>
      </c>
    </row>
    <row r="664" spans="1:13" hidden="1" x14ac:dyDescent="0.25">
      <c r="A664" t="s">
        <v>10</v>
      </c>
      <c r="B664" s="2">
        <v>42452</v>
      </c>
      <c r="C664">
        <v>2016</v>
      </c>
      <c r="E664" t="s">
        <v>6</v>
      </c>
      <c r="F664">
        <v>93.8</v>
      </c>
      <c r="G664">
        <f t="shared" si="9"/>
        <v>93.8</v>
      </c>
      <c r="I664" s="5">
        <f t="shared" si="10"/>
        <v>336</v>
      </c>
      <c r="M664" s="2">
        <v>42339</v>
      </c>
    </row>
    <row r="665" spans="1:13" hidden="1" x14ac:dyDescent="0.25">
      <c r="A665" t="s">
        <v>10</v>
      </c>
      <c r="B665" s="2">
        <v>42452</v>
      </c>
      <c r="C665">
        <v>2016</v>
      </c>
      <c r="E665" t="s">
        <v>6</v>
      </c>
      <c r="F665">
        <v>91.6</v>
      </c>
      <c r="G665">
        <f t="shared" si="9"/>
        <v>91.6</v>
      </c>
      <c r="I665" s="5">
        <f t="shared" si="10"/>
        <v>327</v>
      </c>
      <c r="M665" s="2">
        <v>42330</v>
      </c>
    </row>
    <row r="666" spans="1:13" hidden="1" x14ac:dyDescent="0.25">
      <c r="A666" t="s">
        <v>10</v>
      </c>
      <c r="B666" s="2">
        <v>42467</v>
      </c>
      <c r="C666">
        <v>2016</v>
      </c>
      <c r="E666" t="s">
        <v>6</v>
      </c>
      <c r="F666">
        <v>118.7</v>
      </c>
      <c r="G666">
        <f t="shared" si="9"/>
        <v>118.7</v>
      </c>
      <c r="I666" s="5">
        <f t="shared" si="10"/>
        <v>334</v>
      </c>
      <c r="M666" s="2">
        <v>42337</v>
      </c>
    </row>
    <row r="667" spans="1:13" hidden="1" x14ac:dyDescent="0.25">
      <c r="A667" t="s">
        <v>10</v>
      </c>
      <c r="B667" s="2">
        <v>42467</v>
      </c>
      <c r="C667">
        <v>2016</v>
      </c>
      <c r="E667" t="s">
        <v>6</v>
      </c>
      <c r="F667">
        <v>113.1</v>
      </c>
      <c r="G667">
        <f t="shared" si="9"/>
        <v>113.1</v>
      </c>
      <c r="I667" s="5">
        <f t="shared" si="10"/>
        <v>331</v>
      </c>
      <c r="M667" s="2">
        <v>42334</v>
      </c>
    </row>
    <row r="668" spans="1:13" hidden="1" x14ac:dyDescent="0.25">
      <c r="A668" t="s">
        <v>10</v>
      </c>
      <c r="B668" s="2">
        <v>42467</v>
      </c>
      <c r="C668">
        <v>2016</v>
      </c>
      <c r="E668" t="s">
        <v>6</v>
      </c>
      <c r="F668">
        <v>102</v>
      </c>
      <c r="G668">
        <f t="shared" si="9"/>
        <v>102</v>
      </c>
      <c r="I668" s="5">
        <f t="shared" si="10"/>
        <v>333</v>
      </c>
      <c r="M668" s="2">
        <v>42336</v>
      </c>
    </row>
    <row r="669" spans="1:13" hidden="1" x14ac:dyDescent="0.25">
      <c r="A669" t="s">
        <v>10</v>
      </c>
      <c r="B669" s="2">
        <v>42467</v>
      </c>
      <c r="C669">
        <v>2016</v>
      </c>
      <c r="E669" t="s">
        <v>6</v>
      </c>
      <c r="F669">
        <v>99.5</v>
      </c>
      <c r="G669">
        <f t="shared" si="9"/>
        <v>99.5</v>
      </c>
      <c r="I669" s="5">
        <f t="shared" si="10"/>
        <v>330</v>
      </c>
      <c r="M669" s="2">
        <v>42333</v>
      </c>
    </row>
    <row r="670" spans="1:13" hidden="1" x14ac:dyDescent="0.25">
      <c r="A670" t="s">
        <v>10</v>
      </c>
      <c r="B670" s="2">
        <v>42474</v>
      </c>
      <c r="C670">
        <v>2016</v>
      </c>
      <c r="E670" t="s">
        <v>6</v>
      </c>
      <c r="F670">
        <v>101.5</v>
      </c>
      <c r="G670">
        <f t="shared" si="9"/>
        <v>101.5</v>
      </c>
      <c r="I670" s="5">
        <f t="shared" si="10"/>
        <v>331</v>
      </c>
      <c r="M670" s="2">
        <v>42334</v>
      </c>
    </row>
    <row r="671" spans="1:13" hidden="1" x14ac:dyDescent="0.25">
      <c r="A671" t="s">
        <v>10</v>
      </c>
      <c r="B671" s="2">
        <v>42475</v>
      </c>
      <c r="C671">
        <v>2016</v>
      </c>
      <c r="E671" t="s">
        <v>6</v>
      </c>
      <c r="F671">
        <v>118.9</v>
      </c>
      <c r="G671">
        <f t="shared" si="9"/>
        <v>118.9</v>
      </c>
      <c r="I671" s="5">
        <f t="shared" si="10"/>
        <v>336</v>
      </c>
      <c r="M671" s="2">
        <v>42339</v>
      </c>
    </row>
    <row r="672" spans="1:13" hidden="1" x14ac:dyDescent="0.25">
      <c r="A672" t="s">
        <v>10</v>
      </c>
      <c r="B672" s="2">
        <v>42475</v>
      </c>
      <c r="C672">
        <v>2016</v>
      </c>
      <c r="E672" t="s">
        <v>6</v>
      </c>
      <c r="F672">
        <v>112.3</v>
      </c>
      <c r="G672">
        <f t="shared" si="9"/>
        <v>112.3</v>
      </c>
      <c r="I672" s="5">
        <f t="shared" si="10"/>
        <v>330</v>
      </c>
      <c r="M672" s="2">
        <v>42333</v>
      </c>
    </row>
    <row r="673" spans="1:13" hidden="1" x14ac:dyDescent="0.25">
      <c r="A673" t="s">
        <v>10</v>
      </c>
      <c r="B673" s="2">
        <v>42475</v>
      </c>
      <c r="C673">
        <v>2016</v>
      </c>
      <c r="E673" t="s">
        <v>6</v>
      </c>
      <c r="F673">
        <v>104.3</v>
      </c>
      <c r="G673">
        <f t="shared" si="9"/>
        <v>104.3</v>
      </c>
      <c r="I673" s="5">
        <f t="shared" si="10"/>
        <v>327</v>
      </c>
      <c r="M673" s="2">
        <v>42330</v>
      </c>
    </row>
    <row r="674" spans="1:13" hidden="1" x14ac:dyDescent="0.25">
      <c r="A674" t="s">
        <v>10</v>
      </c>
      <c r="B674" s="2">
        <v>42482</v>
      </c>
      <c r="C674">
        <v>2016</v>
      </c>
      <c r="E674" t="s">
        <v>6</v>
      </c>
      <c r="F674">
        <v>120.9</v>
      </c>
      <c r="G674">
        <f t="shared" si="9"/>
        <v>120.9</v>
      </c>
      <c r="I674" s="5">
        <f t="shared" si="10"/>
        <v>334</v>
      </c>
      <c r="M674" s="2">
        <v>42337</v>
      </c>
    </row>
    <row r="675" spans="1:13" hidden="1" x14ac:dyDescent="0.25">
      <c r="A675" t="s">
        <v>10</v>
      </c>
      <c r="B675" s="2">
        <v>42482</v>
      </c>
      <c r="C675">
        <v>2016</v>
      </c>
      <c r="E675" t="s">
        <v>6</v>
      </c>
      <c r="F675">
        <v>114.2</v>
      </c>
      <c r="G675">
        <f t="shared" si="9"/>
        <v>114.2</v>
      </c>
      <c r="I675" s="5">
        <f t="shared" si="10"/>
        <v>331</v>
      </c>
      <c r="M675" s="2">
        <v>42334</v>
      </c>
    </row>
    <row r="676" spans="1:13" hidden="1" x14ac:dyDescent="0.25">
      <c r="A676" t="s">
        <v>10</v>
      </c>
      <c r="B676" s="2">
        <v>42482</v>
      </c>
      <c r="C676">
        <v>2016</v>
      </c>
      <c r="E676" t="s">
        <v>6</v>
      </c>
      <c r="F676">
        <v>102.6</v>
      </c>
      <c r="G676">
        <f t="shared" si="9"/>
        <v>102.6</v>
      </c>
      <c r="I676" s="5">
        <f t="shared" si="10"/>
        <v>333</v>
      </c>
      <c r="M676" s="2">
        <v>42336</v>
      </c>
    </row>
    <row r="677" spans="1:13" hidden="1" x14ac:dyDescent="0.25">
      <c r="A677" t="s">
        <v>10</v>
      </c>
      <c r="B677" s="2">
        <v>42482</v>
      </c>
      <c r="C677">
        <v>2016</v>
      </c>
      <c r="E677" t="s">
        <v>6</v>
      </c>
      <c r="F677">
        <v>101</v>
      </c>
      <c r="G677">
        <f t="shared" si="9"/>
        <v>101</v>
      </c>
      <c r="I677" s="5">
        <f t="shared" si="10"/>
        <v>327</v>
      </c>
      <c r="M677" s="2">
        <v>42330</v>
      </c>
    </row>
    <row r="678" spans="1:13" hidden="1" x14ac:dyDescent="0.25">
      <c r="A678" t="s">
        <v>10</v>
      </c>
      <c r="B678" s="2">
        <v>42489</v>
      </c>
      <c r="C678">
        <v>2016</v>
      </c>
      <c r="E678" t="s">
        <v>6</v>
      </c>
      <c r="F678">
        <v>122.8</v>
      </c>
      <c r="G678">
        <f t="shared" si="9"/>
        <v>122.8</v>
      </c>
      <c r="I678" s="5">
        <f t="shared" si="10"/>
        <v>331</v>
      </c>
      <c r="M678" s="2">
        <v>42334</v>
      </c>
    </row>
    <row r="679" spans="1:13" hidden="1" x14ac:dyDescent="0.25">
      <c r="A679" t="s">
        <v>10</v>
      </c>
      <c r="B679" s="2">
        <v>42489</v>
      </c>
      <c r="C679">
        <v>2016</v>
      </c>
      <c r="E679" t="s">
        <v>6</v>
      </c>
      <c r="F679">
        <v>117.3</v>
      </c>
      <c r="G679">
        <f t="shared" ref="G679:G742" si="11">F679</f>
        <v>117.3</v>
      </c>
      <c r="I679" s="5">
        <f t="shared" ref="I679:I742" si="12" xml:space="preserve"> DATEDIF(DATE(YEAR(M679),1,0),M679,"d")+1</f>
        <v>330</v>
      </c>
      <c r="M679" s="2">
        <v>42333</v>
      </c>
    </row>
    <row r="680" spans="1:13" hidden="1" x14ac:dyDescent="0.25">
      <c r="A680" t="s">
        <v>10</v>
      </c>
      <c r="B680" s="2">
        <v>42489</v>
      </c>
      <c r="C680">
        <v>2016</v>
      </c>
      <c r="E680" t="s">
        <v>6</v>
      </c>
      <c r="F680">
        <v>103.3</v>
      </c>
      <c r="G680">
        <f t="shared" si="11"/>
        <v>103.3</v>
      </c>
      <c r="I680" s="5">
        <f t="shared" si="12"/>
        <v>331</v>
      </c>
      <c r="M680" s="2">
        <v>42334</v>
      </c>
    </row>
    <row r="681" spans="1:13" hidden="1" x14ac:dyDescent="0.25">
      <c r="A681" t="s">
        <v>10</v>
      </c>
      <c r="B681" s="2">
        <v>42489</v>
      </c>
      <c r="C681">
        <v>2016</v>
      </c>
      <c r="E681" t="s">
        <v>6</v>
      </c>
      <c r="F681">
        <v>104.8</v>
      </c>
      <c r="G681">
        <f t="shared" si="11"/>
        <v>104.8</v>
      </c>
      <c r="I681" s="5">
        <f t="shared" si="12"/>
        <v>334</v>
      </c>
      <c r="M681" s="2">
        <v>42337</v>
      </c>
    </row>
    <row r="682" spans="1:13" hidden="1" x14ac:dyDescent="0.25">
      <c r="A682" t="s">
        <v>10</v>
      </c>
      <c r="B682" s="2">
        <v>42494</v>
      </c>
      <c r="C682">
        <v>2016</v>
      </c>
      <c r="E682" t="s">
        <v>6</v>
      </c>
      <c r="F682">
        <v>108.8</v>
      </c>
      <c r="G682">
        <f t="shared" si="11"/>
        <v>108.8</v>
      </c>
      <c r="I682" s="5">
        <f t="shared" si="12"/>
        <v>336</v>
      </c>
      <c r="M682" s="2">
        <v>42339</v>
      </c>
    </row>
    <row r="683" spans="1:13" hidden="1" x14ac:dyDescent="0.25">
      <c r="A683" t="s">
        <v>10</v>
      </c>
      <c r="B683" s="2">
        <v>42496</v>
      </c>
      <c r="C683">
        <v>2016</v>
      </c>
      <c r="E683" t="s">
        <v>6</v>
      </c>
      <c r="F683">
        <v>122</v>
      </c>
      <c r="G683">
        <f t="shared" si="11"/>
        <v>122</v>
      </c>
      <c r="I683" s="5">
        <f t="shared" si="12"/>
        <v>333</v>
      </c>
      <c r="M683" s="2">
        <v>42336</v>
      </c>
    </row>
    <row r="684" spans="1:13" hidden="1" x14ac:dyDescent="0.25">
      <c r="A684" t="s">
        <v>10</v>
      </c>
      <c r="B684" s="2">
        <v>42496</v>
      </c>
      <c r="C684">
        <v>2016</v>
      </c>
      <c r="E684" t="s">
        <v>6</v>
      </c>
      <c r="F684">
        <v>123.2</v>
      </c>
      <c r="G684">
        <f t="shared" si="11"/>
        <v>123.2</v>
      </c>
      <c r="I684" s="5">
        <f t="shared" si="12"/>
        <v>331</v>
      </c>
      <c r="M684" s="2">
        <v>42334</v>
      </c>
    </row>
    <row r="685" spans="1:13" hidden="1" x14ac:dyDescent="0.25">
      <c r="A685" t="s">
        <v>10</v>
      </c>
      <c r="B685" s="2">
        <v>42496</v>
      </c>
      <c r="C685">
        <v>2016</v>
      </c>
      <c r="E685" t="s">
        <v>6</v>
      </c>
      <c r="F685">
        <v>104.9</v>
      </c>
      <c r="G685">
        <f t="shared" si="11"/>
        <v>104.9</v>
      </c>
      <c r="I685" s="5">
        <f t="shared" si="12"/>
        <v>336</v>
      </c>
      <c r="M685" s="2">
        <v>42339</v>
      </c>
    </row>
    <row r="686" spans="1:13" hidden="1" x14ac:dyDescent="0.25">
      <c r="A686" t="s">
        <v>10</v>
      </c>
      <c r="B686" s="2">
        <v>42509</v>
      </c>
      <c r="C686">
        <v>2016</v>
      </c>
      <c r="E686" t="s">
        <v>6</v>
      </c>
      <c r="F686">
        <v>122.6</v>
      </c>
      <c r="G686">
        <f t="shared" si="11"/>
        <v>122.6</v>
      </c>
      <c r="I686" s="5">
        <f t="shared" si="12"/>
        <v>330</v>
      </c>
      <c r="M686" s="2">
        <v>42333</v>
      </c>
    </row>
    <row r="687" spans="1:13" hidden="1" x14ac:dyDescent="0.25">
      <c r="A687" t="s">
        <v>10</v>
      </c>
      <c r="B687" s="2">
        <v>42509</v>
      </c>
      <c r="C687">
        <v>2016</v>
      </c>
      <c r="E687" t="s">
        <v>6</v>
      </c>
      <c r="F687">
        <v>110.8</v>
      </c>
      <c r="G687">
        <f t="shared" si="11"/>
        <v>110.8</v>
      </c>
      <c r="I687" s="5">
        <f t="shared" si="12"/>
        <v>327</v>
      </c>
      <c r="M687" s="2">
        <v>42330</v>
      </c>
    </row>
    <row r="688" spans="1:13" hidden="1" x14ac:dyDescent="0.25">
      <c r="A688" t="s">
        <v>10</v>
      </c>
      <c r="B688" s="2">
        <v>42509</v>
      </c>
      <c r="C688">
        <v>2016</v>
      </c>
      <c r="E688" t="s">
        <v>6</v>
      </c>
      <c r="F688">
        <v>110</v>
      </c>
      <c r="G688">
        <f t="shared" si="11"/>
        <v>110</v>
      </c>
      <c r="I688" s="5">
        <f t="shared" si="12"/>
        <v>334</v>
      </c>
      <c r="M688" s="2">
        <v>42337</v>
      </c>
    </row>
    <row r="689" spans="1:13" hidden="1" x14ac:dyDescent="0.25">
      <c r="A689" t="s">
        <v>10</v>
      </c>
      <c r="B689" s="2">
        <v>42510</v>
      </c>
      <c r="C689">
        <v>2016</v>
      </c>
      <c r="E689" t="s">
        <v>6</v>
      </c>
      <c r="F689">
        <v>121.7</v>
      </c>
      <c r="G689">
        <f t="shared" si="11"/>
        <v>121.7</v>
      </c>
      <c r="I689" s="5">
        <f t="shared" si="12"/>
        <v>331</v>
      </c>
      <c r="M689" s="2">
        <v>42334</v>
      </c>
    </row>
    <row r="690" spans="1:13" hidden="1" x14ac:dyDescent="0.25">
      <c r="A690" t="s">
        <v>10</v>
      </c>
      <c r="B690" s="2">
        <v>42522</v>
      </c>
      <c r="C690">
        <v>2016</v>
      </c>
      <c r="E690" t="s">
        <v>6</v>
      </c>
      <c r="F690">
        <v>109</v>
      </c>
      <c r="G690">
        <f t="shared" si="11"/>
        <v>109</v>
      </c>
      <c r="I690" s="5">
        <f t="shared" si="12"/>
        <v>333</v>
      </c>
      <c r="M690" s="2">
        <v>42336</v>
      </c>
    </row>
    <row r="691" spans="1:13" hidden="1" x14ac:dyDescent="0.25">
      <c r="A691" t="s">
        <v>10</v>
      </c>
      <c r="B691" s="2">
        <v>42523</v>
      </c>
      <c r="C691">
        <v>2016</v>
      </c>
      <c r="E691" t="s">
        <v>6</v>
      </c>
      <c r="F691">
        <v>121.5</v>
      </c>
      <c r="G691">
        <f t="shared" si="11"/>
        <v>121.5</v>
      </c>
      <c r="I691" s="5">
        <f t="shared" si="12"/>
        <v>334</v>
      </c>
      <c r="M691" s="2">
        <v>42337</v>
      </c>
    </row>
    <row r="692" spans="1:13" hidden="1" x14ac:dyDescent="0.25">
      <c r="A692" t="s">
        <v>10</v>
      </c>
      <c r="B692" s="2">
        <v>42523</v>
      </c>
      <c r="C692">
        <v>2016</v>
      </c>
      <c r="E692" t="s">
        <v>6</v>
      </c>
      <c r="F692">
        <v>121.1</v>
      </c>
      <c r="G692">
        <f t="shared" si="11"/>
        <v>121.1</v>
      </c>
      <c r="I692" s="5">
        <f t="shared" si="12"/>
        <v>331</v>
      </c>
      <c r="M692" s="2">
        <v>42334</v>
      </c>
    </row>
    <row r="693" spans="1:13" hidden="1" x14ac:dyDescent="0.25">
      <c r="A693" t="s">
        <v>10</v>
      </c>
      <c r="B693" s="2">
        <v>42523</v>
      </c>
      <c r="C693">
        <v>2016</v>
      </c>
      <c r="E693" t="s">
        <v>6</v>
      </c>
      <c r="F693">
        <v>108.4</v>
      </c>
      <c r="G693">
        <f t="shared" si="11"/>
        <v>108.4</v>
      </c>
      <c r="I693" s="5">
        <f t="shared" si="12"/>
        <v>327</v>
      </c>
      <c r="M693" s="2">
        <v>42330</v>
      </c>
    </row>
    <row r="694" spans="1:13" hidden="1" x14ac:dyDescent="0.25">
      <c r="A694" t="s">
        <v>10</v>
      </c>
      <c r="B694" s="2">
        <v>42531</v>
      </c>
      <c r="C694">
        <v>2016</v>
      </c>
      <c r="E694" t="s">
        <v>6</v>
      </c>
      <c r="F694">
        <v>124</v>
      </c>
      <c r="G694">
        <f t="shared" si="11"/>
        <v>124</v>
      </c>
      <c r="I694" s="5">
        <f t="shared" si="12"/>
        <v>336</v>
      </c>
      <c r="M694" s="2">
        <v>42339</v>
      </c>
    </row>
    <row r="695" spans="1:13" hidden="1" x14ac:dyDescent="0.25">
      <c r="A695" t="s">
        <v>10</v>
      </c>
      <c r="B695" s="2">
        <v>42535</v>
      </c>
      <c r="C695">
        <v>2016</v>
      </c>
      <c r="E695" t="s">
        <v>6</v>
      </c>
      <c r="F695">
        <v>123.9</v>
      </c>
      <c r="G695">
        <f t="shared" si="11"/>
        <v>123.9</v>
      </c>
      <c r="I695" s="5">
        <f t="shared" si="12"/>
        <v>331</v>
      </c>
      <c r="M695" s="2">
        <v>42334</v>
      </c>
    </row>
    <row r="696" spans="1:13" hidden="1" x14ac:dyDescent="0.25">
      <c r="A696" t="s">
        <v>10</v>
      </c>
      <c r="B696" s="2">
        <v>42535</v>
      </c>
      <c r="C696">
        <v>2016</v>
      </c>
      <c r="E696" t="s">
        <v>6</v>
      </c>
      <c r="F696">
        <v>114.6</v>
      </c>
      <c r="G696">
        <f t="shared" si="11"/>
        <v>114.6</v>
      </c>
      <c r="I696" s="5">
        <f t="shared" si="12"/>
        <v>333</v>
      </c>
      <c r="M696" s="2">
        <v>42336</v>
      </c>
    </row>
    <row r="697" spans="1:13" hidden="1" x14ac:dyDescent="0.25">
      <c r="A697" t="s">
        <v>11</v>
      </c>
      <c r="B697" s="2">
        <v>42752</v>
      </c>
      <c r="C697">
        <v>2017</v>
      </c>
      <c r="E697" t="s">
        <v>6</v>
      </c>
      <c r="F697">
        <v>64.3</v>
      </c>
      <c r="G697">
        <f t="shared" si="11"/>
        <v>64.3</v>
      </c>
      <c r="I697" s="5">
        <f t="shared" si="12"/>
        <v>330</v>
      </c>
      <c r="M697" s="2">
        <v>42698</v>
      </c>
    </row>
    <row r="698" spans="1:13" hidden="1" x14ac:dyDescent="0.25">
      <c r="A698" t="s">
        <v>11</v>
      </c>
      <c r="B698" s="2">
        <v>42752</v>
      </c>
      <c r="C698">
        <v>2017</v>
      </c>
      <c r="E698" t="s">
        <v>6</v>
      </c>
      <c r="F698">
        <v>54.6</v>
      </c>
      <c r="G698">
        <f t="shared" si="11"/>
        <v>54.6</v>
      </c>
      <c r="I698" s="5">
        <f t="shared" si="12"/>
        <v>340</v>
      </c>
      <c r="M698" s="2">
        <v>42708</v>
      </c>
    </row>
    <row r="699" spans="1:13" hidden="1" x14ac:dyDescent="0.25">
      <c r="A699" t="s">
        <v>11</v>
      </c>
      <c r="B699" s="2">
        <v>42787</v>
      </c>
      <c r="C699">
        <v>2017</v>
      </c>
      <c r="E699" t="s">
        <v>6</v>
      </c>
      <c r="F699">
        <v>86</v>
      </c>
      <c r="G699">
        <f t="shared" si="11"/>
        <v>86</v>
      </c>
      <c r="I699" s="5">
        <f t="shared" si="12"/>
        <v>324</v>
      </c>
      <c r="M699" s="2">
        <v>42692</v>
      </c>
    </row>
    <row r="700" spans="1:13" hidden="1" x14ac:dyDescent="0.25">
      <c r="A700" t="s">
        <v>11</v>
      </c>
      <c r="B700" s="2">
        <v>42787</v>
      </c>
      <c r="C700">
        <v>2017</v>
      </c>
      <c r="E700" t="s">
        <v>6</v>
      </c>
      <c r="F700">
        <v>82.6</v>
      </c>
      <c r="G700">
        <f t="shared" si="11"/>
        <v>82.6</v>
      </c>
      <c r="I700" s="5">
        <f t="shared" si="12"/>
        <v>328</v>
      </c>
      <c r="M700" s="2">
        <v>42696</v>
      </c>
    </row>
    <row r="701" spans="1:13" hidden="1" x14ac:dyDescent="0.25">
      <c r="A701" t="s">
        <v>11</v>
      </c>
      <c r="B701" s="2">
        <v>42801</v>
      </c>
      <c r="C701">
        <v>2017</v>
      </c>
      <c r="E701" t="s">
        <v>6</v>
      </c>
      <c r="F701">
        <v>96.5</v>
      </c>
      <c r="G701">
        <f t="shared" si="11"/>
        <v>96.5</v>
      </c>
      <c r="I701" s="5">
        <f t="shared" si="12"/>
        <v>325</v>
      </c>
      <c r="M701" s="2">
        <v>42693</v>
      </c>
    </row>
    <row r="702" spans="1:13" hidden="1" x14ac:dyDescent="0.25">
      <c r="A702" t="s">
        <v>11</v>
      </c>
      <c r="B702" s="2">
        <v>42801</v>
      </c>
      <c r="C702">
        <v>2017</v>
      </c>
      <c r="E702" t="s">
        <v>6</v>
      </c>
      <c r="F702">
        <v>88.4</v>
      </c>
      <c r="G702">
        <f t="shared" si="11"/>
        <v>88.4</v>
      </c>
      <c r="I702" s="5">
        <f t="shared" si="12"/>
        <v>333</v>
      </c>
      <c r="M702" s="2">
        <v>42701</v>
      </c>
    </row>
    <row r="703" spans="1:13" hidden="1" x14ac:dyDescent="0.25">
      <c r="A703" t="s">
        <v>11</v>
      </c>
      <c r="B703" s="2">
        <v>42815</v>
      </c>
      <c r="C703">
        <v>2017</v>
      </c>
      <c r="E703" t="s">
        <v>6</v>
      </c>
      <c r="F703">
        <v>102.8</v>
      </c>
      <c r="G703">
        <f t="shared" si="11"/>
        <v>102.8</v>
      </c>
      <c r="I703" s="5">
        <f t="shared" si="12"/>
        <v>325</v>
      </c>
      <c r="M703" s="2">
        <v>42693</v>
      </c>
    </row>
    <row r="704" spans="1:13" hidden="1" x14ac:dyDescent="0.25">
      <c r="A704" t="s">
        <v>11</v>
      </c>
      <c r="B704" s="2">
        <v>42815</v>
      </c>
      <c r="C704">
        <v>2017</v>
      </c>
      <c r="E704" t="s">
        <v>6</v>
      </c>
      <c r="F704">
        <v>93.6</v>
      </c>
      <c r="G704">
        <f t="shared" si="11"/>
        <v>93.6</v>
      </c>
      <c r="I704" s="5">
        <f t="shared" si="12"/>
        <v>330</v>
      </c>
      <c r="M704" s="2">
        <v>42698</v>
      </c>
    </row>
    <row r="705" spans="1:13" hidden="1" x14ac:dyDescent="0.25">
      <c r="A705" t="s">
        <v>11</v>
      </c>
      <c r="B705" s="2">
        <v>42829</v>
      </c>
      <c r="C705">
        <v>2017</v>
      </c>
      <c r="E705" t="s">
        <v>6</v>
      </c>
      <c r="F705">
        <v>117.4</v>
      </c>
      <c r="G705">
        <f t="shared" si="11"/>
        <v>117.4</v>
      </c>
      <c r="I705" s="5">
        <f t="shared" si="12"/>
        <v>340</v>
      </c>
      <c r="M705" s="2">
        <v>42708</v>
      </c>
    </row>
    <row r="706" spans="1:13" hidden="1" x14ac:dyDescent="0.25">
      <c r="A706" t="s">
        <v>11</v>
      </c>
      <c r="B706" s="2">
        <v>42829</v>
      </c>
      <c r="C706">
        <v>2017</v>
      </c>
      <c r="E706" t="s">
        <v>6</v>
      </c>
      <c r="F706">
        <v>103.2</v>
      </c>
      <c r="G706">
        <f t="shared" si="11"/>
        <v>103.2</v>
      </c>
      <c r="I706" s="5">
        <f t="shared" si="12"/>
        <v>325</v>
      </c>
      <c r="M706" s="2">
        <v>42693</v>
      </c>
    </row>
    <row r="707" spans="1:13" hidden="1" x14ac:dyDescent="0.25">
      <c r="A707" t="s">
        <v>11</v>
      </c>
      <c r="B707" s="2">
        <v>42839</v>
      </c>
      <c r="C707">
        <v>2017</v>
      </c>
      <c r="E707" t="s">
        <v>6</v>
      </c>
      <c r="F707">
        <v>114.5</v>
      </c>
      <c r="G707">
        <f t="shared" si="11"/>
        <v>114.5</v>
      </c>
      <c r="I707" s="5">
        <f t="shared" si="12"/>
        <v>324</v>
      </c>
      <c r="M707" s="2">
        <v>42692</v>
      </c>
    </row>
    <row r="708" spans="1:13" hidden="1" x14ac:dyDescent="0.25">
      <c r="A708" t="s">
        <v>11</v>
      </c>
      <c r="B708" s="2">
        <v>42839</v>
      </c>
      <c r="C708">
        <v>2017</v>
      </c>
      <c r="E708" t="s">
        <v>6</v>
      </c>
      <c r="F708">
        <v>108.9</v>
      </c>
      <c r="G708">
        <f t="shared" si="11"/>
        <v>108.9</v>
      </c>
      <c r="I708" s="5">
        <f t="shared" si="12"/>
        <v>328</v>
      </c>
      <c r="M708" s="2">
        <v>42696</v>
      </c>
    </row>
    <row r="709" spans="1:13" hidden="1" x14ac:dyDescent="0.25">
      <c r="A709" t="s">
        <v>11</v>
      </c>
      <c r="B709" s="2">
        <v>42844</v>
      </c>
      <c r="C709">
        <v>2017</v>
      </c>
      <c r="E709" t="s">
        <v>6</v>
      </c>
      <c r="F709">
        <v>118.9</v>
      </c>
      <c r="G709">
        <f t="shared" si="11"/>
        <v>118.9</v>
      </c>
      <c r="I709" s="5">
        <f t="shared" si="12"/>
        <v>325</v>
      </c>
      <c r="M709" s="2">
        <v>42693</v>
      </c>
    </row>
    <row r="710" spans="1:13" hidden="1" x14ac:dyDescent="0.25">
      <c r="A710" t="s">
        <v>11</v>
      </c>
      <c r="B710" s="2">
        <v>42844</v>
      </c>
      <c r="C710">
        <v>2017</v>
      </c>
      <c r="E710" t="s">
        <v>6</v>
      </c>
      <c r="F710">
        <v>111.8</v>
      </c>
      <c r="G710">
        <f t="shared" si="11"/>
        <v>111.8</v>
      </c>
      <c r="I710" s="5">
        <f t="shared" si="12"/>
        <v>333</v>
      </c>
      <c r="M710" s="2">
        <v>42701</v>
      </c>
    </row>
    <row r="711" spans="1:13" hidden="1" x14ac:dyDescent="0.25">
      <c r="A711" t="s">
        <v>11</v>
      </c>
      <c r="B711" s="2">
        <v>42850</v>
      </c>
      <c r="C711">
        <v>2017</v>
      </c>
      <c r="E711" t="s">
        <v>6</v>
      </c>
      <c r="F711">
        <v>110.2</v>
      </c>
      <c r="G711">
        <f t="shared" si="11"/>
        <v>110.2</v>
      </c>
      <c r="I711" s="5">
        <f t="shared" si="12"/>
        <v>330</v>
      </c>
      <c r="M711" s="2">
        <v>42698</v>
      </c>
    </row>
    <row r="712" spans="1:13" hidden="1" x14ac:dyDescent="0.25">
      <c r="A712" t="s">
        <v>11</v>
      </c>
      <c r="B712" s="2">
        <v>42853</v>
      </c>
      <c r="C712">
        <v>2017</v>
      </c>
      <c r="E712" t="s">
        <v>6</v>
      </c>
      <c r="F712">
        <v>124.6</v>
      </c>
      <c r="G712">
        <f t="shared" si="11"/>
        <v>124.6</v>
      </c>
      <c r="I712" s="5">
        <f t="shared" si="12"/>
        <v>340</v>
      </c>
      <c r="M712" s="2">
        <v>42708</v>
      </c>
    </row>
    <row r="713" spans="1:13" hidden="1" x14ac:dyDescent="0.25">
      <c r="A713" t="s">
        <v>11</v>
      </c>
      <c r="B713" s="2">
        <v>42858</v>
      </c>
      <c r="C713">
        <v>2017</v>
      </c>
      <c r="E713" t="s">
        <v>6</v>
      </c>
      <c r="F713">
        <v>120.5</v>
      </c>
      <c r="G713">
        <v>123.32</v>
      </c>
      <c r="H713" t="s">
        <v>27</v>
      </c>
      <c r="I713" s="5">
        <f t="shared" si="12"/>
        <v>328</v>
      </c>
      <c r="M713" s="2">
        <v>42696</v>
      </c>
    </row>
    <row r="714" spans="1:13" hidden="1" x14ac:dyDescent="0.25">
      <c r="A714" t="s">
        <v>11</v>
      </c>
      <c r="B714" s="2">
        <v>42858</v>
      </c>
      <c r="C714">
        <v>2017</v>
      </c>
      <c r="E714" t="s">
        <v>6</v>
      </c>
      <c r="F714">
        <v>109.1</v>
      </c>
      <c r="G714">
        <f t="shared" si="11"/>
        <v>109.1</v>
      </c>
      <c r="I714" s="5">
        <f t="shared" si="12"/>
        <v>325</v>
      </c>
      <c r="M714" s="2">
        <v>42693</v>
      </c>
    </row>
    <row r="715" spans="1:13" hidden="1" x14ac:dyDescent="0.25">
      <c r="A715" t="s">
        <v>11</v>
      </c>
      <c r="B715" s="2">
        <v>42871</v>
      </c>
      <c r="C715">
        <v>2017</v>
      </c>
      <c r="E715" t="s">
        <v>6</v>
      </c>
      <c r="F715">
        <v>123.6</v>
      </c>
      <c r="G715">
        <f t="shared" si="11"/>
        <v>123.6</v>
      </c>
      <c r="I715" s="5">
        <f t="shared" si="12"/>
        <v>324</v>
      </c>
      <c r="M715" s="2">
        <v>42692</v>
      </c>
    </row>
    <row r="716" spans="1:13" hidden="1" x14ac:dyDescent="0.25">
      <c r="A716" t="s">
        <v>11</v>
      </c>
      <c r="B716" s="2">
        <v>42871</v>
      </c>
      <c r="C716">
        <v>2017</v>
      </c>
      <c r="E716" t="s">
        <v>6</v>
      </c>
      <c r="F716">
        <v>117.7</v>
      </c>
      <c r="G716">
        <f t="shared" si="11"/>
        <v>117.7</v>
      </c>
      <c r="I716" s="5">
        <f t="shared" si="12"/>
        <v>325</v>
      </c>
      <c r="M716" s="2">
        <v>42693</v>
      </c>
    </row>
    <row r="717" spans="1:13" hidden="1" x14ac:dyDescent="0.25">
      <c r="A717" t="s">
        <v>11</v>
      </c>
      <c r="B717" s="2">
        <v>42885</v>
      </c>
      <c r="C717">
        <v>2017</v>
      </c>
      <c r="E717" t="s">
        <v>6</v>
      </c>
      <c r="F717">
        <v>121.5</v>
      </c>
      <c r="G717">
        <f t="shared" si="11"/>
        <v>121.5</v>
      </c>
      <c r="I717" s="5">
        <f t="shared" si="12"/>
        <v>333</v>
      </c>
      <c r="M717" s="2">
        <v>42701</v>
      </c>
    </row>
    <row r="718" spans="1:13" hidden="1" x14ac:dyDescent="0.25">
      <c r="A718" t="s">
        <v>11</v>
      </c>
      <c r="B718" s="2">
        <v>42885</v>
      </c>
      <c r="C718">
        <v>2017</v>
      </c>
      <c r="E718" t="s">
        <v>6</v>
      </c>
      <c r="F718">
        <v>118.8</v>
      </c>
      <c r="G718">
        <f t="shared" si="11"/>
        <v>118.8</v>
      </c>
      <c r="I718" s="5">
        <f t="shared" si="12"/>
        <v>330</v>
      </c>
      <c r="M718" s="2">
        <v>42698</v>
      </c>
    </row>
    <row r="719" spans="1:13" hidden="1" x14ac:dyDescent="0.25">
      <c r="A719" t="s">
        <v>11</v>
      </c>
      <c r="B719" s="2">
        <v>42893</v>
      </c>
      <c r="C719">
        <v>2017</v>
      </c>
      <c r="E719" t="s">
        <v>6</v>
      </c>
      <c r="F719">
        <v>122.4</v>
      </c>
      <c r="G719">
        <f t="shared" si="11"/>
        <v>122.4</v>
      </c>
      <c r="I719" s="5">
        <f t="shared" si="12"/>
        <v>340</v>
      </c>
      <c r="M719" s="2">
        <v>42708</v>
      </c>
    </row>
    <row r="720" spans="1:13" hidden="1" x14ac:dyDescent="0.25">
      <c r="A720" t="s">
        <v>11</v>
      </c>
      <c r="B720" s="2">
        <v>42893</v>
      </c>
      <c r="C720">
        <v>2017</v>
      </c>
      <c r="E720" t="s">
        <v>6</v>
      </c>
      <c r="F720">
        <v>113</v>
      </c>
      <c r="G720">
        <f t="shared" si="11"/>
        <v>113</v>
      </c>
      <c r="I720" s="5">
        <f t="shared" si="12"/>
        <v>325</v>
      </c>
      <c r="M720" s="2">
        <v>42693</v>
      </c>
    </row>
    <row r="721" spans="1:13" hidden="1" x14ac:dyDescent="0.25">
      <c r="A721" t="s">
        <v>11</v>
      </c>
      <c r="B721" s="2">
        <v>42907</v>
      </c>
      <c r="C721">
        <v>2017</v>
      </c>
      <c r="E721" t="s">
        <v>6</v>
      </c>
      <c r="F721">
        <v>115.9</v>
      </c>
      <c r="G721">
        <f t="shared" si="11"/>
        <v>115.9</v>
      </c>
      <c r="I721" s="5">
        <f t="shared" si="12"/>
        <v>324</v>
      </c>
      <c r="M721" s="2">
        <v>42692</v>
      </c>
    </row>
    <row r="722" spans="1:13" hidden="1" x14ac:dyDescent="0.25">
      <c r="A722" t="s">
        <v>11</v>
      </c>
      <c r="B722" s="2">
        <v>42907</v>
      </c>
      <c r="C722">
        <v>2017</v>
      </c>
      <c r="E722" t="s">
        <v>6</v>
      </c>
      <c r="F722">
        <v>117.7</v>
      </c>
      <c r="G722">
        <f t="shared" si="11"/>
        <v>117.7</v>
      </c>
      <c r="I722" s="5">
        <f t="shared" si="12"/>
        <v>328</v>
      </c>
      <c r="M722" s="2">
        <v>42696</v>
      </c>
    </row>
    <row r="723" spans="1:13" hidden="1" x14ac:dyDescent="0.25">
      <c r="A723" t="s">
        <v>11</v>
      </c>
      <c r="B723" s="2">
        <v>42753</v>
      </c>
      <c r="C723">
        <v>2017</v>
      </c>
      <c r="E723" t="s">
        <v>6</v>
      </c>
      <c r="F723">
        <v>63.8</v>
      </c>
      <c r="G723">
        <f t="shared" si="11"/>
        <v>63.8</v>
      </c>
      <c r="I723" s="5">
        <f t="shared" si="12"/>
        <v>325</v>
      </c>
      <c r="M723" s="2">
        <v>42693</v>
      </c>
    </row>
    <row r="724" spans="1:13" hidden="1" x14ac:dyDescent="0.25">
      <c r="A724" t="s">
        <v>11</v>
      </c>
      <c r="B724" s="2">
        <v>42789</v>
      </c>
      <c r="C724">
        <v>2017</v>
      </c>
      <c r="E724" t="s">
        <v>6</v>
      </c>
      <c r="F724">
        <v>92.9</v>
      </c>
      <c r="G724">
        <f t="shared" si="11"/>
        <v>92.9</v>
      </c>
      <c r="I724" s="5">
        <f t="shared" si="12"/>
        <v>333</v>
      </c>
      <c r="M724" s="2">
        <v>42701</v>
      </c>
    </row>
    <row r="725" spans="1:13" hidden="1" x14ac:dyDescent="0.25">
      <c r="A725" t="s">
        <v>11</v>
      </c>
      <c r="B725" s="2">
        <v>42804</v>
      </c>
      <c r="C725">
        <v>2017</v>
      </c>
      <c r="E725" t="s">
        <v>6</v>
      </c>
      <c r="F725">
        <v>102.8</v>
      </c>
      <c r="G725">
        <f t="shared" si="11"/>
        <v>102.8</v>
      </c>
      <c r="I725" s="5">
        <f t="shared" si="12"/>
        <v>330</v>
      </c>
      <c r="M725" s="2">
        <v>42698</v>
      </c>
    </row>
    <row r="726" spans="1:13" hidden="1" x14ac:dyDescent="0.25">
      <c r="A726" t="s">
        <v>11</v>
      </c>
      <c r="B726" s="2">
        <v>42817</v>
      </c>
      <c r="C726">
        <v>2017</v>
      </c>
      <c r="E726" t="s">
        <v>6</v>
      </c>
      <c r="F726">
        <v>112.2</v>
      </c>
      <c r="G726">
        <f t="shared" si="11"/>
        <v>112.2</v>
      </c>
      <c r="I726" s="5">
        <f t="shared" si="12"/>
        <v>340</v>
      </c>
      <c r="M726" s="2">
        <v>42708</v>
      </c>
    </row>
    <row r="727" spans="1:13" hidden="1" x14ac:dyDescent="0.25">
      <c r="A727" t="s">
        <v>11</v>
      </c>
      <c r="B727" s="2">
        <v>42832</v>
      </c>
      <c r="C727">
        <v>2017</v>
      </c>
      <c r="E727" t="s">
        <v>6</v>
      </c>
      <c r="F727">
        <v>123.8</v>
      </c>
      <c r="G727">
        <f t="shared" si="11"/>
        <v>123.8</v>
      </c>
      <c r="I727" s="5">
        <f t="shared" si="12"/>
        <v>325</v>
      </c>
      <c r="M727" s="2">
        <v>42693</v>
      </c>
    </row>
    <row r="728" spans="1:13" hidden="1" x14ac:dyDescent="0.25">
      <c r="A728" t="s">
        <v>11</v>
      </c>
      <c r="B728" s="2">
        <v>42838</v>
      </c>
      <c r="C728">
        <v>2017</v>
      </c>
      <c r="E728" t="s">
        <v>6</v>
      </c>
      <c r="F728">
        <v>125.9</v>
      </c>
      <c r="G728">
        <f t="shared" si="11"/>
        <v>125.9</v>
      </c>
      <c r="I728" s="5">
        <f t="shared" si="12"/>
        <v>324</v>
      </c>
      <c r="M728" s="2">
        <v>42692</v>
      </c>
    </row>
    <row r="729" spans="1:13" hidden="1" x14ac:dyDescent="0.25">
      <c r="A729" t="s">
        <v>11</v>
      </c>
      <c r="B729" s="2">
        <v>42845</v>
      </c>
      <c r="C729">
        <v>2017</v>
      </c>
      <c r="E729" t="s">
        <v>6</v>
      </c>
      <c r="F729">
        <v>129.1</v>
      </c>
      <c r="G729">
        <f t="shared" si="11"/>
        <v>129.1</v>
      </c>
      <c r="I729" s="5">
        <f t="shared" si="12"/>
        <v>328</v>
      </c>
      <c r="M729" s="2">
        <v>42696</v>
      </c>
    </row>
    <row r="730" spans="1:13" hidden="1" x14ac:dyDescent="0.25">
      <c r="A730" t="s">
        <v>11</v>
      </c>
      <c r="B730" s="2">
        <v>42853</v>
      </c>
      <c r="C730">
        <v>2017</v>
      </c>
      <c r="E730" t="s">
        <v>6</v>
      </c>
      <c r="F730">
        <v>132.1</v>
      </c>
      <c r="G730">
        <f t="shared" si="11"/>
        <v>132.1</v>
      </c>
      <c r="I730" s="5">
        <f t="shared" si="12"/>
        <v>325</v>
      </c>
      <c r="M730" s="2">
        <v>42693</v>
      </c>
    </row>
    <row r="731" spans="1:13" hidden="1" x14ac:dyDescent="0.25">
      <c r="A731" t="s">
        <v>11</v>
      </c>
      <c r="B731" s="2">
        <v>42859</v>
      </c>
      <c r="C731">
        <v>2017</v>
      </c>
      <c r="E731" t="s">
        <v>6</v>
      </c>
      <c r="F731">
        <v>131.9</v>
      </c>
      <c r="G731">
        <f t="shared" si="11"/>
        <v>131.9</v>
      </c>
      <c r="I731" s="5">
        <f t="shared" si="12"/>
        <v>333</v>
      </c>
      <c r="M731" s="2">
        <v>42701</v>
      </c>
    </row>
    <row r="732" spans="1:13" hidden="1" x14ac:dyDescent="0.25">
      <c r="A732" t="s">
        <v>11</v>
      </c>
      <c r="B732" s="2">
        <v>42873</v>
      </c>
      <c r="C732">
        <v>2017</v>
      </c>
      <c r="E732" t="s">
        <v>6</v>
      </c>
      <c r="F732">
        <v>134.6</v>
      </c>
      <c r="G732">
        <f t="shared" si="11"/>
        <v>134.6</v>
      </c>
      <c r="I732" s="5">
        <f t="shared" si="12"/>
        <v>325</v>
      </c>
      <c r="M732" s="2">
        <v>42693</v>
      </c>
    </row>
    <row r="733" spans="1:13" hidden="1" x14ac:dyDescent="0.25">
      <c r="A733" t="s">
        <v>11</v>
      </c>
      <c r="B733" s="2">
        <v>42887</v>
      </c>
      <c r="C733">
        <v>2017</v>
      </c>
      <c r="E733" t="s">
        <v>6</v>
      </c>
      <c r="F733">
        <v>134.80000000000001</v>
      </c>
      <c r="G733">
        <f t="shared" si="11"/>
        <v>134.80000000000001</v>
      </c>
      <c r="I733" s="5">
        <f t="shared" si="12"/>
        <v>324</v>
      </c>
      <c r="M733" s="2">
        <v>42692</v>
      </c>
    </row>
    <row r="734" spans="1:13" hidden="1" x14ac:dyDescent="0.25">
      <c r="A734" t="s">
        <v>11</v>
      </c>
      <c r="B734" s="2">
        <v>42894</v>
      </c>
      <c r="C734">
        <v>2017</v>
      </c>
      <c r="E734" t="s">
        <v>6</v>
      </c>
      <c r="F734">
        <v>130.9</v>
      </c>
      <c r="G734">
        <f t="shared" si="11"/>
        <v>130.9</v>
      </c>
      <c r="I734" s="5">
        <f t="shared" si="12"/>
        <v>328</v>
      </c>
      <c r="M734" s="2">
        <v>42696</v>
      </c>
    </row>
    <row r="735" spans="1:13" hidden="1" x14ac:dyDescent="0.25">
      <c r="A735" t="s">
        <v>11</v>
      </c>
      <c r="B735" s="2">
        <v>42908</v>
      </c>
      <c r="C735">
        <v>2017</v>
      </c>
      <c r="E735" t="s">
        <v>6</v>
      </c>
      <c r="F735">
        <v>127.7</v>
      </c>
      <c r="G735">
        <f t="shared" si="11"/>
        <v>127.7</v>
      </c>
      <c r="I735" s="5">
        <f t="shared" si="12"/>
        <v>325</v>
      </c>
      <c r="M735" s="2">
        <v>42693</v>
      </c>
    </row>
    <row r="736" spans="1:13" hidden="1" x14ac:dyDescent="0.25">
      <c r="A736" t="s">
        <v>11</v>
      </c>
      <c r="B736" s="2">
        <v>42753</v>
      </c>
      <c r="C736">
        <v>2017</v>
      </c>
      <c r="E736" t="s">
        <v>6</v>
      </c>
      <c r="F736">
        <v>63.7</v>
      </c>
      <c r="G736">
        <f t="shared" si="11"/>
        <v>63.7</v>
      </c>
      <c r="I736" s="5">
        <f t="shared" si="12"/>
        <v>333</v>
      </c>
      <c r="M736" s="2">
        <v>42701</v>
      </c>
    </row>
    <row r="737" spans="1:13" hidden="1" x14ac:dyDescent="0.25">
      <c r="A737" t="s">
        <v>11</v>
      </c>
      <c r="B737" s="2">
        <v>42753</v>
      </c>
      <c r="C737">
        <v>2017</v>
      </c>
      <c r="E737" t="s">
        <v>6</v>
      </c>
      <c r="F737">
        <v>64.7</v>
      </c>
      <c r="G737">
        <f t="shared" si="11"/>
        <v>64.7</v>
      </c>
      <c r="I737" s="5">
        <f t="shared" si="12"/>
        <v>330</v>
      </c>
      <c r="M737" s="2">
        <v>42698</v>
      </c>
    </row>
    <row r="738" spans="1:13" hidden="1" x14ac:dyDescent="0.25">
      <c r="A738" t="s">
        <v>11</v>
      </c>
      <c r="B738" s="2">
        <v>42753</v>
      </c>
      <c r="C738">
        <v>2017</v>
      </c>
      <c r="E738" t="s">
        <v>6</v>
      </c>
      <c r="F738">
        <v>67.099999999999994</v>
      </c>
      <c r="G738">
        <f t="shared" si="11"/>
        <v>67.099999999999994</v>
      </c>
      <c r="I738" s="5">
        <f t="shared" si="12"/>
        <v>340</v>
      </c>
      <c r="M738" s="2">
        <v>42708</v>
      </c>
    </row>
    <row r="739" spans="1:13" hidden="1" x14ac:dyDescent="0.25">
      <c r="A739" t="s">
        <v>11</v>
      </c>
      <c r="B739" s="2">
        <v>42753</v>
      </c>
      <c r="C739">
        <v>2017</v>
      </c>
      <c r="E739" t="s">
        <v>6</v>
      </c>
      <c r="F739">
        <v>70.2</v>
      </c>
      <c r="G739">
        <f t="shared" si="11"/>
        <v>70.2</v>
      </c>
      <c r="I739" s="5">
        <f t="shared" si="12"/>
        <v>330</v>
      </c>
      <c r="M739" s="2">
        <v>42698</v>
      </c>
    </row>
    <row r="740" spans="1:13" hidden="1" x14ac:dyDescent="0.25">
      <c r="A740" t="s">
        <v>11</v>
      </c>
      <c r="B740" s="2">
        <v>42788</v>
      </c>
      <c r="C740">
        <v>2017</v>
      </c>
      <c r="E740" t="s">
        <v>6</v>
      </c>
      <c r="F740">
        <v>93.9</v>
      </c>
      <c r="G740">
        <f t="shared" si="11"/>
        <v>93.9</v>
      </c>
      <c r="I740" s="5">
        <f t="shared" si="12"/>
        <v>340</v>
      </c>
      <c r="M740" s="2">
        <v>42708</v>
      </c>
    </row>
    <row r="741" spans="1:13" hidden="1" x14ac:dyDescent="0.25">
      <c r="A741" t="s">
        <v>11</v>
      </c>
      <c r="B741" s="2">
        <v>42789</v>
      </c>
      <c r="C741">
        <v>2017</v>
      </c>
      <c r="E741" t="s">
        <v>6</v>
      </c>
      <c r="F741">
        <v>84.1</v>
      </c>
      <c r="G741">
        <f t="shared" si="11"/>
        <v>84.1</v>
      </c>
      <c r="I741" s="5">
        <f t="shared" si="12"/>
        <v>325</v>
      </c>
      <c r="M741" s="2">
        <v>42693</v>
      </c>
    </row>
    <row r="742" spans="1:13" hidden="1" x14ac:dyDescent="0.25">
      <c r="A742" t="s">
        <v>11</v>
      </c>
      <c r="B742" s="2">
        <v>42789</v>
      </c>
      <c r="C742">
        <v>2017</v>
      </c>
      <c r="E742" t="s">
        <v>6</v>
      </c>
      <c r="F742">
        <v>96</v>
      </c>
      <c r="G742">
        <f t="shared" si="11"/>
        <v>96</v>
      </c>
      <c r="I742" s="5">
        <f t="shared" si="12"/>
        <v>324</v>
      </c>
      <c r="M742" s="2">
        <v>42692</v>
      </c>
    </row>
    <row r="743" spans="1:13" hidden="1" x14ac:dyDescent="0.25">
      <c r="A743" t="s">
        <v>11</v>
      </c>
      <c r="B743" s="2">
        <v>42789</v>
      </c>
      <c r="C743">
        <v>2017</v>
      </c>
      <c r="E743" t="s">
        <v>6</v>
      </c>
      <c r="F743">
        <v>85.8</v>
      </c>
      <c r="G743">
        <f t="shared" ref="G743:G806" si="13">F743</f>
        <v>85.8</v>
      </c>
      <c r="I743" s="5">
        <f t="shared" ref="I743:I806" si="14" xml:space="preserve"> DATEDIF(DATE(YEAR(M743),1,0),M743,"d")+1</f>
        <v>328</v>
      </c>
      <c r="M743" s="2">
        <v>42696</v>
      </c>
    </row>
    <row r="744" spans="1:13" hidden="1" x14ac:dyDescent="0.25">
      <c r="A744" t="s">
        <v>11</v>
      </c>
      <c r="B744" s="2">
        <v>42803</v>
      </c>
      <c r="C744">
        <v>2017</v>
      </c>
      <c r="E744" t="s">
        <v>6</v>
      </c>
      <c r="F744">
        <v>107.9</v>
      </c>
      <c r="G744">
        <f t="shared" si="13"/>
        <v>107.9</v>
      </c>
      <c r="I744" s="5">
        <f t="shared" si="14"/>
        <v>325</v>
      </c>
      <c r="M744" s="2">
        <v>42693</v>
      </c>
    </row>
    <row r="745" spans="1:13" hidden="1" x14ac:dyDescent="0.25">
      <c r="A745" t="s">
        <v>11</v>
      </c>
      <c r="B745" s="2">
        <v>42803</v>
      </c>
      <c r="C745">
        <v>2017</v>
      </c>
      <c r="E745" t="s">
        <v>6</v>
      </c>
      <c r="F745">
        <v>102.9</v>
      </c>
      <c r="G745">
        <f t="shared" si="13"/>
        <v>102.9</v>
      </c>
      <c r="I745" s="5">
        <f t="shared" si="14"/>
        <v>333</v>
      </c>
      <c r="M745" s="2">
        <v>42701</v>
      </c>
    </row>
    <row r="746" spans="1:13" hidden="1" x14ac:dyDescent="0.25">
      <c r="A746" t="s">
        <v>11</v>
      </c>
      <c r="B746" s="2">
        <v>42804</v>
      </c>
      <c r="C746">
        <v>2017</v>
      </c>
      <c r="E746" t="s">
        <v>6</v>
      </c>
      <c r="F746">
        <v>94.6</v>
      </c>
      <c r="G746">
        <f t="shared" si="13"/>
        <v>94.6</v>
      </c>
      <c r="I746" s="5">
        <f t="shared" si="14"/>
        <v>340</v>
      </c>
      <c r="M746" s="2">
        <v>42708</v>
      </c>
    </row>
    <row r="747" spans="1:13" hidden="1" x14ac:dyDescent="0.25">
      <c r="A747" t="s">
        <v>11</v>
      </c>
      <c r="B747" s="2">
        <v>42804</v>
      </c>
      <c r="C747">
        <v>2017</v>
      </c>
      <c r="E747" t="s">
        <v>6</v>
      </c>
      <c r="F747">
        <v>98.9</v>
      </c>
      <c r="G747">
        <f t="shared" si="13"/>
        <v>98.9</v>
      </c>
      <c r="I747" s="5">
        <f t="shared" si="14"/>
        <v>330</v>
      </c>
      <c r="M747" s="2">
        <v>42698</v>
      </c>
    </row>
    <row r="748" spans="1:13" hidden="1" x14ac:dyDescent="0.25">
      <c r="A748" t="s">
        <v>11</v>
      </c>
      <c r="B748" s="2">
        <v>42816</v>
      </c>
      <c r="C748">
        <v>2017</v>
      </c>
      <c r="E748" t="s">
        <v>6</v>
      </c>
      <c r="F748">
        <v>110.9</v>
      </c>
      <c r="G748">
        <f t="shared" si="13"/>
        <v>110.9</v>
      </c>
      <c r="I748" s="5">
        <f t="shared" si="14"/>
        <v>324</v>
      </c>
      <c r="M748" s="2">
        <v>42692</v>
      </c>
    </row>
    <row r="749" spans="1:13" hidden="1" x14ac:dyDescent="0.25">
      <c r="A749" t="s">
        <v>11</v>
      </c>
      <c r="B749" s="2">
        <v>42817</v>
      </c>
      <c r="C749">
        <v>2017</v>
      </c>
      <c r="E749" t="s">
        <v>6</v>
      </c>
      <c r="F749">
        <v>101.5</v>
      </c>
      <c r="G749">
        <f t="shared" si="13"/>
        <v>101.5</v>
      </c>
      <c r="I749" s="5">
        <f t="shared" si="14"/>
        <v>328</v>
      </c>
      <c r="M749" s="2">
        <v>42696</v>
      </c>
    </row>
    <row r="750" spans="1:13" hidden="1" x14ac:dyDescent="0.25">
      <c r="A750" t="s">
        <v>11</v>
      </c>
      <c r="B750" s="2">
        <v>42817</v>
      </c>
      <c r="C750">
        <v>2017</v>
      </c>
      <c r="E750" t="s">
        <v>6</v>
      </c>
      <c r="F750">
        <v>112.1</v>
      </c>
      <c r="G750">
        <f t="shared" si="13"/>
        <v>112.1</v>
      </c>
      <c r="I750" s="5">
        <f t="shared" si="14"/>
        <v>325</v>
      </c>
      <c r="M750" s="2">
        <v>42693</v>
      </c>
    </row>
    <row r="751" spans="1:13" hidden="1" x14ac:dyDescent="0.25">
      <c r="A751" t="s">
        <v>11</v>
      </c>
      <c r="B751" s="2">
        <v>42817</v>
      </c>
      <c r="C751">
        <v>2017</v>
      </c>
      <c r="E751" t="s">
        <v>6</v>
      </c>
      <c r="F751">
        <v>105.8</v>
      </c>
      <c r="G751">
        <f t="shared" si="13"/>
        <v>105.8</v>
      </c>
      <c r="I751" s="5">
        <f t="shared" si="14"/>
        <v>333</v>
      </c>
      <c r="M751" s="2">
        <v>42701</v>
      </c>
    </row>
    <row r="752" spans="1:13" hidden="1" x14ac:dyDescent="0.25">
      <c r="A752" t="s">
        <v>11</v>
      </c>
      <c r="B752" s="2">
        <v>42831</v>
      </c>
      <c r="C752">
        <v>2017</v>
      </c>
      <c r="E752" t="s">
        <v>6</v>
      </c>
      <c r="F752">
        <v>126.1</v>
      </c>
      <c r="G752">
        <f t="shared" si="13"/>
        <v>126.1</v>
      </c>
      <c r="I752" s="5">
        <f t="shared" si="14"/>
        <v>325</v>
      </c>
      <c r="M752" s="2">
        <v>42693</v>
      </c>
    </row>
    <row r="753" spans="1:13" hidden="1" x14ac:dyDescent="0.25">
      <c r="A753" t="s">
        <v>11</v>
      </c>
      <c r="B753" s="2">
        <v>42832</v>
      </c>
      <c r="C753">
        <v>2017</v>
      </c>
      <c r="E753" t="s">
        <v>6</v>
      </c>
      <c r="F753">
        <v>109.7</v>
      </c>
      <c r="G753">
        <f t="shared" si="13"/>
        <v>109.7</v>
      </c>
      <c r="I753" s="5">
        <f t="shared" si="14"/>
        <v>330</v>
      </c>
      <c r="M753" s="2">
        <v>42698</v>
      </c>
    </row>
    <row r="754" spans="1:13" hidden="1" x14ac:dyDescent="0.25">
      <c r="A754" t="s">
        <v>11</v>
      </c>
      <c r="B754" s="2">
        <v>42832</v>
      </c>
      <c r="C754">
        <v>2017</v>
      </c>
      <c r="E754" t="s">
        <v>6</v>
      </c>
      <c r="F754">
        <v>123.2</v>
      </c>
      <c r="G754">
        <f t="shared" si="13"/>
        <v>123.2</v>
      </c>
      <c r="I754" s="5">
        <f t="shared" si="14"/>
        <v>340</v>
      </c>
      <c r="M754" s="2">
        <v>42708</v>
      </c>
    </row>
    <row r="755" spans="1:13" hidden="1" x14ac:dyDescent="0.25">
      <c r="A755" t="s">
        <v>11</v>
      </c>
      <c r="B755" s="2">
        <v>42832</v>
      </c>
      <c r="C755">
        <v>2017</v>
      </c>
      <c r="E755" t="s">
        <v>6</v>
      </c>
      <c r="F755">
        <v>116.9</v>
      </c>
      <c r="G755">
        <f t="shared" si="13"/>
        <v>116.9</v>
      </c>
      <c r="I755" s="5">
        <f t="shared" si="14"/>
        <v>325</v>
      </c>
      <c r="M755" s="2">
        <v>42693</v>
      </c>
    </row>
    <row r="756" spans="1:13" hidden="1" x14ac:dyDescent="0.25">
      <c r="A756" t="s">
        <v>11</v>
      </c>
      <c r="B756" s="2">
        <v>42837</v>
      </c>
      <c r="C756">
        <v>2017</v>
      </c>
      <c r="E756" t="s">
        <v>6</v>
      </c>
      <c r="F756">
        <v>128.69999999999999</v>
      </c>
      <c r="G756">
        <f t="shared" si="13"/>
        <v>128.69999999999999</v>
      </c>
      <c r="I756" s="5">
        <f t="shared" si="14"/>
        <v>328</v>
      </c>
      <c r="M756" s="2">
        <v>42696</v>
      </c>
    </row>
    <row r="757" spans="1:13" hidden="1" x14ac:dyDescent="0.25">
      <c r="A757" t="s">
        <v>11</v>
      </c>
      <c r="B757" s="2">
        <v>42838</v>
      </c>
      <c r="C757">
        <v>2017</v>
      </c>
      <c r="E757" t="s">
        <v>6</v>
      </c>
      <c r="F757">
        <v>115.1</v>
      </c>
      <c r="G757">
        <f t="shared" si="13"/>
        <v>115.1</v>
      </c>
      <c r="I757" s="5">
        <f t="shared" si="14"/>
        <v>333</v>
      </c>
      <c r="M757" s="2">
        <v>42701</v>
      </c>
    </row>
    <row r="758" spans="1:13" hidden="1" x14ac:dyDescent="0.25">
      <c r="A758" t="s">
        <v>11</v>
      </c>
      <c r="B758" s="2">
        <v>42838</v>
      </c>
      <c r="C758">
        <v>2017</v>
      </c>
      <c r="E758" t="s">
        <v>6</v>
      </c>
      <c r="F758">
        <v>127.2</v>
      </c>
      <c r="G758">
        <f t="shared" si="13"/>
        <v>127.2</v>
      </c>
      <c r="I758" s="5">
        <f t="shared" si="14"/>
        <v>324</v>
      </c>
      <c r="M758" s="2">
        <v>42692</v>
      </c>
    </row>
    <row r="759" spans="1:13" hidden="1" x14ac:dyDescent="0.25">
      <c r="A759" t="s">
        <v>11</v>
      </c>
      <c r="B759" s="2">
        <v>42838</v>
      </c>
      <c r="C759">
        <v>2017</v>
      </c>
      <c r="E759" t="s">
        <v>6</v>
      </c>
      <c r="F759">
        <v>119.1</v>
      </c>
      <c r="G759">
        <f t="shared" si="13"/>
        <v>119.1</v>
      </c>
      <c r="I759" s="5">
        <f t="shared" si="14"/>
        <v>325</v>
      </c>
      <c r="M759" s="2">
        <v>42693</v>
      </c>
    </row>
    <row r="760" spans="1:13" hidden="1" x14ac:dyDescent="0.25">
      <c r="A760" t="s">
        <v>11</v>
      </c>
      <c r="B760" s="2">
        <v>42844</v>
      </c>
      <c r="C760">
        <v>2017</v>
      </c>
      <c r="E760" t="s">
        <v>6</v>
      </c>
      <c r="F760">
        <v>131.69999999999999</v>
      </c>
      <c r="G760">
        <f t="shared" si="13"/>
        <v>131.69999999999999</v>
      </c>
      <c r="I760" s="5">
        <f t="shared" si="14"/>
        <v>330</v>
      </c>
      <c r="M760" s="2">
        <v>42698</v>
      </c>
    </row>
    <row r="761" spans="1:13" hidden="1" x14ac:dyDescent="0.25">
      <c r="A761" t="s">
        <v>11</v>
      </c>
      <c r="B761" s="2">
        <v>42845</v>
      </c>
      <c r="C761">
        <v>2017</v>
      </c>
      <c r="E761" t="s">
        <v>6</v>
      </c>
      <c r="F761">
        <v>116</v>
      </c>
      <c r="G761">
        <f t="shared" si="13"/>
        <v>116</v>
      </c>
      <c r="I761" s="5">
        <f t="shared" si="14"/>
        <v>340</v>
      </c>
      <c r="M761" s="2">
        <v>42708</v>
      </c>
    </row>
    <row r="762" spans="1:13" hidden="1" x14ac:dyDescent="0.25">
      <c r="A762" t="s">
        <v>11</v>
      </c>
      <c r="B762" s="2">
        <v>42845</v>
      </c>
      <c r="C762">
        <v>2017</v>
      </c>
      <c r="E762" t="s">
        <v>6</v>
      </c>
      <c r="F762">
        <v>125.3</v>
      </c>
      <c r="G762">
        <f t="shared" si="13"/>
        <v>125.3</v>
      </c>
      <c r="I762" s="5">
        <f t="shared" si="14"/>
        <v>325</v>
      </c>
      <c r="M762" s="2">
        <v>42693</v>
      </c>
    </row>
    <row r="763" spans="1:13" hidden="1" x14ac:dyDescent="0.25">
      <c r="A763" t="s">
        <v>11</v>
      </c>
      <c r="B763" s="2">
        <v>42845</v>
      </c>
      <c r="C763">
        <v>2017</v>
      </c>
      <c r="E763" t="s">
        <v>6</v>
      </c>
      <c r="F763">
        <v>120.2</v>
      </c>
      <c r="G763">
        <f t="shared" si="13"/>
        <v>120.2</v>
      </c>
      <c r="I763" s="5">
        <f t="shared" si="14"/>
        <v>324</v>
      </c>
      <c r="M763" s="2">
        <v>42692</v>
      </c>
    </row>
    <row r="764" spans="1:13" hidden="1" x14ac:dyDescent="0.25">
      <c r="A764" t="s">
        <v>11</v>
      </c>
      <c r="B764" s="2">
        <v>42853</v>
      </c>
      <c r="C764">
        <v>2017</v>
      </c>
      <c r="E764" t="s">
        <v>6</v>
      </c>
      <c r="F764">
        <v>114.2</v>
      </c>
      <c r="G764">
        <f t="shared" si="13"/>
        <v>114.2</v>
      </c>
      <c r="I764" s="5">
        <f t="shared" si="14"/>
        <v>328</v>
      </c>
      <c r="M764" s="2">
        <v>42696</v>
      </c>
    </row>
    <row r="765" spans="1:13" hidden="1" x14ac:dyDescent="0.25">
      <c r="A765" t="s">
        <v>11</v>
      </c>
      <c r="B765" s="2">
        <v>42853</v>
      </c>
      <c r="C765">
        <v>2017</v>
      </c>
      <c r="E765" t="s">
        <v>6</v>
      </c>
      <c r="F765">
        <v>125.6</v>
      </c>
      <c r="G765">
        <f t="shared" si="13"/>
        <v>125.6</v>
      </c>
      <c r="I765" s="5">
        <f t="shared" si="14"/>
        <v>325</v>
      </c>
      <c r="M765" s="2">
        <v>42693</v>
      </c>
    </row>
    <row r="766" spans="1:13" hidden="1" x14ac:dyDescent="0.25">
      <c r="A766" t="s">
        <v>11</v>
      </c>
      <c r="B766" s="2">
        <v>42853</v>
      </c>
      <c r="C766">
        <v>2017</v>
      </c>
      <c r="E766" t="s">
        <v>6</v>
      </c>
      <c r="F766">
        <v>120.9</v>
      </c>
      <c r="G766">
        <f t="shared" si="13"/>
        <v>120.9</v>
      </c>
      <c r="I766" s="5">
        <f t="shared" si="14"/>
        <v>333</v>
      </c>
      <c r="M766" s="2">
        <v>42701</v>
      </c>
    </row>
    <row r="767" spans="1:13" hidden="1" x14ac:dyDescent="0.25">
      <c r="A767" t="s">
        <v>11</v>
      </c>
      <c r="B767" s="2">
        <v>42853</v>
      </c>
      <c r="C767">
        <v>2017</v>
      </c>
      <c r="E767" t="s">
        <v>6</v>
      </c>
      <c r="F767">
        <v>130.30000000000001</v>
      </c>
      <c r="G767">
        <f t="shared" si="13"/>
        <v>130.30000000000001</v>
      </c>
      <c r="I767" s="5">
        <f t="shared" si="14"/>
        <v>330</v>
      </c>
      <c r="M767" s="2">
        <v>42698</v>
      </c>
    </row>
    <row r="768" spans="1:13" hidden="1" x14ac:dyDescent="0.25">
      <c r="A768" t="s">
        <v>11</v>
      </c>
      <c r="B768" s="2">
        <v>42858</v>
      </c>
      <c r="C768">
        <v>2017</v>
      </c>
      <c r="E768" t="s">
        <v>6</v>
      </c>
      <c r="F768">
        <v>135.9</v>
      </c>
      <c r="G768">
        <f t="shared" si="13"/>
        <v>135.9</v>
      </c>
      <c r="I768" s="5">
        <f t="shared" si="14"/>
        <v>340</v>
      </c>
      <c r="M768" s="2">
        <v>42708</v>
      </c>
    </row>
    <row r="769" spans="1:13" hidden="1" x14ac:dyDescent="0.25">
      <c r="A769" t="s">
        <v>11</v>
      </c>
      <c r="B769" s="2">
        <v>42859</v>
      </c>
      <c r="C769">
        <v>2017</v>
      </c>
      <c r="E769" t="s">
        <v>6</v>
      </c>
      <c r="F769">
        <v>128.4</v>
      </c>
      <c r="G769">
        <f t="shared" si="13"/>
        <v>128.4</v>
      </c>
      <c r="I769" s="5">
        <f t="shared" si="14"/>
        <v>325</v>
      </c>
      <c r="M769" s="2">
        <v>42693</v>
      </c>
    </row>
    <row r="770" spans="1:13" hidden="1" x14ac:dyDescent="0.25">
      <c r="A770" t="s">
        <v>11</v>
      </c>
      <c r="B770" s="2">
        <v>42860</v>
      </c>
      <c r="C770">
        <v>2017</v>
      </c>
      <c r="E770" t="s">
        <v>6</v>
      </c>
      <c r="F770">
        <v>116</v>
      </c>
      <c r="G770">
        <f t="shared" si="13"/>
        <v>116</v>
      </c>
      <c r="I770" s="5">
        <f t="shared" si="14"/>
        <v>324</v>
      </c>
      <c r="M770" s="2">
        <v>42692</v>
      </c>
    </row>
    <row r="771" spans="1:13" hidden="1" x14ac:dyDescent="0.25">
      <c r="A771" t="s">
        <v>11</v>
      </c>
      <c r="B771" s="2">
        <v>42860</v>
      </c>
      <c r="C771">
        <v>2017</v>
      </c>
      <c r="E771" t="s">
        <v>6</v>
      </c>
      <c r="F771">
        <v>121.5</v>
      </c>
      <c r="G771">
        <f t="shared" si="13"/>
        <v>121.5</v>
      </c>
      <c r="I771" s="5">
        <f t="shared" si="14"/>
        <v>328</v>
      </c>
      <c r="M771" s="2">
        <v>42696</v>
      </c>
    </row>
    <row r="772" spans="1:13" hidden="1" x14ac:dyDescent="0.25">
      <c r="A772" t="s">
        <v>11</v>
      </c>
      <c r="B772" s="2">
        <v>42872</v>
      </c>
      <c r="C772">
        <v>2017</v>
      </c>
      <c r="E772" t="s">
        <v>6</v>
      </c>
      <c r="F772">
        <v>130.30000000000001</v>
      </c>
      <c r="G772">
        <f t="shared" si="13"/>
        <v>130.30000000000001</v>
      </c>
      <c r="I772" s="5">
        <f t="shared" si="14"/>
        <v>325</v>
      </c>
      <c r="M772" s="2">
        <v>42693</v>
      </c>
    </row>
    <row r="773" spans="1:13" hidden="1" x14ac:dyDescent="0.25">
      <c r="A773" t="s">
        <v>11</v>
      </c>
      <c r="B773" s="2">
        <v>42873</v>
      </c>
      <c r="C773">
        <v>2017</v>
      </c>
      <c r="E773" t="s">
        <v>6</v>
      </c>
      <c r="F773">
        <v>121.6</v>
      </c>
      <c r="G773">
        <f t="shared" si="13"/>
        <v>121.6</v>
      </c>
      <c r="I773" s="5">
        <f t="shared" si="14"/>
        <v>333</v>
      </c>
      <c r="M773" s="2">
        <v>42701</v>
      </c>
    </row>
    <row r="774" spans="1:13" hidden="1" x14ac:dyDescent="0.25">
      <c r="A774" t="s">
        <v>11</v>
      </c>
      <c r="B774" s="2">
        <v>42873</v>
      </c>
      <c r="C774">
        <v>2017</v>
      </c>
      <c r="E774" t="s">
        <v>6</v>
      </c>
      <c r="F774">
        <v>131.6</v>
      </c>
      <c r="G774">
        <f t="shared" si="13"/>
        <v>131.6</v>
      </c>
      <c r="I774" s="5">
        <f t="shared" si="14"/>
        <v>330</v>
      </c>
      <c r="M774" s="2">
        <v>42698</v>
      </c>
    </row>
    <row r="775" spans="1:13" hidden="1" x14ac:dyDescent="0.25">
      <c r="A775" t="s">
        <v>11</v>
      </c>
      <c r="B775" s="2">
        <v>42873</v>
      </c>
      <c r="C775">
        <v>2017</v>
      </c>
      <c r="E775" t="s">
        <v>6</v>
      </c>
      <c r="F775">
        <v>123</v>
      </c>
      <c r="G775">
        <f t="shared" si="13"/>
        <v>123</v>
      </c>
      <c r="I775" s="5">
        <f t="shared" si="14"/>
        <v>324</v>
      </c>
      <c r="M775" s="2">
        <v>42692</v>
      </c>
    </row>
    <row r="776" spans="1:13" hidden="1" x14ac:dyDescent="0.25">
      <c r="A776" t="s">
        <v>11</v>
      </c>
      <c r="B776" s="2">
        <v>42886</v>
      </c>
      <c r="C776">
        <v>2017</v>
      </c>
      <c r="E776" t="s">
        <v>6</v>
      </c>
      <c r="F776">
        <v>133.1</v>
      </c>
      <c r="G776">
        <f t="shared" si="13"/>
        <v>133.1</v>
      </c>
      <c r="I776" s="5">
        <f t="shared" si="14"/>
        <v>340</v>
      </c>
      <c r="M776" s="2">
        <v>42708</v>
      </c>
    </row>
    <row r="777" spans="1:13" hidden="1" x14ac:dyDescent="0.25">
      <c r="A777" t="s">
        <v>11</v>
      </c>
      <c r="B777" s="2">
        <v>42887</v>
      </c>
      <c r="C777">
        <v>2017</v>
      </c>
      <c r="E777" t="s">
        <v>6</v>
      </c>
      <c r="F777">
        <v>116.4</v>
      </c>
      <c r="G777">
        <f t="shared" si="13"/>
        <v>116.4</v>
      </c>
      <c r="I777" s="5">
        <f t="shared" si="14"/>
        <v>325</v>
      </c>
      <c r="M777" s="2">
        <v>42693</v>
      </c>
    </row>
    <row r="778" spans="1:13" hidden="1" x14ac:dyDescent="0.25">
      <c r="A778" t="s">
        <v>11</v>
      </c>
      <c r="B778" s="2">
        <v>42887</v>
      </c>
      <c r="C778">
        <v>2017</v>
      </c>
      <c r="E778" t="s">
        <v>6</v>
      </c>
      <c r="F778">
        <v>131.9</v>
      </c>
      <c r="G778">
        <f t="shared" si="13"/>
        <v>131.9</v>
      </c>
      <c r="I778" s="5">
        <f t="shared" si="14"/>
        <v>333</v>
      </c>
      <c r="M778" s="2">
        <v>42701</v>
      </c>
    </row>
    <row r="779" spans="1:13" hidden="1" x14ac:dyDescent="0.25">
      <c r="A779" t="s">
        <v>11</v>
      </c>
      <c r="B779" s="2">
        <v>42887</v>
      </c>
      <c r="C779">
        <v>2017</v>
      </c>
      <c r="E779" t="s">
        <v>6</v>
      </c>
      <c r="F779">
        <v>124.7</v>
      </c>
      <c r="G779">
        <f t="shared" si="13"/>
        <v>124.7</v>
      </c>
      <c r="I779" s="5">
        <f t="shared" si="14"/>
        <v>325</v>
      </c>
      <c r="M779" s="2">
        <v>42693</v>
      </c>
    </row>
    <row r="780" spans="1:13" hidden="1" x14ac:dyDescent="0.25">
      <c r="A780" t="s">
        <v>11</v>
      </c>
      <c r="B780" s="2">
        <v>42893</v>
      </c>
      <c r="C780">
        <v>2017</v>
      </c>
      <c r="E780" t="s">
        <v>6</v>
      </c>
      <c r="F780">
        <v>119</v>
      </c>
      <c r="G780">
        <f t="shared" si="13"/>
        <v>119</v>
      </c>
      <c r="I780" s="5">
        <f t="shared" si="14"/>
        <v>330</v>
      </c>
      <c r="M780" s="2">
        <v>42698</v>
      </c>
    </row>
    <row r="781" spans="1:13" hidden="1" x14ac:dyDescent="0.25">
      <c r="A781" t="s">
        <v>11</v>
      </c>
      <c r="B781" s="2">
        <v>42893</v>
      </c>
      <c r="C781">
        <v>2017</v>
      </c>
      <c r="E781" t="s">
        <v>6</v>
      </c>
      <c r="F781">
        <v>121.2</v>
      </c>
      <c r="G781">
        <f t="shared" si="13"/>
        <v>121.2</v>
      </c>
      <c r="I781" s="5">
        <f t="shared" si="14"/>
        <v>324</v>
      </c>
      <c r="M781" s="2">
        <v>42692</v>
      </c>
    </row>
    <row r="782" spans="1:13" hidden="1" x14ac:dyDescent="0.25">
      <c r="A782" t="s">
        <v>11</v>
      </c>
      <c r="B782" s="2">
        <v>42894</v>
      </c>
      <c r="C782">
        <v>2017</v>
      </c>
      <c r="E782" t="s">
        <v>6</v>
      </c>
      <c r="F782">
        <v>132.6</v>
      </c>
      <c r="G782">
        <f t="shared" si="13"/>
        <v>132.6</v>
      </c>
      <c r="I782" s="5">
        <f t="shared" si="14"/>
        <v>340</v>
      </c>
      <c r="M782" s="2">
        <v>42708</v>
      </c>
    </row>
    <row r="783" spans="1:13" hidden="1" x14ac:dyDescent="0.25">
      <c r="A783" t="s">
        <v>11</v>
      </c>
      <c r="B783" s="2">
        <v>42907</v>
      </c>
      <c r="C783">
        <v>2017</v>
      </c>
      <c r="E783" t="s">
        <v>6</v>
      </c>
      <c r="F783">
        <v>117.5</v>
      </c>
      <c r="G783">
        <f t="shared" si="13"/>
        <v>117.5</v>
      </c>
      <c r="I783" s="5">
        <f t="shared" si="14"/>
        <v>325</v>
      </c>
      <c r="M783" s="2">
        <v>42693</v>
      </c>
    </row>
    <row r="784" spans="1:13" hidden="1" x14ac:dyDescent="0.25">
      <c r="A784" t="s">
        <v>11</v>
      </c>
      <c r="B784" s="2">
        <v>42907</v>
      </c>
      <c r="C784">
        <v>2017</v>
      </c>
      <c r="E784" t="s">
        <v>6</v>
      </c>
      <c r="F784">
        <v>121.7</v>
      </c>
      <c r="G784">
        <f t="shared" si="13"/>
        <v>121.7</v>
      </c>
      <c r="I784" s="5">
        <f t="shared" si="14"/>
        <v>333</v>
      </c>
      <c r="M784" s="2">
        <v>42701</v>
      </c>
    </row>
    <row r="785" spans="1:13" hidden="1" x14ac:dyDescent="0.25">
      <c r="A785" t="s">
        <v>11</v>
      </c>
      <c r="B785" s="2">
        <v>42908</v>
      </c>
      <c r="C785">
        <v>2017</v>
      </c>
      <c r="E785" t="s">
        <v>6</v>
      </c>
      <c r="F785">
        <v>130.1</v>
      </c>
      <c r="G785">
        <f t="shared" si="13"/>
        <v>130.1</v>
      </c>
      <c r="I785" s="5">
        <f t="shared" si="14"/>
        <v>325</v>
      </c>
      <c r="M785" s="2">
        <v>42693</v>
      </c>
    </row>
    <row r="786" spans="1:13" hidden="1" x14ac:dyDescent="0.25">
      <c r="A786" t="s">
        <v>12</v>
      </c>
      <c r="B786" s="2">
        <v>43116</v>
      </c>
      <c r="C786">
        <v>2018</v>
      </c>
      <c r="E786" t="s">
        <v>6</v>
      </c>
      <c r="F786">
        <v>62.4</v>
      </c>
      <c r="G786">
        <f t="shared" si="13"/>
        <v>62.4</v>
      </c>
      <c r="I786" s="5">
        <f t="shared" si="14"/>
        <v>331</v>
      </c>
      <c r="M786" s="2">
        <v>43065</v>
      </c>
    </row>
    <row r="787" spans="1:13" hidden="1" x14ac:dyDescent="0.25">
      <c r="A787" t="s">
        <v>12</v>
      </c>
      <c r="B787" s="2">
        <v>43116</v>
      </c>
      <c r="C787">
        <v>2018</v>
      </c>
      <c r="E787" t="s">
        <v>6</v>
      </c>
      <c r="F787">
        <v>57.1</v>
      </c>
      <c r="G787">
        <f t="shared" si="13"/>
        <v>57.1</v>
      </c>
      <c r="I787" s="5">
        <f t="shared" si="14"/>
        <v>326</v>
      </c>
      <c r="M787" s="2">
        <v>43060</v>
      </c>
    </row>
    <row r="788" spans="1:13" hidden="1" x14ac:dyDescent="0.25">
      <c r="A788" t="s">
        <v>12</v>
      </c>
      <c r="B788" s="2">
        <v>43151</v>
      </c>
      <c r="C788">
        <v>2018</v>
      </c>
      <c r="E788" t="s">
        <v>6</v>
      </c>
      <c r="F788">
        <v>82.1</v>
      </c>
      <c r="G788">
        <f t="shared" si="13"/>
        <v>82.1</v>
      </c>
      <c r="I788" s="5">
        <f t="shared" si="14"/>
        <v>331</v>
      </c>
      <c r="M788" s="2">
        <v>43065</v>
      </c>
    </row>
    <row r="789" spans="1:13" hidden="1" x14ac:dyDescent="0.25">
      <c r="A789" t="s">
        <v>12</v>
      </c>
      <c r="B789" s="2">
        <v>43151</v>
      </c>
      <c r="C789">
        <v>2018</v>
      </c>
      <c r="E789" t="s">
        <v>6</v>
      </c>
      <c r="F789">
        <v>79.7</v>
      </c>
      <c r="G789">
        <f t="shared" si="13"/>
        <v>79.7</v>
      </c>
      <c r="I789" s="5">
        <f t="shared" si="14"/>
        <v>327</v>
      </c>
      <c r="M789" s="2">
        <v>43061</v>
      </c>
    </row>
    <row r="790" spans="1:13" hidden="1" x14ac:dyDescent="0.25">
      <c r="A790" t="s">
        <v>12</v>
      </c>
      <c r="B790" s="2">
        <v>43165</v>
      </c>
      <c r="C790">
        <v>2018</v>
      </c>
      <c r="E790" t="s">
        <v>6</v>
      </c>
      <c r="F790">
        <v>89.9</v>
      </c>
      <c r="G790">
        <f t="shared" si="13"/>
        <v>89.9</v>
      </c>
      <c r="I790" s="5">
        <f t="shared" si="14"/>
        <v>336</v>
      </c>
      <c r="M790" s="2">
        <v>43070</v>
      </c>
    </row>
    <row r="791" spans="1:13" hidden="1" x14ac:dyDescent="0.25">
      <c r="A791" t="s">
        <v>12</v>
      </c>
      <c r="B791" s="2">
        <v>43165</v>
      </c>
      <c r="C791">
        <v>2018</v>
      </c>
      <c r="E791" t="s">
        <v>6</v>
      </c>
      <c r="F791">
        <v>87.6</v>
      </c>
      <c r="G791">
        <f t="shared" si="13"/>
        <v>87.6</v>
      </c>
      <c r="I791" s="5">
        <f t="shared" si="14"/>
        <v>330</v>
      </c>
      <c r="M791" s="2">
        <v>43064</v>
      </c>
    </row>
    <row r="792" spans="1:13" hidden="1" x14ac:dyDescent="0.25">
      <c r="A792" t="s">
        <v>12</v>
      </c>
      <c r="B792" s="2">
        <v>43179</v>
      </c>
      <c r="C792">
        <v>2018</v>
      </c>
      <c r="E792" t="s">
        <v>6</v>
      </c>
      <c r="F792">
        <v>93.2</v>
      </c>
      <c r="G792">
        <f t="shared" si="13"/>
        <v>93.2</v>
      </c>
      <c r="I792" s="5">
        <f t="shared" si="14"/>
        <v>334</v>
      </c>
      <c r="M792" s="2">
        <v>43068</v>
      </c>
    </row>
    <row r="793" spans="1:13" hidden="1" x14ac:dyDescent="0.25">
      <c r="A793" t="s">
        <v>12</v>
      </c>
      <c r="B793" s="2">
        <v>43179</v>
      </c>
      <c r="C793">
        <v>2018</v>
      </c>
      <c r="E793" t="s">
        <v>6</v>
      </c>
      <c r="F793">
        <v>90.1</v>
      </c>
      <c r="G793">
        <f t="shared" si="13"/>
        <v>90.1</v>
      </c>
      <c r="I793" s="5">
        <f t="shared" si="14"/>
        <v>331</v>
      </c>
      <c r="M793" s="2">
        <v>43065</v>
      </c>
    </row>
    <row r="794" spans="1:13" hidden="1" x14ac:dyDescent="0.25">
      <c r="A794" t="s">
        <v>12</v>
      </c>
      <c r="B794" s="2">
        <v>43195</v>
      </c>
      <c r="C794">
        <v>2018</v>
      </c>
      <c r="E794" t="s">
        <v>6</v>
      </c>
      <c r="F794">
        <v>102.3</v>
      </c>
      <c r="G794">
        <f t="shared" si="13"/>
        <v>102.3</v>
      </c>
      <c r="I794" s="5">
        <f t="shared" si="14"/>
        <v>326</v>
      </c>
      <c r="M794" s="2">
        <v>43060</v>
      </c>
    </row>
    <row r="795" spans="1:13" hidden="1" x14ac:dyDescent="0.25">
      <c r="A795" t="s">
        <v>12</v>
      </c>
      <c r="B795" s="2">
        <v>43195</v>
      </c>
      <c r="C795">
        <v>2018</v>
      </c>
      <c r="E795" t="s">
        <v>6</v>
      </c>
      <c r="F795">
        <v>98.2</v>
      </c>
      <c r="G795">
        <f t="shared" si="13"/>
        <v>98.2</v>
      </c>
      <c r="I795" s="5">
        <f t="shared" si="14"/>
        <v>331</v>
      </c>
      <c r="M795" s="2">
        <v>43065</v>
      </c>
    </row>
    <row r="796" spans="1:13" hidden="1" x14ac:dyDescent="0.25">
      <c r="A796" t="s">
        <v>12</v>
      </c>
      <c r="B796" s="2">
        <v>43201</v>
      </c>
      <c r="C796">
        <v>2018</v>
      </c>
      <c r="E796" t="s">
        <v>6</v>
      </c>
      <c r="F796">
        <v>105.5</v>
      </c>
      <c r="G796">
        <f t="shared" si="13"/>
        <v>105.5</v>
      </c>
      <c r="I796" s="5">
        <f t="shared" si="14"/>
        <v>327</v>
      </c>
      <c r="M796" s="2">
        <v>43061</v>
      </c>
    </row>
    <row r="797" spans="1:13" hidden="1" x14ac:dyDescent="0.25">
      <c r="A797" t="s">
        <v>12</v>
      </c>
      <c r="B797" s="2">
        <v>43201</v>
      </c>
      <c r="C797">
        <v>2018</v>
      </c>
      <c r="E797" t="s">
        <v>6</v>
      </c>
      <c r="F797">
        <v>98.8</v>
      </c>
      <c r="G797">
        <f t="shared" si="13"/>
        <v>98.8</v>
      </c>
      <c r="I797" s="5">
        <f t="shared" si="14"/>
        <v>336</v>
      </c>
      <c r="M797" s="2">
        <v>43070</v>
      </c>
    </row>
    <row r="798" spans="1:13" hidden="1" x14ac:dyDescent="0.25">
      <c r="A798" t="s">
        <v>12</v>
      </c>
      <c r="B798" s="2">
        <v>43209</v>
      </c>
      <c r="C798">
        <v>2018</v>
      </c>
      <c r="E798" t="s">
        <v>6</v>
      </c>
      <c r="F798">
        <v>110</v>
      </c>
      <c r="G798">
        <f t="shared" si="13"/>
        <v>110</v>
      </c>
      <c r="I798" s="5">
        <f t="shared" si="14"/>
        <v>330</v>
      </c>
      <c r="M798" s="2">
        <v>43064</v>
      </c>
    </row>
    <row r="799" spans="1:13" hidden="1" x14ac:dyDescent="0.25">
      <c r="A799" t="s">
        <v>12</v>
      </c>
      <c r="B799" s="2">
        <v>43209</v>
      </c>
      <c r="C799">
        <v>2018</v>
      </c>
      <c r="E799" t="s">
        <v>6</v>
      </c>
      <c r="F799">
        <v>99.3</v>
      </c>
      <c r="G799">
        <f t="shared" si="13"/>
        <v>99.3</v>
      </c>
      <c r="I799" s="5">
        <f t="shared" si="14"/>
        <v>334</v>
      </c>
      <c r="M799" s="2">
        <v>43068</v>
      </c>
    </row>
    <row r="800" spans="1:13" hidden="1" x14ac:dyDescent="0.25">
      <c r="A800" t="s">
        <v>12</v>
      </c>
      <c r="B800" s="2">
        <v>43215</v>
      </c>
      <c r="C800">
        <v>2018</v>
      </c>
      <c r="E800" t="s">
        <v>6</v>
      </c>
      <c r="F800">
        <v>113.2</v>
      </c>
      <c r="G800">
        <f t="shared" si="13"/>
        <v>113.2</v>
      </c>
      <c r="I800" s="5">
        <f t="shared" si="14"/>
        <v>331</v>
      </c>
      <c r="M800" s="2">
        <v>43065</v>
      </c>
    </row>
    <row r="801" spans="1:13" hidden="1" x14ac:dyDescent="0.25">
      <c r="A801" t="s">
        <v>12</v>
      </c>
      <c r="B801" s="2">
        <v>43215</v>
      </c>
      <c r="C801">
        <v>2018</v>
      </c>
      <c r="E801" t="s">
        <v>6</v>
      </c>
      <c r="F801">
        <v>106.4</v>
      </c>
      <c r="G801">
        <f t="shared" si="13"/>
        <v>106.4</v>
      </c>
      <c r="I801" s="5">
        <f t="shared" si="14"/>
        <v>326</v>
      </c>
      <c r="M801" s="2">
        <v>43060</v>
      </c>
    </row>
    <row r="802" spans="1:13" hidden="1" x14ac:dyDescent="0.25">
      <c r="A802" t="s">
        <v>12</v>
      </c>
      <c r="B802" s="2">
        <v>43221</v>
      </c>
      <c r="C802">
        <v>2018</v>
      </c>
      <c r="E802" t="s">
        <v>6</v>
      </c>
      <c r="F802">
        <v>117.6</v>
      </c>
      <c r="G802">
        <v>115.24</v>
      </c>
      <c r="H802" t="s">
        <v>27</v>
      </c>
      <c r="I802" s="5">
        <f t="shared" si="14"/>
        <v>331</v>
      </c>
      <c r="M802" s="2">
        <v>43065</v>
      </c>
    </row>
    <row r="803" spans="1:13" hidden="1" x14ac:dyDescent="0.25">
      <c r="A803" t="s">
        <v>12</v>
      </c>
      <c r="B803" s="2">
        <v>43221</v>
      </c>
      <c r="C803">
        <v>2018</v>
      </c>
      <c r="E803" t="s">
        <v>6</v>
      </c>
      <c r="F803">
        <v>109</v>
      </c>
      <c r="G803">
        <f t="shared" si="13"/>
        <v>109</v>
      </c>
      <c r="I803" s="5">
        <f t="shared" si="14"/>
        <v>327</v>
      </c>
      <c r="M803" s="2">
        <v>43061</v>
      </c>
    </row>
    <row r="804" spans="1:13" hidden="1" x14ac:dyDescent="0.25">
      <c r="A804" t="s">
        <v>12</v>
      </c>
      <c r="B804" s="2">
        <v>43235</v>
      </c>
      <c r="C804">
        <v>2018</v>
      </c>
      <c r="E804" t="s">
        <v>6</v>
      </c>
      <c r="F804">
        <v>115.1</v>
      </c>
      <c r="G804">
        <f t="shared" si="13"/>
        <v>115.1</v>
      </c>
      <c r="I804" s="5">
        <f t="shared" si="14"/>
        <v>336</v>
      </c>
      <c r="M804" s="2">
        <v>43070</v>
      </c>
    </row>
    <row r="805" spans="1:13" hidden="1" x14ac:dyDescent="0.25">
      <c r="A805" t="s">
        <v>12</v>
      </c>
      <c r="B805" s="2">
        <v>43235</v>
      </c>
      <c r="C805">
        <v>2018</v>
      </c>
      <c r="E805" t="s">
        <v>6</v>
      </c>
      <c r="F805">
        <v>108.3</v>
      </c>
      <c r="G805">
        <f t="shared" si="13"/>
        <v>108.3</v>
      </c>
      <c r="I805" s="5">
        <f t="shared" si="14"/>
        <v>330</v>
      </c>
      <c r="M805" s="2">
        <v>43064</v>
      </c>
    </row>
    <row r="806" spans="1:13" hidden="1" x14ac:dyDescent="0.25">
      <c r="A806" t="s">
        <v>12</v>
      </c>
      <c r="B806" s="2">
        <v>43249</v>
      </c>
      <c r="C806">
        <v>2018</v>
      </c>
      <c r="E806" t="s">
        <v>6</v>
      </c>
      <c r="F806">
        <v>114.4</v>
      </c>
      <c r="G806">
        <f t="shared" si="13"/>
        <v>114.4</v>
      </c>
      <c r="I806" s="5">
        <f t="shared" si="14"/>
        <v>334</v>
      </c>
      <c r="M806" s="2">
        <v>43068</v>
      </c>
    </row>
    <row r="807" spans="1:13" hidden="1" x14ac:dyDescent="0.25">
      <c r="A807" t="s">
        <v>12</v>
      </c>
      <c r="B807" s="2">
        <v>43249</v>
      </c>
      <c r="C807">
        <v>2018</v>
      </c>
      <c r="E807" t="s">
        <v>6</v>
      </c>
      <c r="F807">
        <v>105.5</v>
      </c>
      <c r="G807">
        <f t="shared" ref="G807:G869" si="15">F807</f>
        <v>105.5</v>
      </c>
      <c r="I807" s="5">
        <f t="shared" ref="I807:I870" si="16" xml:space="preserve"> DATEDIF(DATE(YEAR(M807),1,0),M807,"d")+1</f>
        <v>331</v>
      </c>
      <c r="M807" s="2">
        <v>43065</v>
      </c>
    </row>
    <row r="808" spans="1:13" hidden="1" x14ac:dyDescent="0.25">
      <c r="A808" t="s">
        <v>12</v>
      </c>
      <c r="B808" s="2">
        <v>43116</v>
      </c>
      <c r="C808">
        <v>2018</v>
      </c>
      <c r="E808" t="s">
        <v>6</v>
      </c>
      <c r="F808">
        <v>61.5</v>
      </c>
      <c r="G808">
        <f t="shared" si="15"/>
        <v>61.5</v>
      </c>
      <c r="I808" s="5">
        <f t="shared" si="16"/>
        <v>326</v>
      </c>
      <c r="M808" s="2">
        <v>43060</v>
      </c>
    </row>
    <row r="809" spans="1:13" hidden="1" x14ac:dyDescent="0.25">
      <c r="A809" t="s">
        <v>12</v>
      </c>
      <c r="B809" s="2">
        <v>43151</v>
      </c>
      <c r="C809">
        <v>2018</v>
      </c>
      <c r="E809" t="s">
        <v>6</v>
      </c>
      <c r="F809">
        <v>82.5</v>
      </c>
      <c r="G809">
        <f t="shared" si="15"/>
        <v>82.5</v>
      </c>
      <c r="I809" s="5">
        <f t="shared" si="16"/>
        <v>331</v>
      </c>
      <c r="M809" s="2">
        <v>43065</v>
      </c>
    </row>
    <row r="810" spans="1:13" hidden="1" x14ac:dyDescent="0.25">
      <c r="A810" t="s">
        <v>12</v>
      </c>
      <c r="B810" s="2">
        <v>43165</v>
      </c>
      <c r="C810">
        <v>2018</v>
      </c>
      <c r="E810" t="s">
        <v>6</v>
      </c>
      <c r="F810">
        <v>93.7</v>
      </c>
      <c r="G810">
        <f t="shared" si="15"/>
        <v>93.7</v>
      </c>
      <c r="I810" s="5">
        <f t="shared" si="16"/>
        <v>327</v>
      </c>
      <c r="M810" s="2">
        <v>43061</v>
      </c>
    </row>
    <row r="811" spans="1:13" hidden="1" x14ac:dyDescent="0.25">
      <c r="A811" t="s">
        <v>12</v>
      </c>
      <c r="B811" s="2">
        <v>43179</v>
      </c>
      <c r="C811">
        <v>2018</v>
      </c>
      <c r="E811" t="s">
        <v>6</v>
      </c>
      <c r="F811">
        <v>95.8</v>
      </c>
      <c r="G811">
        <f t="shared" si="15"/>
        <v>95.8</v>
      </c>
      <c r="I811" s="5">
        <f t="shared" si="16"/>
        <v>336</v>
      </c>
      <c r="M811" s="2">
        <v>43070</v>
      </c>
    </row>
    <row r="812" spans="1:13" hidden="1" x14ac:dyDescent="0.25">
      <c r="A812" t="s">
        <v>12</v>
      </c>
      <c r="B812" s="2">
        <v>43194</v>
      </c>
      <c r="C812">
        <v>2018</v>
      </c>
      <c r="E812" t="s">
        <v>6</v>
      </c>
      <c r="F812">
        <v>105.4</v>
      </c>
      <c r="G812">
        <f t="shared" si="15"/>
        <v>105.4</v>
      </c>
      <c r="I812" s="5">
        <f t="shared" si="16"/>
        <v>330</v>
      </c>
      <c r="M812" s="2">
        <v>43064</v>
      </c>
    </row>
    <row r="813" spans="1:13" hidden="1" x14ac:dyDescent="0.25">
      <c r="A813" t="s">
        <v>12</v>
      </c>
      <c r="B813" s="2">
        <v>43201</v>
      </c>
      <c r="C813">
        <v>2018</v>
      </c>
      <c r="E813" t="s">
        <v>6</v>
      </c>
      <c r="F813">
        <v>106.4</v>
      </c>
      <c r="G813">
        <f t="shared" si="15"/>
        <v>106.4</v>
      </c>
      <c r="I813" s="5">
        <f t="shared" si="16"/>
        <v>334</v>
      </c>
      <c r="M813" s="2">
        <v>43068</v>
      </c>
    </row>
    <row r="814" spans="1:13" hidden="1" x14ac:dyDescent="0.25">
      <c r="A814" t="s">
        <v>12</v>
      </c>
      <c r="B814" s="2">
        <v>43209</v>
      </c>
      <c r="C814">
        <v>2018</v>
      </c>
      <c r="E814" t="s">
        <v>6</v>
      </c>
      <c r="F814">
        <v>108.9</v>
      </c>
      <c r="G814">
        <f t="shared" si="15"/>
        <v>108.9</v>
      </c>
      <c r="I814" s="5">
        <f t="shared" si="16"/>
        <v>331</v>
      </c>
      <c r="M814" s="2">
        <v>43065</v>
      </c>
    </row>
    <row r="815" spans="1:13" hidden="1" x14ac:dyDescent="0.25">
      <c r="A815" t="s">
        <v>12</v>
      </c>
      <c r="B815" s="2">
        <v>43215</v>
      </c>
      <c r="C815">
        <v>2018</v>
      </c>
      <c r="E815" t="s">
        <v>6</v>
      </c>
      <c r="F815">
        <v>112.6</v>
      </c>
      <c r="G815">
        <f t="shared" si="15"/>
        <v>112.6</v>
      </c>
      <c r="I815" s="5">
        <f t="shared" si="16"/>
        <v>334</v>
      </c>
      <c r="M815" s="2">
        <v>43068</v>
      </c>
    </row>
    <row r="816" spans="1:13" hidden="1" x14ac:dyDescent="0.25">
      <c r="A816" t="s">
        <v>12</v>
      </c>
      <c r="B816" s="2">
        <v>43221</v>
      </c>
      <c r="C816">
        <v>2018</v>
      </c>
      <c r="E816" t="s">
        <v>6</v>
      </c>
      <c r="F816">
        <v>116.3</v>
      </c>
      <c r="G816">
        <f t="shared" si="15"/>
        <v>116.3</v>
      </c>
      <c r="I816" s="5">
        <f t="shared" si="16"/>
        <v>326</v>
      </c>
      <c r="M816" s="2">
        <v>43060</v>
      </c>
    </row>
    <row r="817" spans="1:13" hidden="1" x14ac:dyDescent="0.25">
      <c r="A817" t="s">
        <v>12</v>
      </c>
      <c r="B817" s="2">
        <v>43235</v>
      </c>
      <c r="C817">
        <v>2018</v>
      </c>
      <c r="E817" t="s">
        <v>6</v>
      </c>
      <c r="F817">
        <v>115.2</v>
      </c>
      <c r="G817">
        <f t="shared" si="15"/>
        <v>115.2</v>
      </c>
      <c r="I817" s="5">
        <f t="shared" si="16"/>
        <v>331</v>
      </c>
      <c r="M817" s="2">
        <v>43065</v>
      </c>
    </row>
    <row r="818" spans="1:13" hidden="1" x14ac:dyDescent="0.25">
      <c r="A818" t="s">
        <v>12</v>
      </c>
      <c r="B818" s="2">
        <v>43249</v>
      </c>
      <c r="C818">
        <v>2018</v>
      </c>
      <c r="E818" t="s">
        <v>6</v>
      </c>
      <c r="F818">
        <v>115.4</v>
      </c>
      <c r="G818">
        <f t="shared" si="15"/>
        <v>115.4</v>
      </c>
      <c r="I818" s="5">
        <f t="shared" si="16"/>
        <v>327</v>
      </c>
      <c r="M818" s="2">
        <v>43061</v>
      </c>
    </row>
    <row r="819" spans="1:13" hidden="1" x14ac:dyDescent="0.25">
      <c r="A819" t="s">
        <v>12</v>
      </c>
      <c r="B819" s="2">
        <v>43115</v>
      </c>
      <c r="C819">
        <v>2018</v>
      </c>
      <c r="E819" t="s">
        <v>6</v>
      </c>
      <c r="F819">
        <v>59.6</v>
      </c>
      <c r="G819">
        <f t="shared" si="15"/>
        <v>59.6</v>
      </c>
      <c r="I819" s="5">
        <f t="shared" si="16"/>
        <v>336</v>
      </c>
      <c r="M819" s="2">
        <v>43070</v>
      </c>
    </row>
    <row r="820" spans="1:13" hidden="1" x14ac:dyDescent="0.25">
      <c r="A820" t="s">
        <v>12</v>
      </c>
      <c r="B820" s="2">
        <v>43115</v>
      </c>
      <c r="C820">
        <v>2018</v>
      </c>
      <c r="E820" t="s">
        <v>6</v>
      </c>
      <c r="F820">
        <v>67.7</v>
      </c>
      <c r="G820">
        <f t="shared" si="15"/>
        <v>67.7</v>
      </c>
      <c r="I820" s="5">
        <f t="shared" si="16"/>
        <v>330</v>
      </c>
      <c r="M820" s="2">
        <v>43064</v>
      </c>
    </row>
    <row r="821" spans="1:13" hidden="1" x14ac:dyDescent="0.25">
      <c r="A821" t="s">
        <v>12</v>
      </c>
      <c r="B821" s="2">
        <v>43116</v>
      </c>
      <c r="C821">
        <v>2018</v>
      </c>
      <c r="E821" t="s">
        <v>6</v>
      </c>
      <c r="F821">
        <v>63.1</v>
      </c>
      <c r="G821">
        <f t="shared" si="15"/>
        <v>63.1</v>
      </c>
      <c r="I821" s="5">
        <f t="shared" si="16"/>
        <v>331</v>
      </c>
      <c r="M821" s="2">
        <v>43065</v>
      </c>
    </row>
    <row r="822" spans="1:13" hidden="1" x14ac:dyDescent="0.25">
      <c r="A822" t="s">
        <v>12</v>
      </c>
      <c r="B822" s="2">
        <v>43116</v>
      </c>
      <c r="C822">
        <v>2018</v>
      </c>
      <c r="E822" t="s">
        <v>6</v>
      </c>
      <c r="F822">
        <v>68.400000000000006</v>
      </c>
      <c r="G822">
        <f t="shared" si="15"/>
        <v>68.400000000000006</v>
      </c>
      <c r="I822" s="5">
        <f t="shared" si="16"/>
        <v>326</v>
      </c>
      <c r="M822" s="2">
        <v>43060</v>
      </c>
    </row>
    <row r="823" spans="1:13" hidden="1" x14ac:dyDescent="0.25">
      <c r="A823" t="s">
        <v>12</v>
      </c>
      <c r="B823" s="2">
        <v>43150</v>
      </c>
      <c r="C823">
        <v>2018</v>
      </c>
      <c r="E823" t="s">
        <v>6</v>
      </c>
      <c r="F823">
        <v>81.5</v>
      </c>
      <c r="G823">
        <f t="shared" si="15"/>
        <v>81.5</v>
      </c>
      <c r="I823" s="5">
        <f t="shared" si="16"/>
        <v>331</v>
      </c>
      <c r="M823" s="2">
        <v>43065</v>
      </c>
    </row>
    <row r="824" spans="1:13" hidden="1" x14ac:dyDescent="0.25">
      <c r="A824" t="s">
        <v>12</v>
      </c>
      <c r="B824" s="2">
        <v>43150</v>
      </c>
      <c r="C824">
        <v>2018</v>
      </c>
      <c r="E824" t="s">
        <v>6</v>
      </c>
      <c r="F824">
        <v>88</v>
      </c>
      <c r="G824">
        <f t="shared" si="15"/>
        <v>88</v>
      </c>
      <c r="I824" s="5">
        <f t="shared" si="16"/>
        <v>327</v>
      </c>
      <c r="M824" s="2">
        <v>43061</v>
      </c>
    </row>
    <row r="825" spans="1:13" hidden="1" x14ac:dyDescent="0.25">
      <c r="A825" t="s">
        <v>12</v>
      </c>
      <c r="B825" s="2">
        <v>43151</v>
      </c>
      <c r="C825">
        <v>2018</v>
      </c>
      <c r="E825" t="s">
        <v>6</v>
      </c>
      <c r="F825">
        <v>77.2</v>
      </c>
      <c r="G825">
        <f t="shared" si="15"/>
        <v>77.2</v>
      </c>
      <c r="I825" s="5">
        <f t="shared" si="16"/>
        <v>336</v>
      </c>
      <c r="M825" s="2">
        <v>43070</v>
      </c>
    </row>
    <row r="826" spans="1:13" hidden="1" x14ac:dyDescent="0.25">
      <c r="A826" t="s">
        <v>12</v>
      </c>
      <c r="B826" s="2">
        <v>43151</v>
      </c>
      <c r="C826">
        <v>2018</v>
      </c>
      <c r="E826" t="s">
        <v>6</v>
      </c>
      <c r="F826">
        <v>84.2</v>
      </c>
      <c r="G826">
        <f t="shared" si="15"/>
        <v>84.2</v>
      </c>
      <c r="I826" s="5">
        <f t="shared" si="16"/>
        <v>330</v>
      </c>
      <c r="M826" s="2">
        <v>43064</v>
      </c>
    </row>
    <row r="827" spans="1:13" hidden="1" x14ac:dyDescent="0.25">
      <c r="A827" t="s">
        <v>12</v>
      </c>
      <c r="B827" s="2">
        <v>43164</v>
      </c>
      <c r="C827">
        <v>2018</v>
      </c>
      <c r="E827" t="s">
        <v>6</v>
      </c>
      <c r="F827">
        <v>88.9</v>
      </c>
      <c r="G827">
        <f t="shared" si="15"/>
        <v>88.9</v>
      </c>
      <c r="I827" s="5">
        <f t="shared" si="16"/>
        <v>334</v>
      </c>
      <c r="M827" s="2">
        <v>43068</v>
      </c>
    </row>
    <row r="828" spans="1:13" hidden="1" x14ac:dyDescent="0.25">
      <c r="A828" t="s">
        <v>12</v>
      </c>
      <c r="B828" s="2">
        <v>43164</v>
      </c>
      <c r="C828">
        <v>2018</v>
      </c>
      <c r="E828" t="s">
        <v>6</v>
      </c>
      <c r="F828">
        <v>93.5</v>
      </c>
      <c r="G828">
        <f t="shared" si="15"/>
        <v>93.5</v>
      </c>
      <c r="I828" s="5">
        <f t="shared" si="16"/>
        <v>331</v>
      </c>
      <c r="M828" s="2">
        <v>43065</v>
      </c>
    </row>
    <row r="829" spans="1:13" hidden="1" x14ac:dyDescent="0.25">
      <c r="A829" t="s">
        <v>12</v>
      </c>
      <c r="B829" s="2">
        <v>43165</v>
      </c>
      <c r="C829">
        <v>2018</v>
      </c>
      <c r="E829" t="s">
        <v>6</v>
      </c>
      <c r="F829">
        <v>88.1</v>
      </c>
      <c r="G829">
        <f t="shared" si="15"/>
        <v>88.1</v>
      </c>
      <c r="I829" s="5">
        <f t="shared" si="16"/>
        <v>326</v>
      </c>
      <c r="M829" s="2">
        <v>43060</v>
      </c>
    </row>
    <row r="830" spans="1:13" hidden="1" x14ac:dyDescent="0.25">
      <c r="A830" t="s">
        <v>12</v>
      </c>
      <c r="B830" s="2">
        <v>43165</v>
      </c>
      <c r="C830">
        <v>2018</v>
      </c>
      <c r="E830" t="s">
        <v>6</v>
      </c>
      <c r="F830">
        <v>94.7</v>
      </c>
      <c r="G830">
        <f t="shared" si="15"/>
        <v>94.7</v>
      </c>
      <c r="I830" s="5">
        <f t="shared" si="16"/>
        <v>331</v>
      </c>
      <c r="M830" s="2">
        <v>43065</v>
      </c>
    </row>
    <row r="831" spans="1:13" hidden="1" x14ac:dyDescent="0.25">
      <c r="A831" t="s">
        <v>12</v>
      </c>
      <c r="B831" s="2">
        <v>43178</v>
      </c>
      <c r="C831">
        <v>2018</v>
      </c>
      <c r="E831" t="s">
        <v>6</v>
      </c>
      <c r="F831">
        <v>92.8</v>
      </c>
      <c r="G831">
        <f t="shared" si="15"/>
        <v>92.8</v>
      </c>
      <c r="I831" s="5">
        <f t="shared" si="16"/>
        <v>327</v>
      </c>
      <c r="M831" s="2">
        <v>43061</v>
      </c>
    </row>
    <row r="832" spans="1:13" hidden="1" x14ac:dyDescent="0.25">
      <c r="A832" t="s">
        <v>12</v>
      </c>
      <c r="B832" s="2">
        <v>43178</v>
      </c>
      <c r="C832">
        <v>2018</v>
      </c>
      <c r="E832" t="s">
        <v>6</v>
      </c>
      <c r="F832">
        <v>100.4</v>
      </c>
      <c r="G832">
        <f t="shared" si="15"/>
        <v>100.4</v>
      </c>
      <c r="I832" s="5">
        <f t="shared" si="16"/>
        <v>336</v>
      </c>
      <c r="M832" s="2">
        <v>43070</v>
      </c>
    </row>
    <row r="833" spans="1:13" hidden="1" x14ac:dyDescent="0.25">
      <c r="A833" t="s">
        <v>12</v>
      </c>
      <c r="B833" s="2">
        <v>43179</v>
      </c>
      <c r="C833">
        <v>2018</v>
      </c>
      <c r="E833" t="s">
        <v>6</v>
      </c>
      <c r="F833">
        <v>93.1</v>
      </c>
      <c r="G833">
        <f t="shared" si="15"/>
        <v>93.1</v>
      </c>
      <c r="I833" s="5">
        <f t="shared" si="16"/>
        <v>330</v>
      </c>
      <c r="M833" s="2">
        <v>43064</v>
      </c>
    </row>
    <row r="834" spans="1:13" hidden="1" x14ac:dyDescent="0.25">
      <c r="A834" t="s">
        <v>12</v>
      </c>
      <c r="B834" s="2">
        <v>43179</v>
      </c>
      <c r="C834">
        <v>2018</v>
      </c>
      <c r="E834" t="s">
        <v>6</v>
      </c>
      <c r="F834">
        <v>96.3</v>
      </c>
      <c r="G834">
        <f t="shared" si="15"/>
        <v>96.3</v>
      </c>
      <c r="I834" s="5">
        <f t="shared" si="16"/>
        <v>334</v>
      </c>
      <c r="M834" s="2">
        <v>43068</v>
      </c>
    </row>
    <row r="835" spans="1:13" hidden="1" x14ac:dyDescent="0.25">
      <c r="A835" t="s">
        <v>12</v>
      </c>
      <c r="B835" s="2">
        <v>43194</v>
      </c>
      <c r="C835">
        <v>2018</v>
      </c>
      <c r="E835" t="s">
        <v>6</v>
      </c>
      <c r="F835">
        <v>102.6</v>
      </c>
      <c r="G835">
        <f t="shared" si="15"/>
        <v>102.6</v>
      </c>
      <c r="I835" s="5">
        <f t="shared" si="16"/>
        <v>331</v>
      </c>
      <c r="M835" s="2">
        <v>43065</v>
      </c>
    </row>
    <row r="836" spans="1:13" hidden="1" x14ac:dyDescent="0.25">
      <c r="A836" t="s">
        <v>12</v>
      </c>
      <c r="B836" s="2">
        <v>43194</v>
      </c>
      <c r="C836">
        <v>2018</v>
      </c>
      <c r="E836" t="s">
        <v>6</v>
      </c>
      <c r="F836">
        <v>110.1</v>
      </c>
      <c r="G836">
        <f t="shared" si="15"/>
        <v>110.1</v>
      </c>
      <c r="I836" s="5">
        <f t="shared" si="16"/>
        <v>327</v>
      </c>
      <c r="M836" s="2">
        <v>43061</v>
      </c>
    </row>
    <row r="837" spans="1:13" hidden="1" x14ac:dyDescent="0.25">
      <c r="A837" t="s">
        <v>12</v>
      </c>
      <c r="B837" s="2">
        <v>43195</v>
      </c>
      <c r="C837">
        <v>2018</v>
      </c>
      <c r="E837" t="s">
        <v>6</v>
      </c>
      <c r="F837">
        <v>98.9</v>
      </c>
      <c r="G837">
        <f t="shared" si="15"/>
        <v>98.9</v>
      </c>
      <c r="I837" s="5">
        <f t="shared" si="16"/>
        <v>331</v>
      </c>
      <c r="M837" s="2">
        <v>43065</v>
      </c>
    </row>
    <row r="838" spans="1:13" hidden="1" x14ac:dyDescent="0.25">
      <c r="A838" t="s">
        <v>12</v>
      </c>
      <c r="B838" s="2">
        <v>43195</v>
      </c>
      <c r="C838">
        <v>2018</v>
      </c>
      <c r="E838" t="s">
        <v>6</v>
      </c>
      <c r="F838">
        <v>105.7</v>
      </c>
      <c r="G838">
        <f t="shared" si="15"/>
        <v>105.7</v>
      </c>
      <c r="I838" s="5">
        <f t="shared" si="16"/>
        <v>336</v>
      </c>
      <c r="M838" s="2">
        <v>43070</v>
      </c>
    </row>
    <row r="839" spans="1:13" hidden="1" x14ac:dyDescent="0.25">
      <c r="A839" t="s">
        <v>12</v>
      </c>
      <c r="B839" s="2">
        <v>43200</v>
      </c>
      <c r="C839">
        <v>2018</v>
      </c>
      <c r="E839" t="s">
        <v>6</v>
      </c>
      <c r="F839">
        <v>100.4</v>
      </c>
      <c r="G839">
        <f t="shared" si="15"/>
        <v>100.4</v>
      </c>
      <c r="I839" s="5">
        <f t="shared" si="16"/>
        <v>330</v>
      </c>
      <c r="M839" s="2">
        <v>43064</v>
      </c>
    </row>
    <row r="840" spans="1:13" hidden="1" x14ac:dyDescent="0.25">
      <c r="A840" t="s">
        <v>12</v>
      </c>
      <c r="B840" s="2">
        <v>43200</v>
      </c>
      <c r="C840">
        <v>2018</v>
      </c>
      <c r="E840" t="s">
        <v>6</v>
      </c>
      <c r="F840">
        <v>111.8</v>
      </c>
      <c r="G840">
        <f t="shared" si="15"/>
        <v>111.8</v>
      </c>
      <c r="I840" s="5">
        <f t="shared" si="16"/>
        <v>334</v>
      </c>
      <c r="M840" s="2">
        <v>43068</v>
      </c>
    </row>
    <row r="841" spans="1:13" hidden="1" x14ac:dyDescent="0.25">
      <c r="A841" t="s">
        <v>12</v>
      </c>
      <c r="B841" s="2">
        <v>43201</v>
      </c>
      <c r="C841">
        <v>2018</v>
      </c>
      <c r="E841" t="s">
        <v>6</v>
      </c>
      <c r="F841">
        <v>100.7</v>
      </c>
      <c r="G841">
        <f t="shared" si="15"/>
        <v>100.7</v>
      </c>
      <c r="I841" s="5">
        <f t="shared" si="16"/>
        <v>326</v>
      </c>
      <c r="M841" s="2">
        <v>43060</v>
      </c>
    </row>
    <row r="842" spans="1:13" hidden="1" x14ac:dyDescent="0.25">
      <c r="A842" t="s">
        <v>12</v>
      </c>
      <c r="B842" s="2">
        <v>43201</v>
      </c>
      <c r="C842">
        <v>2018</v>
      </c>
      <c r="E842" t="s">
        <v>6</v>
      </c>
      <c r="F842">
        <v>109.4</v>
      </c>
      <c r="G842">
        <f t="shared" si="15"/>
        <v>109.4</v>
      </c>
      <c r="I842" s="5">
        <f t="shared" si="16"/>
        <v>331</v>
      </c>
      <c r="M842" s="2">
        <v>43065</v>
      </c>
    </row>
    <row r="843" spans="1:13" hidden="1" x14ac:dyDescent="0.25">
      <c r="A843" t="s">
        <v>12</v>
      </c>
      <c r="B843" s="2">
        <v>43206</v>
      </c>
      <c r="C843">
        <v>2018</v>
      </c>
      <c r="E843" t="s">
        <v>6</v>
      </c>
      <c r="F843">
        <v>102.3</v>
      </c>
      <c r="G843">
        <f t="shared" si="15"/>
        <v>102.3</v>
      </c>
      <c r="I843" s="5">
        <f t="shared" si="16"/>
        <v>327</v>
      </c>
      <c r="M843" s="2">
        <v>43061</v>
      </c>
    </row>
    <row r="844" spans="1:13" hidden="1" x14ac:dyDescent="0.25">
      <c r="A844" t="s">
        <v>12</v>
      </c>
      <c r="B844" s="2">
        <v>43206</v>
      </c>
      <c r="C844">
        <v>2018</v>
      </c>
      <c r="E844" t="s">
        <v>6</v>
      </c>
      <c r="F844">
        <v>111.2</v>
      </c>
      <c r="G844">
        <f t="shared" si="15"/>
        <v>111.2</v>
      </c>
      <c r="I844" s="5">
        <f t="shared" si="16"/>
        <v>331</v>
      </c>
      <c r="M844" s="2">
        <v>43065</v>
      </c>
    </row>
    <row r="845" spans="1:13" hidden="1" x14ac:dyDescent="0.25">
      <c r="A845" t="s">
        <v>12</v>
      </c>
      <c r="B845" s="2">
        <v>43209</v>
      </c>
      <c r="C845">
        <v>2018</v>
      </c>
      <c r="E845" t="s">
        <v>6</v>
      </c>
      <c r="F845">
        <v>103.4</v>
      </c>
      <c r="G845">
        <f t="shared" si="15"/>
        <v>103.4</v>
      </c>
      <c r="I845" s="5">
        <f t="shared" si="16"/>
        <v>336</v>
      </c>
      <c r="M845" s="2">
        <v>43070</v>
      </c>
    </row>
    <row r="846" spans="1:13" hidden="1" x14ac:dyDescent="0.25">
      <c r="A846" t="s">
        <v>12</v>
      </c>
      <c r="B846" s="2">
        <v>43209</v>
      </c>
      <c r="C846">
        <v>2018</v>
      </c>
      <c r="E846" t="s">
        <v>6</v>
      </c>
      <c r="F846">
        <v>114.4</v>
      </c>
      <c r="G846">
        <f t="shared" si="15"/>
        <v>114.4</v>
      </c>
      <c r="I846" s="5">
        <f t="shared" si="16"/>
        <v>330</v>
      </c>
      <c r="M846" s="2">
        <v>43064</v>
      </c>
    </row>
    <row r="847" spans="1:13" hidden="1" x14ac:dyDescent="0.25">
      <c r="A847" t="s">
        <v>12</v>
      </c>
      <c r="B847" s="2">
        <v>43215</v>
      </c>
      <c r="C847">
        <v>2018</v>
      </c>
      <c r="E847" t="s">
        <v>6</v>
      </c>
      <c r="F847">
        <v>100.7</v>
      </c>
      <c r="G847">
        <f t="shared" si="15"/>
        <v>100.7</v>
      </c>
      <c r="I847" s="5">
        <f t="shared" si="16"/>
        <v>334</v>
      </c>
      <c r="M847" s="2">
        <v>43068</v>
      </c>
    </row>
    <row r="848" spans="1:13" hidden="1" x14ac:dyDescent="0.25">
      <c r="A848" t="s">
        <v>12</v>
      </c>
      <c r="B848" s="2">
        <v>43215</v>
      </c>
      <c r="C848">
        <v>2018</v>
      </c>
      <c r="E848" t="s">
        <v>6</v>
      </c>
      <c r="F848">
        <v>106.2</v>
      </c>
      <c r="G848">
        <f t="shared" si="15"/>
        <v>106.2</v>
      </c>
      <c r="I848" s="5">
        <f t="shared" si="16"/>
        <v>326</v>
      </c>
      <c r="M848" s="2">
        <v>43060</v>
      </c>
    </row>
    <row r="849" spans="1:13" hidden="1" x14ac:dyDescent="0.25">
      <c r="A849" t="s">
        <v>12</v>
      </c>
      <c r="B849" s="2">
        <v>43215</v>
      </c>
      <c r="C849">
        <v>2018</v>
      </c>
      <c r="E849" t="s">
        <v>6</v>
      </c>
      <c r="F849">
        <v>118.2</v>
      </c>
      <c r="G849">
        <f t="shared" si="15"/>
        <v>118.2</v>
      </c>
      <c r="I849" s="5">
        <f t="shared" si="16"/>
        <v>331</v>
      </c>
      <c r="M849" s="2">
        <v>43065</v>
      </c>
    </row>
    <row r="850" spans="1:13" hidden="1" x14ac:dyDescent="0.25">
      <c r="A850" t="s">
        <v>12</v>
      </c>
      <c r="B850" s="2">
        <v>43215</v>
      </c>
      <c r="C850">
        <v>2018</v>
      </c>
      <c r="E850" t="s">
        <v>6</v>
      </c>
      <c r="F850">
        <v>114.1</v>
      </c>
      <c r="G850">
        <f t="shared" si="15"/>
        <v>114.1</v>
      </c>
      <c r="I850" s="5">
        <f t="shared" si="16"/>
        <v>326</v>
      </c>
      <c r="M850" s="2">
        <v>43060</v>
      </c>
    </row>
    <row r="851" spans="1:13" hidden="1" x14ac:dyDescent="0.25">
      <c r="A851" t="s">
        <v>12</v>
      </c>
      <c r="B851" s="2">
        <v>43221</v>
      </c>
      <c r="C851">
        <v>2018</v>
      </c>
      <c r="E851" t="s">
        <v>6</v>
      </c>
      <c r="F851">
        <v>109.9</v>
      </c>
      <c r="G851">
        <f t="shared" si="15"/>
        <v>109.9</v>
      </c>
      <c r="I851" s="5">
        <f t="shared" si="16"/>
        <v>331</v>
      </c>
      <c r="M851" s="2">
        <v>43065</v>
      </c>
    </row>
    <row r="852" spans="1:13" hidden="1" x14ac:dyDescent="0.25">
      <c r="A852" t="s">
        <v>12</v>
      </c>
      <c r="B852" s="2">
        <v>43221</v>
      </c>
      <c r="C852">
        <v>2018</v>
      </c>
      <c r="E852" t="s">
        <v>6</v>
      </c>
      <c r="F852">
        <v>114.4</v>
      </c>
      <c r="G852">
        <f t="shared" si="15"/>
        <v>114.4</v>
      </c>
      <c r="I852" s="5">
        <f t="shared" si="16"/>
        <v>327</v>
      </c>
      <c r="M852" s="2">
        <v>43061</v>
      </c>
    </row>
    <row r="853" spans="1:13" hidden="1" x14ac:dyDescent="0.25">
      <c r="A853" t="s">
        <v>12</v>
      </c>
      <c r="B853" s="2">
        <v>43221</v>
      </c>
      <c r="C853">
        <v>2018</v>
      </c>
      <c r="E853" t="s">
        <v>6</v>
      </c>
      <c r="F853">
        <v>118.9</v>
      </c>
      <c r="G853">
        <f t="shared" si="15"/>
        <v>118.9</v>
      </c>
      <c r="I853" s="5">
        <f t="shared" si="16"/>
        <v>336</v>
      </c>
      <c r="M853" s="2">
        <v>43070</v>
      </c>
    </row>
    <row r="854" spans="1:13" hidden="1" x14ac:dyDescent="0.25">
      <c r="A854" t="s">
        <v>12</v>
      </c>
      <c r="B854" s="2">
        <v>43221</v>
      </c>
      <c r="C854">
        <v>2018</v>
      </c>
      <c r="E854" t="s">
        <v>6</v>
      </c>
      <c r="F854">
        <v>120.6</v>
      </c>
      <c r="G854">
        <f t="shared" si="15"/>
        <v>120.6</v>
      </c>
      <c r="I854" s="5">
        <f t="shared" si="16"/>
        <v>330</v>
      </c>
      <c r="M854" s="2">
        <v>43064</v>
      </c>
    </row>
    <row r="855" spans="1:13" hidden="1" x14ac:dyDescent="0.25">
      <c r="A855" t="s">
        <v>12</v>
      </c>
      <c r="B855" s="2">
        <v>43234</v>
      </c>
      <c r="C855">
        <v>2018</v>
      </c>
      <c r="E855" t="s">
        <v>6</v>
      </c>
      <c r="F855">
        <v>109.5</v>
      </c>
      <c r="G855">
        <f t="shared" si="15"/>
        <v>109.5</v>
      </c>
      <c r="I855" s="5">
        <f t="shared" si="16"/>
        <v>334</v>
      </c>
      <c r="M855" s="2">
        <v>43068</v>
      </c>
    </row>
    <row r="856" spans="1:13" hidden="1" x14ac:dyDescent="0.25">
      <c r="A856" t="s">
        <v>12</v>
      </c>
      <c r="B856" s="2">
        <v>43234</v>
      </c>
      <c r="C856">
        <v>2018</v>
      </c>
      <c r="E856" t="s">
        <v>6</v>
      </c>
      <c r="F856">
        <v>118.4</v>
      </c>
      <c r="G856">
        <f t="shared" si="15"/>
        <v>118.4</v>
      </c>
      <c r="I856" s="5">
        <f t="shared" si="16"/>
        <v>331</v>
      </c>
      <c r="M856" s="2">
        <v>43065</v>
      </c>
    </row>
    <row r="857" spans="1:13" hidden="1" x14ac:dyDescent="0.25">
      <c r="A857" t="s">
        <v>12</v>
      </c>
      <c r="B857" s="2">
        <v>43235</v>
      </c>
      <c r="C857">
        <v>2018</v>
      </c>
      <c r="E857" t="s">
        <v>6</v>
      </c>
      <c r="F857">
        <v>107</v>
      </c>
      <c r="G857">
        <f t="shared" si="15"/>
        <v>107</v>
      </c>
      <c r="I857" s="5">
        <f t="shared" si="16"/>
        <v>326</v>
      </c>
      <c r="M857" s="2">
        <v>43060</v>
      </c>
    </row>
    <row r="858" spans="1:13" hidden="1" x14ac:dyDescent="0.25">
      <c r="A858" t="s">
        <v>12</v>
      </c>
      <c r="B858" s="2">
        <v>43235</v>
      </c>
      <c r="C858">
        <v>2018</v>
      </c>
      <c r="E858" t="s">
        <v>6</v>
      </c>
      <c r="F858">
        <v>116.6</v>
      </c>
      <c r="G858">
        <f t="shared" si="15"/>
        <v>116.6</v>
      </c>
      <c r="I858" s="5">
        <f t="shared" si="16"/>
        <v>331</v>
      </c>
      <c r="M858" s="2">
        <v>43065</v>
      </c>
    </row>
    <row r="859" spans="1:13" hidden="1" x14ac:dyDescent="0.25">
      <c r="A859" t="s">
        <v>12</v>
      </c>
      <c r="B859" s="2">
        <v>43248</v>
      </c>
      <c r="C859">
        <v>2018</v>
      </c>
      <c r="E859" t="s">
        <v>6</v>
      </c>
      <c r="F859">
        <v>112.9</v>
      </c>
      <c r="G859">
        <f t="shared" si="15"/>
        <v>112.9</v>
      </c>
      <c r="I859" s="5">
        <f t="shared" si="16"/>
        <v>327</v>
      </c>
      <c r="M859" s="2">
        <v>43061</v>
      </c>
    </row>
    <row r="860" spans="1:13" hidden="1" x14ac:dyDescent="0.25">
      <c r="A860" t="s">
        <v>12</v>
      </c>
      <c r="B860" s="2">
        <v>43248</v>
      </c>
      <c r="C860">
        <v>2018</v>
      </c>
      <c r="E860" t="s">
        <v>6</v>
      </c>
      <c r="F860">
        <v>118.1</v>
      </c>
      <c r="G860">
        <f t="shared" si="15"/>
        <v>118.1</v>
      </c>
      <c r="I860" s="5">
        <f t="shared" si="16"/>
        <v>336</v>
      </c>
      <c r="M860" s="2">
        <v>43070</v>
      </c>
    </row>
    <row r="861" spans="1:13" hidden="1" x14ac:dyDescent="0.25">
      <c r="A861" t="s">
        <v>12</v>
      </c>
      <c r="B861" s="2">
        <v>43249</v>
      </c>
      <c r="C861">
        <v>2018</v>
      </c>
      <c r="E861" t="s">
        <v>6</v>
      </c>
      <c r="F861">
        <v>104.3</v>
      </c>
      <c r="G861">
        <f t="shared" si="15"/>
        <v>104.3</v>
      </c>
      <c r="I861" s="5">
        <f t="shared" si="16"/>
        <v>330</v>
      </c>
      <c r="M861" s="2">
        <v>43064</v>
      </c>
    </row>
    <row r="862" spans="1:13" hidden="1" x14ac:dyDescent="0.25">
      <c r="A862" t="s">
        <v>12</v>
      </c>
      <c r="B862" s="2">
        <v>43249</v>
      </c>
      <c r="C862">
        <v>2018</v>
      </c>
      <c r="E862" t="s">
        <v>6</v>
      </c>
      <c r="F862">
        <v>118.2</v>
      </c>
      <c r="G862">
        <f t="shared" si="15"/>
        <v>118.2</v>
      </c>
      <c r="I862" s="5">
        <f t="shared" si="16"/>
        <v>334</v>
      </c>
      <c r="M862" s="2">
        <v>43068</v>
      </c>
    </row>
    <row r="863" spans="1:13" hidden="1" x14ac:dyDescent="0.25">
      <c r="A863" t="s">
        <v>13</v>
      </c>
      <c r="B863" s="2">
        <v>43479</v>
      </c>
      <c r="C863">
        <v>2019</v>
      </c>
      <c r="E863" t="s">
        <v>6</v>
      </c>
      <c r="F863">
        <v>52.3</v>
      </c>
      <c r="G863">
        <f t="shared" si="15"/>
        <v>52.3</v>
      </c>
      <c r="I863" s="5">
        <f t="shared" si="16"/>
        <v>324</v>
      </c>
      <c r="M863" s="2">
        <v>43423</v>
      </c>
    </row>
    <row r="864" spans="1:13" hidden="1" x14ac:dyDescent="0.25">
      <c r="A864" t="s">
        <v>13</v>
      </c>
      <c r="B864" s="2">
        <v>43515</v>
      </c>
      <c r="C864">
        <v>2019</v>
      </c>
      <c r="E864" t="s">
        <v>6</v>
      </c>
      <c r="F864">
        <v>72.099999999999994</v>
      </c>
      <c r="G864">
        <f t="shared" si="15"/>
        <v>72.099999999999994</v>
      </c>
      <c r="I864" s="5">
        <f t="shared" si="16"/>
        <v>329</v>
      </c>
      <c r="M864" s="2">
        <v>43428</v>
      </c>
    </row>
    <row r="865" spans="1:13" hidden="1" x14ac:dyDescent="0.25">
      <c r="A865" t="s">
        <v>13</v>
      </c>
      <c r="B865" s="2">
        <v>43529</v>
      </c>
      <c r="C865">
        <v>2019</v>
      </c>
      <c r="E865" t="s">
        <v>6</v>
      </c>
      <c r="F865">
        <v>78.900000000000006</v>
      </c>
      <c r="G865">
        <f t="shared" si="15"/>
        <v>78.900000000000006</v>
      </c>
      <c r="I865" s="5">
        <f t="shared" si="16"/>
        <v>333</v>
      </c>
      <c r="M865" s="2">
        <v>43432</v>
      </c>
    </row>
    <row r="866" spans="1:13" hidden="1" x14ac:dyDescent="0.25">
      <c r="A866" t="s">
        <v>13</v>
      </c>
      <c r="B866" s="2">
        <v>43543</v>
      </c>
      <c r="C866">
        <v>2019</v>
      </c>
      <c r="E866" t="s">
        <v>6</v>
      </c>
      <c r="F866">
        <v>90.7</v>
      </c>
      <c r="G866">
        <f t="shared" si="15"/>
        <v>90.7</v>
      </c>
      <c r="I866" s="5">
        <f t="shared" si="16"/>
        <v>325</v>
      </c>
      <c r="M866" s="2">
        <v>43424</v>
      </c>
    </row>
    <row r="867" spans="1:13" hidden="1" x14ac:dyDescent="0.25">
      <c r="A867" t="s">
        <v>13</v>
      </c>
      <c r="B867" s="2">
        <v>43557</v>
      </c>
      <c r="C867">
        <v>2019</v>
      </c>
      <c r="E867" t="s">
        <v>6</v>
      </c>
      <c r="F867">
        <v>98</v>
      </c>
      <c r="G867">
        <f t="shared" si="15"/>
        <v>98</v>
      </c>
      <c r="I867" s="5">
        <f t="shared" si="16"/>
        <v>331</v>
      </c>
      <c r="M867" s="2">
        <v>43430</v>
      </c>
    </row>
    <row r="868" spans="1:13" hidden="1" x14ac:dyDescent="0.25">
      <c r="A868" t="s">
        <v>13</v>
      </c>
      <c r="B868" s="2">
        <v>43564</v>
      </c>
      <c r="C868">
        <v>2019</v>
      </c>
      <c r="E868" t="s">
        <v>6</v>
      </c>
      <c r="F868">
        <v>100.2</v>
      </c>
      <c r="G868">
        <f t="shared" si="15"/>
        <v>100.2</v>
      </c>
      <c r="I868" s="5">
        <f t="shared" si="16"/>
        <v>325</v>
      </c>
      <c r="M868" s="2">
        <v>43424</v>
      </c>
    </row>
    <row r="869" spans="1:13" hidden="1" x14ac:dyDescent="0.25">
      <c r="A869" t="s">
        <v>13</v>
      </c>
      <c r="B869" s="2">
        <v>43570</v>
      </c>
      <c r="C869">
        <v>2019</v>
      </c>
      <c r="E869" t="s">
        <v>6</v>
      </c>
      <c r="F869">
        <v>104.2</v>
      </c>
      <c r="G869">
        <f t="shared" si="15"/>
        <v>104.2</v>
      </c>
      <c r="I869" s="5">
        <f t="shared" si="16"/>
        <v>324</v>
      </c>
      <c r="M869" s="2">
        <v>43423</v>
      </c>
    </row>
    <row r="870" spans="1:13" hidden="1" x14ac:dyDescent="0.25">
      <c r="A870" t="s">
        <v>13</v>
      </c>
      <c r="B870" s="2">
        <v>43577</v>
      </c>
      <c r="C870">
        <v>2019</v>
      </c>
      <c r="E870" t="s">
        <v>6</v>
      </c>
      <c r="F870">
        <v>100.3</v>
      </c>
      <c r="G870">
        <v>99.14</v>
      </c>
      <c r="H870" t="s">
        <v>27</v>
      </c>
      <c r="I870" s="5">
        <f t="shared" si="16"/>
        <v>329</v>
      </c>
      <c r="M870" s="2">
        <v>43428</v>
      </c>
    </row>
    <row r="871" spans="1:13" hidden="1" x14ac:dyDescent="0.25">
      <c r="A871" t="s">
        <v>13</v>
      </c>
      <c r="B871" s="2">
        <v>43584</v>
      </c>
      <c r="C871">
        <v>2019</v>
      </c>
      <c r="E871" t="s">
        <v>6</v>
      </c>
      <c r="F871">
        <v>93.8</v>
      </c>
      <c r="G871">
        <f t="shared" ref="G871:G934" si="17">F871</f>
        <v>93.8</v>
      </c>
      <c r="I871" s="5">
        <f t="shared" ref="I871:I934" si="18" xml:space="preserve"> DATEDIF(DATE(YEAR(M871),1,0),M871,"d")+1</f>
        <v>325</v>
      </c>
      <c r="M871" s="2">
        <v>43424</v>
      </c>
    </row>
    <row r="872" spans="1:13" hidden="1" x14ac:dyDescent="0.25">
      <c r="A872" t="s">
        <v>13</v>
      </c>
      <c r="B872" s="2">
        <v>43613</v>
      </c>
      <c r="C872">
        <v>2019</v>
      </c>
      <c r="E872" t="s">
        <v>6</v>
      </c>
      <c r="F872">
        <v>105.9</v>
      </c>
      <c r="G872">
        <f t="shared" si="17"/>
        <v>105.9</v>
      </c>
      <c r="I872" s="5">
        <f t="shared" si="18"/>
        <v>325</v>
      </c>
      <c r="M872" s="2">
        <v>43424</v>
      </c>
    </row>
    <row r="873" spans="1:13" hidden="1" x14ac:dyDescent="0.25">
      <c r="A873" t="s">
        <v>13</v>
      </c>
      <c r="B873" s="2">
        <v>43479</v>
      </c>
      <c r="C873">
        <v>2019</v>
      </c>
      <c r="E873" t="s">
        <v>6</v>
      </c>
      <c r="F873">
        <v>56.6</v>
      </c>
      <c r="G873">
        <f t="shared" si="17"/>
        <v>56.6</v>
      </c>
      <c r="I873" s="5">
        <f t="shared" si="18"/>
        <v>333</v>
      </c>
      <c r="M873" s="2">
        <v>43432</v>
      </c>
    </row>
    <row r="874" spans="1:13" hidden="1" x14ac:dyDescent="0.25">
      <c r="A874" t="s">
        <v>13</v>
      </c>
      <c r="B874" s="2">
        <v>43515</v>
      </c>
      <c r="C874">
        <v>2019</v>
      </c>
      <c r="E874" t="s">
        <v>6</v>
      </c>
      <c r="F874">
        <v>75.3</v>
      </c>
      <c r="G874">
        <f t="shared" si="17"/>
        <v>75.3</v>
      </c>
      <c r="I874" s="5">
        <f t="shared" si="18"/>
        <v>331</v>
      </c>
      <c r="M874" s="2">
        <v>43430</v>
      </c>
    </row>
    <row r="875" spans="1:13" hidden="1" x14ac:dyDescent="0.25">
      <c r="A875" t="s">
        <v>13</v>
      </c>
      <c r="B875" s="2">
        <v>43529</v>
      </c>
      <c r="C875">
        <v>2019</v>
      </c>
      <c r="E875" t="s">
        <v>6</v>
      </c>
      <c r="F875">
        <v>82.6</v>
      </c>
      <c r="G875">
        <f t="shared" si="17"/>
        <v>82.6</v>
      </c>
      <c r="I875" s="5">
        <f t="shared" si="18"/>
        <v>329</v>
      </c>
      <c r="M875" s="2">
        <v>43428</v>
      </c>
    </row>
    <row r="876" spans="1:13" hidden="1" x14ac:dyDescent="0.25">
      <c r="A876" t="s">
        <v>13</v>
      </c>
      <c r="B876" s="2">
        <v>43543</v>
      </c>
      <c r="C876">
        <v>2019</v>
      </c>
      <c r="E876" t="s">
        <v>6</v>
      </c>
      <c r="F876">
        <v>92.1</v>
      </c>
      <c r="G876">
        <f t="shared" si="17"/>
        <v>92.1</v>
      </c>
      <c r="I876" s="5">
        <f t="shared" si="18"/>
        <v>325</v>
      </c>
      <c r="M876" s="2">
        <v>43424</v>
      </c>
    </row>
    <row r="877" spans="1:13" hidden="1" x14ac:dyDescent="0.25">
      <c r="A877" t="s">
        <v>13</v>
      </c>
      <c r="B877" s="2">
        <v>43557</v>
      </c>
      <c r="C877">
        <v>2019</v>
      </c>
      <c r="E877" t="s">
        <v>6</v>
      </c>
      <c r="F877">
        <v>104</v>
      </c>
      <c r="G877">
        <f t="shared" si="17"/>
        <v>104</v>
      </c>
      <c r="I877" s="5">
        <f t="shared" si="18"/>
        <v>325</v>
      </c>
      <c r="M877" s="2">
        <v>43424</v>
      </c>
    </row>
    <row r="878" spans="1:13" hidden="1" x14ac:dyDescent="0.25">
      <c r="A878" t="s">
        <v>13</v>
      </c>
      <c r="B878" s="2">
        <v>43564</v>
      </c>
      <c r="C878">
        <v>2019</v>
      </c>
      <c r="E878" t="s">
        <v>6</v>
      </c>
      <c r="F878">
        <v>100.7</v>
      </c>
      <c r="G878">
        <f t="shared" si="17"/>
        <v>100.7</v>
      </c>
      <c r="I878" s="5">
        <f t="shared" si="18"/>
        <v>324</v>
      </c>
      <c r="M878" s="2">
        <v>43423</v>
      </c>
    </row>
    <row r="879" spans="1:13" hidden="1" x14ac:dyDescent="0.25">
      <c r="A879" t="s">
        <v>13</v>
      </c>
      <c r="B879" s="2">
        <v>43570</v>
      </c>
      <c r="C879">
        <v>2019</v>
      </c>
      <c r="E879" t="s">
        <v>6</v>
      </c>
      <c r="F879">
        <v>100.9</v>
      </c>
      <c r="G879">
        <f t="shared" si="17"/>
        <v>100.9</v>
      </c>
      <c r="I879" s="5">
        <f t="shared" si="18"/>
        <v>333</v>
      </c>
      <c r="M879" s="2">
        <v>43432</v>
      </c>
    </row>
    <row r="880" spans="1:13" hidden="1" x14ac:dyDescent="0.25">
      <c r="A880" t="s">
        <v>13</v>
      </c>
      <c r="B880" s="2">
        <v>43577</v>
      </c>
      <c r="C880">
        <v>2019</v>
      </c>
      <c r="E880" t="s">
        <v>6</v>
      </c>
      <c r="F880">
        <v>105.2</v>
      </c>
      <c r="G880">
        <f t="shared" si="17"/>
        <v>105.2</v>
      </c>
      <c r="I880" s="5">
        <f t="shared" si="18"/>
        <v>331</v>
      </c>
      <c r="M880" s="2">
        <v>43430</v>
      </c>
    </row>
    <row r="881" spans="1:13" hidden="1" x14ac:dyDescent="0.25">
      <c r="A881" t="s">
        <v>13</v>
      </c>
      <c r="B881" s="2">
        <v>43584</v>
      </c>
      <c r="C881">
        <v>2019</v>
      </c>
      <c r="E881" t="s">
        <v>6</v>
      </c>
      <c r="F881">
        <v>93.4</v>
      </c>
      <c r="G881">
        <f t="shared" si="17"/>
        <v>93.4</v>
      </c>
      <c r="I881" s="5">
        <f t="shared" si="18"/>
        <v>325</v>
      </c>
      <c r="M881" s="2">
        <v>43424</v>
      </c>
    </row>
    <row r="882" spans="1:13" hidden="1" x14ac:dyDescent="0.25">
      <c r="A882" t="s">
        <v>13</v>
      </c>
      <c r="B882" s="2">
        <v>43613</v>
      </c>
      <c r="C882">
        <v>2019</v>
      </c>
      <c r="E882" t="s">
        <v>6</v>
      </c>
      <c r="F882">
        <v>109.8</v>
      </c>
      <c r="G882">
        <f t="shared" si="17"/>
        <v>109.8</v>
      </c>
      <c r="I882" s="5">
        <f t="shared" si="18"/>
        <v>325</v>
      </c>
      <c r="M882" s="2">
        <v>43424</v>
      </c>
    </row>
    <row r="883" spans="1:13" hidden="1" x14ac:dyDescent="0.25">
      <c r="A883" t="s">
        <v>13</v>
      </c>
      <c r="B883" s="2">
        <v>43479</v>
      </c>
      <c r="C883">
        <v>2019</v>
      </c>
      <c r="E883" t="s">
        <v>6</v>
      </c>
      <c r="F883">
        <v>58.2</v>
      </c>
      <c r="G883">
        <f t="shared" si="17"/>
        <v>58.2</v>
      </c>
      <c r="I883" s="5">
        <f t="shared" si="18"/>
        <v>324</v>
      </c>
      <c r="M883" s="2">
        <v>43423</v>
      </c>
    </row>
    <row r="884" spans="1:13" hidden="1" x14ac:dyDescent="0.25">
      <c r="A884" t="s">
        <v>13</v>
      </c>
      <c r="B884" s="2">
        <v>43479</v>
      </c>
      <c r="C884">
        <v>2019</v>
      </c>
      <c r="E884" t="s">
        <v>6</v>
      </c>
      <c r="F884">
        <v>57.8</v>
      </c>
      <c r="G884">
        <f t="shared" si="17"/>
        <v>57.8</v>
      </c>
      <c r="I884" s="5">
        <f t="shared" si="18"/>
        <v>333</v>
      </c>
      <c r="M884" s="2">
        <v>43432</v>
      </c>
    </row>
    <row r="885" spans="1:13" hidden="1" x14ac:dyDescent="0.25">
      <c r="A885" t="s">
        <v>13</v>
      </c>
      <c r="B885" s="2">
        <v>43479</v>
      </c>
      <c r="C885">
        <v>2019</v>
      </c>
      <c r="E885" t="s">
        <v>6</v>
      </c>
      <c r="F885">
        <v>64.400000000000006</v>
      </c>
      <c r="G885">
        <f t="shared" si="17"/>
        <v>64.400000000000006</v>
      </c>
      <c r="I885" s="5">
        <f t="shared" si="18"/>
        <v>331</v>
      </c>
      <c r="M885" s="2">
        <v>43430</v>
      </c>
    </row>
    <row r="886" spans="1:13" hidden="1" x14ac:dyDescent="0.25">
      <c r="A886" t="s">
        <v>13</v>
      </c>
      <c r="B886" s="2">
        <v>43479</v>
      </c>
      <c r="C886">
        <v>2019</v>
      </c>
      <c r="E886" t="s">
        <v>6</v>
      </c>
      <c r="F886">
        <v>50.5</v>
      </c>
      <c r="G886">
        <f t="shared" si="17"/>
        <v>50.5</v>
      </c>
      <c r="I886" s="5">
        <f t="shared" si="18"/>
        <v>324</v>
      </c>
      <c r="M886" s="2">
        <v>43423</v>
      </c>
    </row>
    <row r="887" spans="1:13" hidden="1" x14ac:dyDescent="0.25">
      <c r="A887" t="s">
        <v>13</v>
      </c>
      <c r="B887" s="2">
        <v>43514</v>
      </c>
      <c r="C887">
        <v>2019</v>
      </c>
      <c r="E887" t="s">
        <v>6</v>
      </c>
      <c r="F887">
        <v>81.599999999999994</v>
      </c>
      <c r="G887">
        <f t="shared" si="17"/>
        <v>81.599999999999994</v>
      </c>
      <c r="I887" s="5">
        <f t="shared" si="18"/>
        <v>329</v>
      </c>
      <c r="M887" s="2">
        <v>43428</v>
      </c>
    </row>
    <row r="888" spans="1:13" hidden="1" x14ac:dyDescent="0.25">
      <c r="A888" t="s">
        <v>13</v>
      </c>
      <c r="B888" s="2">
        <v>43514</v>
      </c>
      <c r="C888">
        <v>2019</v>
      </c>
      <c r="E888" t="s">
        <v>6</v>
      </c>
      <c r="F888">
        <v>85.6</v>
      </c>
      <c r="G888">
        <f t="shared" si="17"/>
        <v>85.6</v>
      </c>
      <c r="I888" s="5">
        <f t="shared" si="18"/>
        <v>333</v>
      </c>
      <c r="M888" s="2">
        <v>43432</v>
      </c>
    </row>
    <row r="889" spans="1:13" hidden="1" x14ac:dyDescent="0.25">
      <c r="A889" t="s">
        <v>13</v>
      </c>
      <c r="B889" s="2">
        <v>43514</v>
      </c>
      <c r="C889">
        <v>2019</v>
      </c>
      <c r="E889" t="s">
        <v>6</v>
      </c>
      <c r="F889">
        <v>87.8</v>
      </c>
      <c r="G889">
        <f t="shared" si="17"/>
        <v>87.8</v>
      </c>
      <c r="I889" s="5">
        <f t="shared" si="18"/>
        <v>325</v>
      </c>
      <c r="M889" s="2">
        <v>43424</v>
      </c>
    </row>
    <row r="890" spans="1:13" hidden="1" x14ac:dyDescent="0.25">
      <c r="A890" t="s">
        <v>13</v>
      </c>
      <c r="B890" s="2">
        <v>43514</v>
      </c>
      <c r="C890">
        <v>2019</v>
      </c>
      <c r="E890" t="s">
        <v>6</v>
      </c>
      <c r="F890">
        <v>74.099999999999994</v>
      </c>
      <c r="G890">
        <f t="shared" si="17"/>
        <v>74.099999999999994</v>
      </c>
      <c r="I890" s="5">
        <f t="shared" si="18"/>
        <v>331</v>
      </c>
      <c r="M890" s="2">
        <v>43430</v>
      </c>
    </row>
    <row r="891" spans="1:13" hidden="1" x14ac:dyDescent="0.25">
      <c r="A891" t="s">
        <v>13</v>
      </c>
      <c r="B891" s="2">
        <v>43528</v>
      </c>
      <c r="C891">
        <v>2019</v>
      </c>
      <c r="E891" t="s">
        <v>6</v>
      </c>
      <c r="F891">
        <v>90.8</v>
      </c>
      <c r="G891">
        <f t="shared" si="17"/>
        <v>90.8</v>
      </c>
      <c r="I891" s="5">
        <f t="shared" si="18"/>
        <v>325</v>
      </c>
      <c r="M891" s="2">
        <v>43424</v>
      </c>
    </row>
    <row r="892" spans="1:13" hidden="1" x14ac:dyDescent="0.25">
      <c r="A892" t="s">
        <v>13</v>
      </c>
      <c r="B892" s="2">
        <v>43528</v>
      </c>
      <c r="C892">
        <v>2019</v>
      </c>
      <c r="E892" t="s">
        <v>6</v>
      </c>
      <c r="F892">
        <v>73.5</v>
      </c>
      <c r="G892">
        <f t="shared" si="17"/>
        <v>73.5</v>
      </c>
      <c r="I892" s="5">
        <f t="shared" si="18"/>
        <v>324</v>
      </c>
      <c r="M892" s="2">
        <v>43423</v>
      </c>
    </row>
    <row r="893" spans="1:13" hidden="1" x14ac:dyDescent="0.25">
      <c r="A893" t="s">
        <v>13</v>
      </c>
      <c r="B893" s="2">
        <v>43529</v>
      </c>
      <c r="C893">
        <v>2019</v>
      </c>
      <c r="E893" t="s">
        <v>6</v>
      </c>
      <c r="F893">
        <v>83.8</v>
      </c>
      <c r="G893">
        <f t="shared" si="17"/>
        <v>83.8</v>
      </c>
      <c r="I893" s="5">
        <f t="shared" si="18"/>
        <v>329</v>
      </c>
      <c r="M893" s="2">
        <v>43428</v>
      </c>
    </row>
    <row r="894" spans="1:13" hidden="1" x14ac:dyDescent="0.25">
      <c r="A894" t="s">
        <v>13</v>
      </c>
      <c r="B894" s="2">
        <v>43542</v>
      </c>
      <c r="C894">
        <v>2019</v>
      </c>
      <c r="E894" t="s">
        <v>6</v>
      </c>
      <c r="F894">
        <v>98.2</v>
      </c>
      <c r="G894">
        <f t="shared" si="17"/>
        <v>98.2</v>
      </c>
      <c r="I894" s="5">
        <f t="shared" si="18"/>
        <v>333</v>
      </c>
      <c r="M894" s="2">
        <v>43432</v>
      </c>
    </row>
    <row r="895" spans="1:13" hidden="1" x14ac:dyDescent="0.25">
      <c r="A895" t="s">
        <v>13</v>
      </c>
      <c r="B895" s="2">
        <v>43542</v>
      </c>
      <c r="C895">
        <v>2019</v>
      </c>
      <c r="E895" t="s">
        <v>6</v>
      </c>
      <c r="F895">
        <v>81.7</v>
      </c>
      <c r="G895">
        <f t="shared" si="17"/>
        <v>81.7</v>
      </c>
      <c r="I895" s="5">
        <f t="shared" si="18"/>
        <v>325</v>
      </c>
      <c r="M895" s="2">
        <v>43424</v>
      </c>
    </row>
    <row r="896" spans="1:13" hidden="1" x14ac:dyDescent="0.25">
      <c r="A896" t="s">
        <v>13</v>
      </c>
      <c r="B896" s="2">
        <v>43543</v>
      </c>
      <c r="C896">
        <v>2019</v>
      </c>
      <c r="E896" t="s">
        <v>6</v>
      </c>
      <c r="F896">
        <v>95.2</v>
      </c>
      <c r="G896">
        <f t="shared" si="17"/>
        <v>95.2</v>
      </c>
      <c r="I896" s="5">
        <f t="shared" si="18"/>
        <v>331</v>
      </c>
      <c r="M896" s="2">
        <v>43430</v>
      </c>
    </row>
    <row r="897" spans="1:13" hidden="1" x14ac:dyDescent="0.25">
      <c r="A897" t="s">
        <v>13</v>
      </c>
      <c r="B897" s="2">
        <v>43557</v>
      </c>
      <c r="C897">
        <v>2019</v>
      </c>
      <c r="E897" t="s">
        <v>6</v>
      </c>
      <c r="F897">
        <v>100.7</v>
      </c>
      <c r="G897">
        <f t="shared" si="17"/>
        <v>100.7</v>
      </c>
      <c r="I897" s="5">
        <f t="shared" si="18"/>
        <v>325</v>
      </c>
      <c r="M897" s="2">
        <v>43424</v>
      </c>
    </row>
    <row r="898" spans="1:13" hidden="1" x14ac:dyDescent="0.25">
      <c r="A898" t="s">
        <v>13</v>
      </c>
      <c r="B898" s="2">
        <v>43557</v>
      </c>
      <c r="C898">
        <v>2019</v>
      </c>
      <c r="E898" t="s">
        <v>6</v>
      </c>
      <c r="F898">
        <v>106</v>
      </c>
      <c r="G898">
        <f t="shared" si="17"/>
        <v>106</v>
      </c>
      <c r="I898" s="5">
        <f t="shared" si="18"/>
        <v>324</v>
      </c>
      <c r="M898" s="2">
        <v>43423</v>
      </c>
    </row>
    <row r="899" spans="1:13" hidden="1" x14ac:dyDescent="0.25">
      <c r="A899" t="s">
        <v>13</v>
      </c>
      <c r="B899" s="2">
        <v>43557</v>
      </c>
      <c r="C899">
        <v>2019</v>
      </c>
      <c r="E899" t="s">
        <v>6</v>
      </c>
      <c r="F899">
        <v>107.4</v>
      </c>
      <c r="G899">
        <f t="shared" si="17"/>
        <v>107.4</v>
      </c>
      <c r="I899" s="5">
        <f t="shared" si="18"/>
        <v>329</v>
      </c>
      <c r="M899" s="2">
        <v>43428</v>
      </c>
    </row>
    <row r="900" spans="1:13" hidden="1" x14ac:dyDescent="0.25">
      <c r="A900" t="s">
        <v>13</v>
      </c>
      <c r="B900" s="2">
        <v>43557</v>
      </c>
      <c r="C900">
        <v>2019</v>
      </c>
      <c r="E900" t="s">
        <v>6</v>
      </c>
      <c r="F900">
        <v>89.5</v>
      </c>
      <c r="G900">
        <f t="shared" si="17"/>
        <v>89.5</v>
      </c>
      <c r="I900" s="5">
        <f t="shared" si="18"/>
        <v>333</v>
      </c>
      <c r="M900" s="2">
        <v>43432</v>
      </c>
    </row>
    <row r="901" spans="1:13" hidden="1" x14ac:dyDescent="0.25">
      <c r="A901" t="s">
        <v>13</v>
      </c>
      <c r="B901" s="2">
        <v>43564</v>
      </c>
      <c r="C901">
        <v>2019</v>
      </c>
      <c r="E901" t="s">
        <v>6</v>
      </c>
      <c r="F901">
        <v>102.5</v>
      </c>
      <c r="G901">
        <f t="shared" si="17"/>
        <v>102.5</v>
      </c>
      <c r="I901" s="5">
        <f t="shared" si="18"/>
        <v>325</v>
      </c>
      <c r="M901" s="2">
        <v>43424</v>
      </c>
    </row>
    <row r="902" spans="1:13" hidden="1" x14ac:dyDescent="0.25">
      <c r="A902" t="s">
        <v>13</v>
      </c>
      <c r="B902" s="2">
        <v>43564</v>
      </c>
      <c r="C902">
        <v>2019</v>
      </c>
      <c r="E902" t="s">
        <v>6</v>
      </c>
      <c r="F902">
        <v>110.4</v>
      </c>
      <c r="G902">
        <f t="shared" si="17"/>
        <v>110.4</v>
      </c>
      <c r="I902" s="5">
        <f t="shared" si="18"/>
        <v>331</v>
      </c>
      <c r="M902" s="2">
        <v>43430</v>
      </c>
    </row>
    <row r="903" spans="1:13" hidden="1" x14ac:dyDescent="0.25">
      <c r="A903" t="s">
        <v>13</v>
      </c>
      <c r="B903" s="2">
        <v>43564</v>
      </c>
      <c r="C903">
        <v>2019</v>
      </c>
      <c r="E903" t="s">
        <v>6</v>
      </c>
      <c r="F903">
        <v>109</v>
      </c>
      <c r="G903">
        <f t="shared" si="17"/>
        <v>109</v>
      </c>
      <c r="I903" s="5">
        <f t="shared" si="18"/>
        <v>325</v>
      </c>
      <c r="M903" s="2">
        <v>43424</v>
      </c>
    </row>
    <row r="904" spans="1:13" hidden="1" x14ac:dyDescent="0.25">
      <c r="A904" t="s">
        <v>13</v>
      </c>
      <c r="B904" s="2">
        <v>43564</v>
      </c>
      <c r="C904">
        <v>2019</v>
      </c>
      <c r="E904" t="s">
        <v>6</v>
      </c>
      <c r="F904">
        <v>94.3</v>
      </c>
      <c r="G904">
        <f t="shared" si="17"/>
        <v>94.3</v>
      </c>
      <c r="I904" s="5">
        <f t="shared" si="18"/>
        <v>324</v>
      </c>
      <c r="M904" s="2">
        <v>43423</v>
      </c>
    </row>
    <row r="905" spans="1:13" hidden="1" x14ac:dyDescent="0.25">
      <c r="A905" t="s">
        <v>13</v>
      </c>
      <c r="B905" s="2">
        <v>43570</v>
      </c>
      <c r="C905">
        <v>2019</v>
      </c>
      <c r="E905" t="s">
        <v>6</v>
      </c>
      <c r="F905">
        <v>104.4</v>
      </c>
      <c r="G905">
        <f t="shared" si="17"/>
        <v>104.4</v>
      </c>
      <c r="I905" s="5">
        <f t="shared" si="18"/>
        <v>329</v>
      </c>
      <c r="M905" s="2">
        <v>43428</v>
      </c>
    </row>
    <row r="906" spans="1:13" hidden="1" x14ac:dyDescent="0.25">
      <c r="A906" t="s">
        <v>13</v>
      </c>
      <c r="B906" s="2">
        <v>43570</v>
      </c>
      <c r="C906">
        <v>2019</v>
      </c>
      <c r="E906" t="s">
        <v>6</v>
      </c>
      <c r="F906">
        <v>108</v>
      </c>
      <c r="G906">
        <f t="shared" si="17"/>
        <v>108</v>
      </c>
      <c r="I906" s="5">
        <f t="shared" si="18"/>
        <v>333</v>
      </c>
      <c r="M906" s="2">
        <v>43432</v>
      </c>
    </row>
    <row r="907" spans="1:13" hidden="1" x14ac:dyDescent="0.25">
      <c r="A907" t="s">
        <v>13</v>
      </c>
      <c r="B907" s="2">
        <v>43570</v>
      </c>
      <c r="C907">
        <v>2019</v>
      </c>
      <c r="E907" t="s">
        <v>6</v>
      </c>
      <c r="F907">
        <v>113.2</v>
      </c>
      <c r="G907">
        <f t="shared" si="17"/>
        <v>113.2</v>
      </c>
      <c r="I907" s="5">
        <f t="shared" si="18"/>
        <v>325</v>
      </c>
      <c r="M907" s="2">
        <v>43424</v>
      </c>
    </row>
    <row r="908" spans="1:13" hidden="1" x14ac:dyDescent="0.25">
      <c r="A908" t="s">
        <v>13</v>
      </c>
      <c r="B908" s="2">
        <v>43570</v>
      </c>
      <c r="C908">
        <v>2019</v>
      </c>
      <c r="E908" t="s">
        <v>6</v>
      </c>
      <c r="F908">
        <v>94.4</v>
      </c>
      <c r="G908">
        <f t="shared" si="17"/>
        <v>94.4</v>
      </c>
      <c r="I908" s="5">
        <f t="shared" si="18"/>
        <v>331</v>
      </c>
      <c r="M908" s="2">
        <v>43430</v>
      </c>
    </row>
    <row r="909" spans="1:13" hidden="1" x14ac:dyDescent="0.25">
      <c r="A909" t="s">
        <v>13</v>
      </c>
      <c r="B909" s="2">
        <v>43577</v>
      </c>
      <c r="C909">
        <v>2019</v>
      </c>
      <c r="E909" t="s">
        <v>6</v>
      </c>
      <c r="F909">
        <v>102.6</v>
      </c>
      <c r="G909">
        <f t="shared" si="17"/>
        <v>102.6</v>
      </c>
      <c r="I909" s="5">
        <f t="shared" si="18"/>
        <v>325</v>
      </c>
      <c r="M909" s="2">
        <v>43424</v>
      </c>
    </row>
    <row r="910" spans="1:13" hidden="1" x14ac:dyDescent="0.25">
      <c r="A910" t="s">
        <v>13</v>
      </c>
      <c r="B910" s="2">
        <v>43577</v>
      </c>
      <c r="C910">
        <v>2019</v>
      </c>
      <c r="E910" t="s">
        <v>6</v>
      </c>
      <c r="F910">
        <v>110.5</v>
      </c>
      <c r="G910">
        <f t="shared" si="17"/>
        <v>110.5</v>
      </c>
      <c r="I910" s="5">
        <f t="shared" si="18"/>
        <v>324</v>
      </c>
      <c r="M910" s="2">
        <v>43423</v>
      </c>
    </row>
    <row r="911" spans="1:13" hidden="1" x14ac:dyDescent="0.25">
      <c r="A911" t="s">
        <v>13</v>
      </c>
      <c r="B911" s="2">
        <v>43577</v>
      </c>
      <c r="C911">
        <v>2019</v>
      </c>
      <c r="E911" t="s">
        <v>6</v>
      </c>
      <c r="F911">
        <v>108.9</v>
      </c>
      <c r="G911">
        <f t="shared" si="17"/>
        <v>108.9</v>
      </c>
      <c r="I911" s="5">
        <f t="shared" si="18"/>
        <v>329</v>
      </c>
      <c r="M911" s="2">
        <v>43428</v>
      </c>
    </row>
    <row r="912" spans="1:13" hidden="1" x14ac:dyDescent="0.25">
      <c r="A912" t="s">
        <v>13</v>
      </c>
      <c r="B912" s="2">
        <v>43577</v>
      </c>
      <c r="C912">
        <v>2019</v>
      </c>
      <c r="E912" t="s">
        <v>6</v>
      </c>
      <c r="F912">
        <v>95</v>
      </c>
      <c r="G912">
        <f t="shared" si="17"/>
        <v>95</v>
      </c>
      <c r="I912" s="5">
        <f t="shared" si="18"/>
        <v>333</v>
      </c>
      <c r="M912" s="2">
        <v>43432</v>
      </c>
    </row>
    <row r="913" spans="1:13" hidden="1" x14ac:dyDescent="0.25">
      <c r="A913" t="s">
        <v>13</v>
      </c>
      <c r="B913" s="2">
        <v>43584</v>
      </c>
      <c r="C913">
        <v>2019</v>
      </c>
      <c r="E913" t="s">
        <v>6</v>
      </c>
      <c r="F913">
        <v>93.8</v>
      </c>
      <c r="G913">
        <f t="shared" si="17"/>
        <v>93.8</v>
      </c>
      <c r="I913" s="5">
        <f t="shared" si="18"/>
        <v>325</v>
      </c>
      <c r="M913" s="2">
        <v>43424</v>
      </c>
    </row>
    <row r="914" spans="1:13" hidden="1" x14ac:dyDescent="0.25">
      <c r="A914" t="s">
        <v>13</v>
      </c>
      <c r="B914" s="2">
        <v>43584</v>
      </c>
      <c r="C914">
        <v>2019</v>
      </c>
      <c r="E914" t="s">
        <v>6</v>
      </c>
      <c r="F914">
        <v>98.5</v>
      </c>
      <c r="G914">
        <f t="shared" si="17"/>
        <v>98.5</v>
      </c>
      <c r="I914" s="5">
        <f t="shared" si="18"/>
        <v>331</v>
      </c>
      <c r="M914" s="2">
        <v>43430</v>
      </c>
    </row>
    <row r="915" spans="1:13" hidden="1" x14ac:dyDescent="0.25">
      <c r="A915" t="s">
        <v>13</v>
      </c>
      <c r="B915" s="2">
        <v>43584</v>
      </c>
      <c r="C915">
        <v>2019</v>
      </c>
      <c r="E915" t="s">
        <v>6</v>
      </c>
      <c r="F915">
        <v>102.3</v>
      </c>
      <c r="G915">
        <f t="shared" si="17"/>
        <v>102.3</v>
      </c>
      <c r="I915" s="5">
        <f t="shared" si="18"/>
        <v>325</v>
      </c>
      <c r="M915" s="2">
        <v>43424</v>
      </c>
    </row>
    <row r="916" spans="1:13" hidden="1" x14ac:dyDescent="0.25">
      <c r="A916" t="s">
        <v>13</v>
      </c>
      <c r="B916" s="2">
        <v>43584</v>
      </c>
      <c r="C916">
        <v>2019</v>
      </c>
      <c r="E916" t="s">
        <v>6</v>
      </c>
      <c r="F916">
        <v>85.4</v>
      </c>
      <c r="G916">
        <f t="shared" si="17"/>
        <v>85.4</v>
      </c>
      <c r="I916" s="5">
        <f t="shared" si="18"/>
        <v>324</v>
      </c>
      <c r="M916" s="2">
        <v>43423</v>
      </c>
    </row>
    <row r="917" spans="1:13" hidden="1" x14ac:dyDescent="0.25">
      <c r="A917" t="s">
        <v>13</v>
      </c>
      <c r="B917" s="2">
        <v>43612</v>
      </c>
      <c r="C917">
        <v>2019</v>
      </c>
      <c r="E917" t="s">
        <v>6</v>
      </c>
      <c r="F917">
        <v>116.6</v>
      </c>
      <c r="G917">
        <f t="shared" si="17"/>
        <v>116.6</v>
      </c>
      <c r="I917" s="5">
        <f t="shared" si="18"/>
        <v>329</v>
      </c>
      <c r="M917" s="2">
        <v>43428</v>
      </c>
    </row>
    <row r="918" spans="1:13" hidden="1" x14ac:dyDescent="0.25">
      <c r="A918" t="s">
        <v>13</v>
      </c>
      <c r="B918" s="2">
        <v>43612</v>
      </c>
      <c r="C918">
        <v>2019</v>
      </c>
      <c r="E918" t="s">
        <v>6</v>
      </c>
      <c r="F918">
        <v>97.5</v>
      </c>
      <c r="G918">
        <f t="shared" si="17"/>
        <v>97.5</v>
      </c>
      <c r="I918" s="5">
        <f t="shared" si="18"/>
        <v>333</v>
      </c>
      <c r="M918" s="2">
        <v>43432</v>
      </c>
    </row>
    <row r="919" spans="1:13" hidden="1" x14ac:dyDescent="0.25">
      <c r="A919" t="s">
        <v>13</v>
      </c>
      <c r="B919" s="2">
        <v>43613</v>
      </c>
      <c r="C919">
        <v>2019</v>
      </c>
      <c r="E919" t="s">
        <v>6</v>
      </c>
      <c r="F919">
        <v>104.5</v>
      </c>
      <c r="G919">
        <f t="shared" si="17"/>
        <v>104.5</v>
      </c>
      <c r="I919" s="5">
        <f t="shared" si="18"/>
        <v>325</v>
      </c>
      <c r="M919" s="2">
        <v>43424</v>
      </c>
    </row>
    <row r="920" spans="1:13" hidden="1" x14ac:dyDescent="0.25">
      <c r="A920" t="s">
        <v>13</v>
      </c>
      <c r="B920" s="2">
        <v>43613</v>
      </c>
      <c r="C920">
        <v>2019</v>
      </c>
      <c r="E920" t="s">
        <v>6</v>
      </c>
      <c r="F920">
        <v>114</v>
      </c>
      <c r="G920">
        <f t="shared" si="17"/>
        <v>114</v>
      </c>
      <c r="I920" s="5">
        <f t="shared" si="18"/>
        <v>325</v>
      </c>
      <c r="M920" s="2">
        <v>43424</v>
      </c>
    </row>
    <row r="921" spans="1:13" hidden="1" x14ac:dyDescent="0.25">
      <c r="A921" t="s">
        <v>14</v>
      </c>
      <c r="B921" s="2">
        <v>43850</v>
      </c>
      <c r="C921">
        <v>2020</v>
      </c>
      <c r="E921" t="s">
        <v>6</v>
      </c>
      <c r="F921">
        <v>58.7</v>
      </c>
      <c r="G921">
        <f t="shared" si="17"/>
        <v>58.7</v>
      </c>
      <c r="I921" s="5">
        <f t="shared" si="18"/>
        <v>331</v>
      </c>
      <c r="M921" s="2">
        <v>43430</v>
      </c>
    </row>
    <row r="922" spans="1:13" hidden="1" x14ac:dyDescent="0.25">
      <c r="A922" t="s">
        <v>14</v>
      </c>
      <c r="B922" s="2">
        <v>43880</v>
      </c>
      <c r="C922">
        <v>2020</v>
      </c>
      <c r="E922" t="s">
        <v>6</v>
      </c>
      <c r="F922">
        <v>79.599999999999994</v>
      </c>
      <c r="G922">
        <f t="shared" si="17"/>
        <v>79.599999999999994</v>
      </c>
      <c r="I922" s="5">
        <f t="shared" si="18"/>
        <v>325</v>
      </c>
      <c r="M922" s="2">
        <v>43424</v>
      </c>
    </row>
    <row r="923" spans="1:13" hidden="1" x14ac:dyDescent="0.25">
      <c r="A923" t="s">
        <v>14</v>
      </c>
      <c r="B923" s="2">
        <v>43892</v>
      </c>
      <c r="C923">
        <v>2020</v>
      </c>
      <c r="E923" t="s">
        <v>6</v>
      </c>
      <c r="F923">
        <v>77.900000000000006</v>
      </c>
      <c r="G923">
        <f t="shared" si="17"/>
        <v>77.900000000000006</v>
      </c>
      <c r="I923" s="5">
        <f t="shared" si="18"/>
        <v>325</v>
      </c>
      <c r="M923" s="2">
        <v>43424</v>
      </c>
    </row>
    <row r="924" spans="1:13" hidden="1" x14ac:dyDescent="0.25">
      <c r="A924" t="s">
        <v>14</v>
      </c>
      <c r="B924" s="2">
        <v>43906</v>
      </c>
      <c r="C924">
        <v>2020</v>
      </c>
      <c r="E924" t="s">
        <v>6</v>
      </c>
      <c r="F924">
        <v>88</v>
      </c>
      <c r="G924">
        <f t="shared" si="17"/>
        <v>88</v>
      </c>
      <c r="I924" s="5">
        <f t="shared" si="18"/>
        <v>324</v>
      </c>
      <c r="M924" s="2">
        <v>43423</v>
      </c>
    </row>
    <row r="925" spans="1:13" hidden="1" x14ac:dyDescent="0.25">
      <c r="A925" t="s">
        <v>14</v>
      </c>
      <c r="B925" s="2">
        <v>43950</v>
      </c>
      <c r="C925">
        <v>2020</v>
      </c>
      <c r="E925" t="s">
        <v>6</v>
      </c>
      <c r="F925">
        <v>104.6</v>
      </c>
      <c r="G925">
        <v>108.38</v>
      </c>
      <c r="H925" t="s">
        <v>27</v>
      </c>
      <c r="I925" s="5">
        <f t="shared" si="18"/>
        <v>329</v>
      </c>
      <c r="M925" s="2">
        <v>43428</v>
      </c>
    </row>
    <row r="926" spans="1:13" hidden="1" x14ac:dyDescent="0.25">
      <c r="A926" t="s">
        <v>14</v>
      </c>
      <c r="B926" s="2">
        <v>43963</v>
      </c>
      <c r="C926">
        <v>2020</v>
      </c>
      <c r="E926" t="s">
        <v>6</v>
      </c>
      <c r="F926">
        <v>103.2</v>
      </c>
      <c r="G926">
        <f t="shared" si="17"/>
        <v>103.2</v>
      </c>
      <c r="I926" s="5">
        <f t="shared" si="18"/>
        <v>333</v>
      </c>
      <c r="M926" s="2">
        <v>43432</v>
      </c>
    </row>
    <row r="927" spans="1:13" hidden="1" x14ac:dyDescent="0.25">
      <c r="A927" t="s">
        <v>14</v>
      </c>
      <c r="B927" s="2">
        <v>43977</v>
      </c>
      <c r="C927">
        <v>2020</v>
      </c>
      <c r="E927" t="s">
        <v>6</v>
      </c>
      <c r="F927">
        <v>101.2</v>
      </c>
      <c r="G927">
        <f t="shared" si="17"/>
        <v>101.2</v>
      </c>
      <c r="I927" s="5">
        <f t="shared" si="18"/>
        <v>331</v>
      </c>
      <c r="M927" s="2">
        <v>43430</v>
      </c>
    </row>
    <row r="928" spans="1:13" hidden="1" x14ac:dyDescent="0.25">
      <c r="A928" t="s">
        <v>14</v>
      </c>
      <c r="B928" s="2">
        <v>43851</v>
      </c>
      <c r="C928">
        <v>2020</v>
      </c>
      <c r="E928" t="s">
        <v>6</v>
      </c>
      <c r="F928">
        <v>61.3</v>
      </c>
      <c r="G928">
        <f t="shared" si="17"/>
        <v>61.3</v>
      </c>
      <c r="I928" s="5">
        <f t="shared" si="18"/>
        <v>328</v>
      </c>
      <c r="M928" s="2">
        <v>43792</v>
      </c>
    </row>
    <row r="929" spans="1:13" hidden="1" x14ac:dyDescent="0.25">
      <c r="A929" t="s">
        <v>14</v>
      </c>
      <c r="B929" s="2">
        <v>43880</v>
      </c>
      <c r="C929">
        <v>2020</v>
      </c>
      <c r="E929" t="s">
        <v>6</v>
      </c>
      <c r="F929">
        <v>85.2</v>
      </c>
      <c r="G929">
        <f t="shared" si="17"/>
        <v>85.2</v>
      </c>
      <c r="I929" s="5">
        <f t="shared" si="18"/>
        <v>328</v>
      </c>
      <c r="M929" s="2">
        <v>43792</v>
      </c>
    </row>
    <row r="930" spans="1:13" hidden="1" x14ac:dyDescent="0.25">
      <c r="A930" t="s">
        <v>14</v>
      </c>
      <c r="B930" s="2">
        <v>43894</v>
      </c>
      <c r="C930">
        <v>2020</v>
      </c>
      <c r="E930" t="s">
        <v>6</v>
      </c>
      <c r="F930">
        <v>82.7</v>
      </c>
      <c r="G930">
        <f t="shared" si="17"/>
        <v>82.7</v>
      </c>
      <c r="I930" s="5">
        <f t="shared" si="18"/>
        <v>338</v>
      </c>
      <c r="M930" s="2">
        <v>43802</v>
      </c>
    </row>
    <row r="931" spans="1:13" hidden="1" x14ac:dyDescent="0.25">
      <c r="A931" t="s">
        <v>14</v>
      </c>
      <c r="B931" s="2">
        <v>43907</v>
      </c>
      <c r="C931">
        <v>2020</v>
      </c>
      <c r="E931" t="s">
        <v>6</v>
      </c>
      <c r="F931">
        <v>93</v>
      </c>
      <c r="G931">
        <f t="shared" si="17"/>
        <v>93</v>
      </c>
      <c r="I931" s="5">
        <f t="shared" si="18"/>
        <v>325</v>
      </c>
      <c r="M931" s="2">
        <v>43789</v>
      </c>
    </row>
    <row r="932" spans="1:13" hidden="1" x14ac:dyDescent="0.25">
      <c r="A932" t="s">
        <v>14</v>
      </c>
      <c r="B932" s="2">
        <v>43951</v>
      </c>
      <c r="C932">
        <v>2020</v>
      </c>
      <c r="E932" t="s">
        <v>6</v>
      </c>
      <c r="F932">
        <v>108</v>
      </c>
      <c r="G932">
        <f t="shared" si="17"/>
        <v>108</v>
      </c>
      <c r="I932" s="5">
        <f t="shared" si="18"/>
        <v>328</v>
      </c>
      <c r="M932" s="2">
        <v>43792</v>
      </c>
    </row>
    <row r="933" spans="1:13" hidden="1" x14ac:dyDescent="0.25">
      <c r="A933" t="s">
        <v>14</v>
      </c>
      <c r="B933" s="2">
        <v>43963</v>
      </c>
      <c r="C933">
        <v>2020</v>
      </c>
      <c r="E933" t="s">
        <v>6</v>
      </c>
      <c r="F933">
        <v>107.8</v>
      </c>
      <c r="G933">
        <f t="shared" si="17"/>
        <v>107.8</v>
      </c>
      <c r="I933" s="5">
        <f t="shared" si="18"/>
        <v>328</v>
      </c>
      <c r="M933" s="2">
        <v>43792</v>
      </c>
    </row>
    <row r="934" spans="1:13" hidden="1" x14ac:dyDescent="0.25">
      <c r="A934" t="s">
        <v>14</v>
      </c>
      <c r="B934" s="2">
        <v>43979</v>
      </c>
      <c r="C934">
        <v>2020</v>
      </c>
      <c r="E934" t="s">
        <v>6</v>
      </c>
      <c r="F934">
        <v>107.9</v>
      </c>
      <c r="G934">
        <f t="shared" si="17"/>
        <v>107.9</v>
      </c>
      <c r="I934" s="5">
        <f t="shared" si="18"/>
        <v>325</v>
      </c>
      <c r="M934" s="2">
        <v>43789</v>
      </c>
    </row>
    <row r="935" spans="1:13" hidden="1" x14ac:dyDescent="0.25">
      <c r="A935" t="s">
        <v>14</v>
      </c>
      <c r="B935" s="2">
        <v>43850</v>
      </c>
      <c r="C935">
        <v>2020</v>
      </c>
      <c r="E935" t="s">
        <v>6</v>
      </c>
      <c r="F935">
        <v>56.7</v>
      </c>
      <c r="G935">
        <f t="shared" ref="G935:G998" si="19">F935</f>
        <v>56.7</v>
      </c>
      <c r="I935" s="5">
        <f t="shared" ref="I935:I954" si="20" xml:space="preserve"> DATEDIF(DATE(YEAR(M935),1,0),M935,"d")+1</f>
        <v>328</v>
      </c>
      <c r="M935" s="2">
        <v>43792</v>
      </c>
    </row>
    <row r="936" spans="1:13" hidden="1" x14ac:dyDescent="0.25">
      <c r="A936" t="s">
        <v>14</v>
      </c>
      <c r="B936" s="2">
        <v>43850</v>
      </c>
      <c r="C936">
        <v>2020</v>
      </c>
      <c r="E936" t="s">
        <v>6</v>
      </c>
      <c r="F936">
        <v>70.8</v>
      </c>
      <c r="G936">
        <f t="shared" si="19"/>
        <v>70.8</v>
      </c>
      <c r="I936" s="5">
        <f t="shared" si="20"/>
        <v>338</v>
      </c>
      <c r="M936" s="2">
        <v>43802</v>
      </c>
    </row>
    <row r="937" spans="1:13" hidden="1" x14ac:dyDescent="0.25">
      <c r="A937" t="s">
        <v>14</v>
      </c>
      <c r="B937" s="2">
        <v>43851</v>
      </c>
      <c r="C937">
        <v>2020</v>
      </c>
      <c r="E937" t="s">
        <v>6</v>
      </c>
      <c r="F937">
        <v>74.599999999999994</v>
      </c>
      <c r="G937">
        <f t="shared" si="19"/>
        <v>74.599999999999994</v>
      </c>
      <c r="I937" s="5">
        <f t="shared" si="20"/>
        <v>328</v>
      </c>
      <c r="M937" s="2">
        <v>43792</v>
      </c>
    </row>
    <row r="938" spans="1:13" hidden="1" x14ac:dyDescent="0.25">
      <c r="A938" t="s">
        <v>14</v>
      </c>
      <c r="B938" s="2">
        <v>43878</v>
      </c>
      <c r="C938">
        <v>2020</v>
      </c>
      <c r="E938" t="s">
        <v>6</v>
      </c>
      <c r="F938">
        <v>75.900000000000006</v>
      </c>
      <c r="G938">
        <f t="shared" si="19"/>
        <v>75.900000000000006</v>
      </c>
      <c r="I938" s="5">
        <f t="shared" si="20"/>
        <v>328</v>
      </c>
      <c r="M938" s="2">
        <v>43792</v>
      </c>
    </row>
    <row r="939" spans="1:13" hidden="1" x14ac:dyDescent="0.25">
      <c r="A939" t="s">
        <v>14</v>
      </c>
      <c r="B939" s="2">
        <v>43878</v>
      </c>
      <c r="C939">
        <v>2020</v>
      </c>
      <c r="E939" t="s">
        <v>6</v>
      </c>
      <c r="F939">
        <v>87.8</v>
      </c>
      <c r="G939">
        <f t="shared" si="19"/>
        <v>87.8</v>
      </c>
      <c r="I939" s="5">
        <f t="shared" si="20"/>
        <v>328</v>
      </c>
      <c r="M939" s="2">
        <v>43792</v>
      </c>
    </row>
    <row r="940" spans="1:13" hidden="1" x14ac:dyDescent="0.25">
      <c r="A940" t="s">
        <v>14</v>
      </c>
      <c r="B940" s="2">
        <v>43880</v>
      </c>
      <c r="C940">
        <v>2020</v>
      </c>
      <c r="E940" t="s">
        <v>6</v>
      </c>
      <c r="F940">
        <v>85.9</v>
      </c>
      <c r="G940">
        <f t="shared" si="19"/>
        <v>85.9</v>
      </c>
      <c r="I940" s="5">
        <f t="shared" si="20"/>
        <v>338</v>
      </c>
      <c r="M940" s="2">
        <v>43802</v>
      </c>
    </row>
    <row r="941" spans="1:13" hidden="1" x14ac:dyDescent="0.25">
      <c r="A941" t="s">
        <v>14</v>
      </c>
      <c r="B941" s="2">
        <v>43892</v>
      </c>
      <c r="C941">
        <v>2020</v>
      </c>
      <c r="E941" t="s">
        <v>6</v>
      </c>
      <c r="F941">
        <v>78.099999999999994</v>
      </c>
      <c r="G941">
        <f t="shared" si="19"/>
        <v>78.099999999999994</v>
      </c>
      <c r="I941" s="5">
        <f t="shared" si="20"/>
        <v>325</v>
      </c>
      <c r="M941" s="2">
        <v>43789</v>
      </c>
    </row>
    <row r="942" spans="1:13" hidden="1" x14ac:dyDescent="0.25">
      <c r="A942" t="s">
        <v>14</v>
      </c>
      <c r="B942" s="2">
        <v>43892</v>
      </c>
      <c r="C942">
        <v>2020</v>
      </c>
      <c r="E942" t="s">
        <v>6</v>
      </c>
      <c r="F942">
        <v>99.8</v>
      </c>
      <c r="G942">
        <f t="shared" si="19"/>
        <v>99.8</v>
      </c>
      <c r="I942" s="5">
        <f t="shared" si="20"/>
        <v>328</v>
      </c>
      <c r="M942" s="2">
        <v>43792</v>
      </c>
    </row>
    <row r="943" spans="1:13" hidden="1" x14ac:dyDescent="0.25">
      <c r="A943" t="s">
        <v>14</v>
      </c>
      <c r="B943" s="2">
        <v>43894</v>
      </c>
      <c r="C943">
        <v>2020</v>
      </c>
      <c r="E943" t="s">
        <v>6</v>
      </c>
      <c r="F943">
        <v>92.5</v>
      </c>
      <c r="G943">
        <f t="shared" si="19"/>
        <v>92.5</v>
      </c>
      <c r="I943" s="5">
        <f t="shared" si="20"/>
        <v>328</v>
      </c>
      <c r="M943" s="2">
        <v>43792</v>
      </c>
    </row>
    <row r="944" spans="1:13" hidden="1" x14ac:dyDescent="0.25">
      <c r="A944" t="s">
        <v>14</v>
      </c>
      <c r="B944" s="2">
        <v>43906</v>
      </c>
      <c r="C944">
        <v>2020</v>
      </c>
      <c r="E944" t="s">
        <v>6</v>
      </c>
      <c r="F944">
        <v>84.3</v>
      </c>
      <c r="G944">
        <f t="shared" si="19"/>
        <v>84.3</v>
      </c>
      <c r="I944" s="5">
        <f t="shared" si="20"/>
        <v>328</v>
      </c>
      <c r="M944" s="2">
        <v>43792</v>
      </c>
    </row>
    <row r="945" spans="1:13" hidden="1" x14ac:dyDescent="0.25">
      <c r="A945" t="s">
        <v>14</v>
      </c>
      <c r="B945" s="2">
        <v>43906</v>
      </c>
      <c r="C945">
        <v>2020</v>
      </c>
      <c r="E945" t="s">
        <v>6</v>
      </c>
      <c r="F945">
        <v>108.8</v>
      </c>
      <c r="G945">
        <f t="shared" si="19"/>
        <v>108.8</v>
      </c>
      <c r="I945" s="5">
        <f t="shared" si="20"/>
        <v>338</v>
      </c>
      <c r="M945" s="2">
        <v>43802</v>
      </c>
    </row>
    <row r="946" spans="1:13" hidden="1" x14ac:dyDescent="0.25">
      <c r="A946" t="s">
        <v>14</v>
      </c>
      <c r="B946" s="2">
        <v>43907</v>
      </c>
      <c r="C946">
        <v>2020</v>
      </c>
      <c r="E946" t="s">
        <v>6</v>
      </c>
      <c r="F946">
        <v>99.9</v>
      </c>
      <c r="G946">
        <f t="shared" si="19"/>
        <v>99.9</v>
      </c>
      <c r="I946" s="5">
        <f t="shared" si="20"/>
        <v>325</v>
      </c>
      <c r="M946" s="2">
        <v>43789</v>
      </c>
    </row>
    <row r="947" spans="1:13" hidden="1" x14ac:dyDescent="0.25">
      <c r="A947" t="s">
        <v>14</v>
      </c>
      <c r="B947" s="2">
        <v>43950</v>
      </c>
      <c r="C947">
        <v>2020</v>
      </c>
      <c r="E947" t="s">
        <v>6</v>
      </c>
      <c r="F947">
        <v>94.6</v>
      </c>
      <c r="G947">
        <f t="shared" si="19"/>
        <v>94.6</v>
      </c>
      <c r="I947" s="5">
        <f t="shared" si="20"/>
        <v>328</v>
      </c>
      <c r="M947" s="2">
        <v>43792</v>
      </c>
    </row>
    <row r="948" spans="1:13" hidden="1" x14ac:dyDescent="0.25">
      <c r="A948" t="s">
        <v>14</v>
      </c>
      <c r="B948" s="2">
        <v>43950</v>
      </c>
      <c r="C948">
        <v>2020</v>
      </c>
      <c r="E948" t="s">
        <v>6</v>
      </c>
      <c r="F948">
        <v>121.5</v>
      </c>
      <c r="G948">
        <f t="shared" si="19"/>
        <v>121.5</v>
      </c>
      <c r="I948" s="5">
        <f t="shared" si="20"/>
        <v>328</v>
      </c>
      <c r="M948" s="2">
        <v>43792</v>
      </c>
    </row>
    <row r="949" spans="1:13" hidden="1" x14ac:dyDescent="0.25">
      <c r="A949" t="s">
        <v>14</v>
      </c>
      <c r="B949" s="2">
        <v>43950</v>
      </c>
      <c r="C949">
        <v>2020</v>
      </c>
      <c r="E949" t="s">
        <v>6</v>
      </c>
      <c r="F949">
        <v>113.2</v>
      </c>
      <c r="G949">
        <f t="shared" si="19"/>
        <v>113.2</v>
      </c>
      <c r="I949" s="5">
        <f t="shared" si="20"/>
        <v>328</v>
      </c>
      <c r="M949" s="2">
        <v>43792</v>
      </c>
    </row>
    <row r="950" spans="1:13" hidden="1" x14ac:dyDescent="0.25">
      <c r="A950" t="s">
        <v>14</v>
      </c>
      <c r="B950" s="2">
        <v>43963</v>
      </c>
      <c r="C950">
        <v>2020</v>
      </c>
      <c r="E950" t="s">
        <v>6</v>
      </c>
      <c r="F950">
        <v>122.7</v>
      </c>
      <c r="G950">
        <f t="shared" si="19"/>
        <v>122.7</v>
      </c>
      <c r="I950" s="5">
        <f t="shared" si="20"/>
        <v>338</v>
      </c>
      <c r="M950" s="2">
        <v>43802</v>
      </c>
    </row>
    <row r="951" spans="1:13" hidden="1" x14ac:dyDescent="0.25">
      <c r="A951" t="s">
        <v>14</v>
      </c>
      <c r="B951" s="2">
        <v>43964</v>
      </c>
      <c r="C951">
        <v>2020</v>
      </c>
      <c r="E951" t="s">
        <v>6</v>
      </c>
      <c r="F951">
        <v>99.3</v>
      </c>
      <c r="G951">
        <f t="shared" si="19"/>
        <v>99.3</v>
      </c>
      <c r="I951" s="5">
        <f t="shared" si="20"/>
        <v>325</v>
      </c>
      <c r="M951" s="2">
        <v>43789</v>
      </c>
    </row>
    <row r="952" spans="1:13" hidden="1" x14ac:dyDescent="0.25">
      <c r="A952" t="s">
        <v>14</v>
      </c>
      <c r="B952" s="2">
        <v>43964</v>
      </c>
      <c r="C952">
        <v>2020</v>
      </c>
      <c r="E952" t="s">
        <v>6</v>
      </c>
      <c r="F952">
        <v>120.8</v>
      </c>
      <c r="G952">
        <f t="shared" si="19"/>
        <v>120.8</v>
      </c>
      <c r="I952" s="5">
        <f t="shared" si="20"/>
        <v>328</v>
      </c>
      <c r="M952" s="2">
        <v>43792</v>
      </c>
    </row>
    <row r="953" spans="1:13" hidden="1" x14ac:dyDescent="0.25">
      <c r="A953" t="s">
        <v>14</v>
      </c>
      <c r="B953" s="2">
        <v>43978</v>
      </c>
      <c r="C953">
        <v>2020</v>
      </c>
      <c r="E953" t="s">
        <v>6</v>
      </c>
      <c r="F953">
        <v>91.7</v>
      </c>
      <c r="G953">
        <f t="shared" si="19"/>
        <v>91.7</v>
      </c>
      <c r="I953" s="5">
        <f t="shared" si="20"/>
        <v>328</v>
      </c>
      <c r="M953" s="2">
        <v>43792</v>
      </c>
    </row>
    <row r="954" spans="1:13" hidden="1" x14ac:dyDescent="0.25">
      <c r="A954" t="s">
        <v>14</v>
      </c>
      <c r="B954" s="2">
        <v>43978</v>
      </c>
      <c r="C954">
        <v>2020</v>
      </c>
      <c r="E954" t="s">
        <v>6</v>
      </c>
      <c r="F954">
        <v>115.7</v>
      </c>
      <c r="G954">
        <f t="shared" si="19"/>
        <v>115.7</v>
      </c>
      <c r="I954" s="5">
        <f t="shared" si="20"/>
        <v>338</v>
      </c>
      <c r="M954" s="2">
        <v>43802</v>
      </c>
    </row>
    <row r="955" spans="1:13" x14ac:dyDescent="0.25">
      <c r="A955" t="s">
        <v>19</v>
      </c>
      <c r="B955" s="2">
        <v>43850</v>
      </c>
      <c r="C955">
        <v>2020</v>
      </c>
      <c r="E955" t="s">
        <v>9</v>
      </c>
      <c r="F955">
        <v>60.2</v>
      </c>
      <c r="G955">
        <f t="shared" si="19"/>
        <v>60.2</v>
      </c>
      <c r="I955" s="4">
        <f xml:space="preserve"> DATEDIF(DATE(YEAR(M955),1,0),M955,"d")+1</f>
        <v>328</v>
      </c>
      <c r="M955" s="2">
        <v>43792</v>
      </c>
    </row>
    <row r="956" spans="1:13" x14ac:dyDescent="0.25">
      <c r="A956" t="s">
        <v>19</v>
      </c>
      <c r="B956" s="2">
        <v>43880</v>
      </c>
      <c r="C956">
        <v>2020</v>
      </c>
      <c r="E956" t="s">
        <v>9</v>
      </c>
      <c r="F956">
        <v>83.8</v>
      </c>
      <c r="G956">
        <f t="shared" si="19"/>
        <v>83.8</v>
      </c>
      <c r="I956" s="4">
        <f t="shared" ref="I956:I1015" si="21" xml:space="preserve"> DATEDIF(DATE(YEAR(M956),1,0),M956,"d")+1</f>
        <v>328</v>
      </c>
      <c r="M956" s="2">
        <v>43792</v>
      </c>
    </row>
    <row r="957" spans="1:13" x14ac:dyDescent="0.25">
      <c r="A957" t="s">
        <v>19</v>
      </c>
      <c r="B957" s="2">
        <v>43892</v>
      </c>
      <c r="C957">
        <v>2020</v>
      </c>
      <c r="E957" t="s">
        <v>9</v>
      </c>
      <c r="F957">
        <v>87.9</v>
      </c>
      <c r="G957">
        <f t="shared" si="19"/>
        <v>87.9</v>
      </c>
      <c r="I957" s="4">
        <f t="shared" si="21"/>
        <v>325</v>
      </c>
      <c r="M957" s="2">
        <v>43789</v>
      </c>
    </row>
    <row r="958" spans="1:13" x14ac:dyDescent="0.25">
      <c r="A958" t="s">
        <v>19</v>
      </c>
      <c r="B958" s="2">
        <v>43906</v>
      </c>
      <c r="C958">
        <v>2020</v>
      </c>
      <c r="E958" t="s">
        <v>9</v>
      </c>
      <c r="F958">
        <v>97.1</v>
      </c>
      <c r="G958">
        <f t="shared" si="19"/>
        <v>97.1</v>
      </c>
      <c r="I958" s="4">
        <f t="shared" si="21"/>
        <v>338</v>
      </c>
      <c r="M958" s="2">
        <v>43802</v>
      </c>
    </row>
    <row r="959" spans="1:13" x14ac:dyDescent="0.25">
      <c r="A959" t="s">
        <v>19</v>
      </c>
      <c r="B959" s="2">
        <v>43949</v>
      </c>
      <c r="C959">
        <v>2020</v>
      </c>
      <c r="E959" t="s">
        <v>9</v>
      </c>
      <c r="F959">
        <v>109.3</v>
      </c>
      <c r="G959">
        <f t="shared" si="19"/>
        <v>109.3</v>
      </c>
      <c r="H959" t="s">
        <v>27</v>
      </c>
      <c r="I959" s="4">
        <f t="shared" si="21"/>
        <v>328</v>
      </c>
      <c r="M959" s="2">
        <v>43792</v>
      </c>
    </row>
    <row r="960" spans="1:13" x14ac:dyDescent="0.25">
      <c r="A960" t="s">
        <v>19</v>
      </c>
      <c r="B960" s="2">
        <v>43963</v>
      </c>
      <c r="C960">
        <v>2020</v>
      </c>
      <c r="E960" t="s">
        <v>9</v>
      </c>
      <c r="F960">
        <v>116.6</v>
      </c>
      <c r="G960">
        <f t="shared" si="19"/>
        <v>116.6</v>
      </c>
      <c r="I960" s="4">
        <f t="shared" si="21"/>
        <v>325</v>
      </c>
      <c r="M960" s="2">
        <v>43789</v>
      </c>
    </row>
    <row r="961" spans="1:13" x14ac:dyDescent="0.25">
      <c r="A961" t="s">
        <v>19</v>
      </c>
      <c r="B961" s="2">
        <v>43976</v>
      </c>
      <c r="C961">
        <v>2020</v>
      </c>
      <c r="E961" t="s">
        <v>9</v>
      </c>
      <c r="F961">
        <v>116.8</v>
      </c>
      <c r="G961">
        <f t="shared" si="19"/>
        <v>116.8</v>
      </c>
      <c r="I961" s="4">
        <f t="shared" si="21"/>
        <v>328</v>
      </c>
      <c r="M961" s="2">
        <v>43792</v>
      </c>
    </row>
    <row r="962" spans="1:13" hidden="1" x14ac:dyDescent="0.25">
      <c r="A962" t="s">
        <v>15</v>
      </c>
      <c r="B962" s="2">
        <v>44223</v>
      </c>
      <c r="C962">
        <v>2021</v>
      </c>
      <c r="E962" t="s">
        <v>6</v>
      </c>
      <c r="F962">
        <v>70.474939759999998</v>
      </c>
      <c r="G962">
        <f t="shared" si="19"/>
        <v>70.474939759999998</v>
      </c>
      <c r="I962" s="5">
        <f t="shared" si="21"/>
        <v>328</v>
      </c>
      <c r="M962" s="2">
        <v>44157</v>
      </c>
    </row>
    <row r="963" spans="1:13" hidden="1" x14ac:dyDescent="0.25">
      <c r="A963" t="s">
        <v>15</v>
      </c>
      <c r="B963" s="2">
        <v>44244</v>
      </c>
      <c r="C963">
        <v>2021</v>
      </c>
      <c r="E963" t="s">
        <v>6</v>
      </c>
      <c r="F963">
        <v>78.175444440000007</v>
      </c>
      <c r="G963">
        <f t="shared" si="19"/>
        <v>78.175444440000007</v>
      </c>
      <c r="I963" s="5">
        <f t="shared" si="21"/>
        <v>334</v>
      </c>
      <c r="M963" s="2">
        <v>44163</v>
      </c>
    </row>
    <row r="964" spans="1:13" hidden="1" x14ac:dyDescent="0.25">
      <c r="A964" t="s">
        <v>15</v>
      </c>
      <c r="B964" s="2">
        <v>44258</v>
      </c>
      <c r="C964">
        <v>2021</v>
      </c>
      <c r="E964" t="s">
        <v>6</v>
      </c>
      <c r="F964">
        <v>89.277777779999994</v>
      </c>
      <c r="G964">
        <f t="shared" si="19"/>
        <v>89.277777779999994</v>
      </c>
      <c r="I964" s="5">
        <f t="shared" si="21"/>
        <v>328</v>
      </c>
      <c r="M964" s="2">
        <v>44157</v>
      </c>
    </row>
    <row r="965" spans="1:13" hidden="1" x14ac:dyDescent="0.25">
      <c r="A965" t="s">
        <v>15</v>
      </c>
      <c r="B965" s="2">
        <v>44272</v>
      </c>
      <c r="C965">
        <v>2021</v>
      </c>
      <c r="E965" t="s">
        <v>6</v>
      </c>
      <c r="F965">
        <v>96.960333329999997</v>
      </c>
      <c r="G965">
        <f t="shared" si="19"/>
        <v>96.960333329999997</v>
      </c>
      <c r="I965" s="5">
        <f t="shared" si="21"/>
        <v>330</v>
      </c>
      <c r="M965" s="2">
        <v>44159</v>
      </c>
    </row>
    <row r="966" spans="1:13" hidden="1" x14ac:dyDescent="0.25">
      <c r="A966" t="s">
        <v>15</v>
      </c>
      <c r="B966" s="2">
        <v>44286</v>
      </c>
      <c r="C966">
        <v>2021</v>
      </c>
      <c r="E966" t="s">
        <v>6</v>
      </c>
      <c r="F966">
        <v>105.0482222</v>
      </c>
      <c r="G966">
        <f t="shared" si="19"/>
        <v>105.0482222</v>
      </c>
      <c r="I966" s="5">
        <f t="shared" si="21"/>
        <v>332</v>
      </c>
      <c r="M966" s="2">
        <v>44161</v>
      </c>
    </row>
    <row r="967" spans="1:13" hidden="1" x14ac:dyDescent="0.25">
      <c r="A967" t="s">
        <v>15</v>
      </c>
      <c r="B967" s="2">
        <v>44300</v>
      </c>
      <c r="C967">
        <v>2021</v>
      </c>
      <c r="E967" t="s">
        <v>6</v>
      </c>
      <c r="F967">
        <v>110.81411110000001</v>
      </c>
      <c r="G967">
        <v>107.15</v>
      </c>
      <c r="H967" t="s">
        <v>27</v>
      </c>
      <c r="I967" s="5">
        <f t="shared" si="21"/>
        <v>328</v>
      </c>
      <c r="M967" s="2">
        <v>44157</v>
      </c>
    </row>
    <row r="968" spans="1:13" hidden="1" x14ac:dyDescent="0.25">
      <c r="A968" t="s">
        <v>15</v>
      </c>
      <c r="B968" s="2">
        <v>44307</v>
      </c>
      <c r="C968">
        <v>2021</v>
      </c>
      <c r="E968" t="s">
        <v>6</v>
      </c>
      <c r="F968">
        <v>112.8977778</v>
      </c>
      <c r="G968">
        <f t="shared" si="19"/>
        <v>112.8977778</v>
      </c>
      <c r="I968" s="5">
        <f t="shared" si="21"/>
        <v>334</v>
      </c>
      <c r="M968" s="2">
        <v>44163</v>
      </c>
    </row>
    <row r="969" spans="1:13" hidden="1" x14ac:dyDescent="0.25">
      <c r="A969" t="s">
        <v>15</v>
      </c>
      <c r="B969" s="2">
        <v>44315</v>
      </c>
      <c r="C969">
        <v>2021</v>
      </c>
      <c r="E969" t="s">
        <v>6</v>
      </c>
      <c r="F969">
        <v>114.4113333</v>
      </c>
      <c r="G969">
        <f t="shared" si="19"/>
        <v>114.4113333</v>
      </c>
      <c r="I969" s="5">
        <f t="shared" si="21"/>
        <v>328</v>
      </c>
      <c r="M969" s="2">
        <v>44157</v>
      </c>
    </row>
    <row r="970" spans="1:13" hidden="1" x14ac:dyDescent="0.25">
      <c r="A970" t="s">
        <v>15</v>
      </c>
      <c r="B970" s="2">
        <v>44321</v>
      </c>
      <c r="C970">
        <v>2021</v>
      </c>
      <c r="E970" t="s">
        <v>6</v>
      </c>
      <c r="F970">
        <v>119.33077780000001</v>
      </c>
      <c r="G970">
        <f t="shared" si="19"/>
        <v>119.33077780000001</v>
      </c>
      <c r="I970" s="5">
        <f t="shared" si="21"/>
        <v>332</v>
      </c>
      <c r="M970" s="2">
        <v>44161</v>
      </c>
    </row>
    <row r="971" spans="1:13" hidden="1" x14ac:dyDescent="0.25">
      <c r="A971" t="s">
        <v>15</v>
      </c>
      <c r="B971" s="2">
        <v>44335</v>
      </c>
      <c r="C971">
        <v>2021</v>
      </c>
      <c r="E971" t="s">
        <v>6</v>
      </c>
      <c r="F971">
        <v>119.8372222</v>
      </c>
      <c r="G971">
        <f t="shared" si="19"/>
        <v>119.8372222</v>
      </c>
      <c r="I971" s="5">
        <f t="shared" si="21"/>
        <v>330</v>
      </c>
      <c r="M971" s="2">
        <v>44159</v>
      </c>
    </row>
    <row r="972" spans="1:13" hidden="1" x14ac:dyDescent="0.25">
      <c r="A972" t="s">
        <v>15</v>
      </c>
      <c r="B972" s="2">
        <v>44348</v>
      </c>
      <c r="C972">
        <v>2021</v>
      </c>
      <c r="E972" t="s">
        <v>6</v>
      </c>
      <c r="F972">
        <v>121.1773333</v>
      </c>
      <c r="G972">
        <f t="shared" si="19"/>
        <v>121.1773333</v>
      </c>
      <c r="I972" s="5">
        <f t="shared" si="21"/>
        <v>332</v>
      </c>
      <c r="M972" s="2">
        <v>44161</v>
      </c>
    </row>
    <row r="973" spans="1:13" hidden="1" x14ac:dyDescent="0.25">
      <c r="A973" t="s">
        <v>15</v>
      </c>
      <c r="B973" s="2">
        <v>44223</v>
      </c>
      <c r="C973">
        <v>2021</v>
      </c>
      <c r="E973" t="s">
        <v>6</v>
      </c>
      <c r="F973">
        <v>68.09566667</v>
      </c>
      <c r="G973">
        <f t="shared" si="19"/>
        <v>68.09566667</v>
      </c>
      <c r="I973" s="5">
        <f t="shared" si="21"/>
        <v>328</v>
      </c>
      <c r="M973" s="2">
        <v>44157</v>
      </c>
    </row>
    <row r="974" spans="1:13" hidden="1" x14ac:dyDescent="0.25">
      <c r="A974" t="s">
        <v>15</v>
      </c>
      <c r="B974" s="2">
        <v>44258</v>
      </c>
      <c r="C974">
        <v>2021</v>
      </c>
      <c r="E974" t="s">
        <v>6</v>
      </c>
      <c r="F974">
        <v>88.180795450000005</v>
      </c>
      <c r="G974">
        <f t="shared" si="19"/>
        <v>88.180795450000005</v>
      </c>
      <c r="I974" s="5">
        <f t="shared" si="21"/>
        <v>334</v>
      </c>
      <c r="M974" s="2">
        <v>44163</v>
      </c>
    </row>
    <row r="975" spans="1:13" hidden="1" x14ac:dyDescent="0.25">
      <c r="A975" t="s">
        <v>15</v>
      </c>
      <c r="B975" s="2">
        <v>44272</v>
      </c>
      <c r="C975">
        <v>2021</v>
      </c>
      <c r="E975" t="s">
        <v>6</v>
      </c>
      <c r="F975">
        <v>97.313999999999993</v>
      </c>
      <c r="G975">
        <f t="shared" si="19"/>
        <v>97.313999999999993</v>
      </c>
      <c r="I975" s="5">
        <f t="shared" si="21"/>
        <v>328</v>
      </c>
      <c r="M975" s="2">
        <v>44157</v>
      </c>
    </row>
    <row r="976" spans="1:13" hidden="1" x14ac:dyDescent="0.25">
      <c r="A976" t="s">
        <v>15</v>
      </c>
      <c r="B976" s="2">
        <v>44286</v>
      </c>
      <c r="C976">
        <v>2021</v>
      </c>
      <c r="E976" t="s">
        <v>6</v>
      </c>
      <c r="F976">
        <v>100.2647778</v>
      </c>
      <c r="G976">
        <f t="shared" si="19"/>
        <v>100.2647778</v>
      </c>
      <c r="I976" s="5">
        <f t="shared" si="21"/>
        <v>330</v>
      </c>
      <c r="M976" s="2">
        <v>44159</v>
      </c>
    </row>
    <row r="977" spans="1:13" hidden="1" x14ac:dyDescent="0.25">
      <c r="A977" t="s">
        <v>15</v>
      </c>
      <c r="B977" s="2">
        <v>44300</v>
      </c>
      <c r="C977">
        <v>2021</v>
      </c>
      <c r="E977" t="s">
        <v>6</v>
      </c>
      <c r="F977">
        <v>104.94333330000001</v>
      </c>
      <c r="G977">
        <f t="shared" si="19"/>
        <v>104.94333330000001</v>
      </c>
      <c r="I977" s="5">
        <f t="shared" si="21"/>
        <v>332</v>
      </c>
      <c r="M977" s="2">
        <v>44161</v>
      </c>
    </row>
    <row r="978" spans="1:13" hidden="1" x14ac:dyDescent="0.25">
      <c r="A978" t="s">
        <v>15</v>
      </c>
      <c r="B978" s="2">
        <v>44307</v>
      </c>
      <c r="C978">
        <v>2021</v>
      </c>
      <c r="E978" t="s">
        <v>6</v>
      </c>
      <c r="F978">
        <v>104.7833333</v>
      </c>
      <c r="G978">
        <f t="shared" si="19"/>
        <v>104.7833333</v>
      </c>
      <c r="I978" s="5">
        <f t="shared" si="21"/>
        <v>328</v>
      </c>
      <c r="M978" s="2">
        <v>44157</v>
      </c>
    </row>
    <row r="979" spans="1:13" hidden="1" x14ac:dyDescent="0.25">
      <c r="A979" t="s">
        <v>15</v>
      </c>
      <c r="B979" s="2">
        <v>44315</v>
      </c>
      <c r="C979">
        <v>2021</v>
      </c>
      <c r="E979" t="s">
        <v>6</v>
      </c>
      <c r="F979">
        <v>107.1852222</v>
      </c>
      <c r="G979">
        <f t="shared" si="19"/>
        <v>107.1852222</v>
      </c>
      <c r="I979" s="5">
        <f t="shared" si="21"/>
        <v>334</v>
      </c>
      <c r="M979" s="2">
        <v>44163</v>
      </c>
    </row>
    <row r="980" spans="1:13" hidden="1" x14ac:dyDescent="0.25">
      <c r="A980" t="s">
        <v>15</v>
      </c>
      <c r="B980" s="2">
        <v>44321</v>
      </c>
      <c r="C980">
        <v>2021</v>
      </c>
      <c r="E980" t="s">
        <v>6</v>
      </c>
      <c r="F980">
        <v>97.25755556</v>
      </c>
      <c r="G980">
        <f t="shared" si="19"/>
        <v>97.25755556</v>
      </c>
      <c r="I980" s="5">
        <f t="shared" si="21"/>
        <v>328</v>
      </c>
      <c r="M980" s="2">
        <v>44157</v>
      </c>
    </row>
    <row r="981" spans="1:13" hidden="1" x14ac:dyDescent="0.25">
      <c r="A981" t="s">
        <v>15</v>
      </c>
      <c r="B981" s="2">
        <v>44335</v>
      </c>
      <c r="C981">
        <v>2021</v>
      </c>
      <c r="E981" t="s">
        <v>6</v>
      </c>
      <c r="F981">
        <v>110.47156630000001</v>
      </c>
      <c r="G981">
        <f t="shared" si="19"/>
        <v>110.47156630000001</v>
      </c>
      <c r="I981" s="5">
        <f t="shared" si="21"/>
        <v>330</v>
      </c>
      <c r="M981" s="2">
        <v>44159</v>
      </c>
    </row>
    <row r="982" spans="1:13" hidden="1" x14ac:dyDescent="0.25">
      <c r="A982" t="s">
        <v>15</v>
      </c>
      <c r="B982" s="2">
        <v>44348</v>
      </c>
      <c r="C982">
        <v>2021</v>
      </c>
      <c r="E982" t="s">
        <v>6</v>
      </c>
      <c r="F982">
        <v>104.2146667</v>
      </c>
      <c r="G982">
        <f t="shared" si="19"/>
        <v>104.2146667</v>
      </c>
      <c r="I982" s="5">
        <f t="shared" si="21"/>
        <v>328</v>
      </c>
      <c r="M982" s="2">
        <v>44157</v>
      </c>
    </row>
    <row r="983" spans="1:13" hidden="1" x14ac:dyDescent="0.25">
      <c r="A983" t="s">
        <v>15</v>
      </c>
      <c r="B983" s="2">
        <v>44223</v>
      </c>
      <c r="C983">
        <v>2021</v>
      </c>
      <c r="E983" t="s">
        <v>6</v>
      </c>
      <c r="F983">
        <v>68.366222219999997</v>
      </c>
      <c r="G983">
        <f t="shared" si="19"/>
        <v>68.366222219999997</v>
      </c>
      <c r="I983" s="5">
        <f t="shared" si="21"/>
        <v>334</v>
      </c>
      <c r="M983" s="2">
        <v>44163</v>
      </c>
    </row>
    <row r="984" spans="1:13" hidden="1" x14ac:dyDescent="0.25">
      <c r="A984" t="s">
        <v>15</v>
      </c>
      <c r="B984" s="2">
        <v>44223</v>
      </c>
      <c r="C984">
        <v>2021</v>
      </c>
      <c r="E984" t="s">
        <v>6</v>
      </c>
      <c r="F984">
        <v>60.43444444</v>
      </c>
      <c r="G984">
        <f t="shared" si="19"/>
        <v>60.43444444</v>
      </c>
      <c r="I984" s="5">
        <f t="shared" si="21"/>
        <v>328</v>
      </c>
      <c r="M984" s="2">
        <v>44157</v>
      </c>
    </row>
    <row r="985" spans="1:13" hidden="1" x14ac:dyDescent="0.25">
      <c r="A985" t="s">
        <v>15</v>
      </c>
      <c r="B985" s="2">
        <v>44224</v>
      </c>
      <c r="C985">
        <v>2021</v>
      </c>
      <c r="E985" t="s">
        <v>6</v>
      </c>
      <c r="F985">
        <v>59.576333329999997</v>
      </c>
      <c r="G985">
        <f t="shared" si="19"/>
        <v>59.576333329999997</v>
      </c>
      <c r="I985" s="5">
        <f t="shared" si="21"/>
        <v>332</v>
      </c>
      <c r="M985" s="2">
        <v>44161</v>
      </c>
    </row>
    <row r="986" spans="1:13" hidden="1" x14ac:dyDescent="0.25">
      <c r="A986" t="s">
        <v>15</v>
      </c>
      <c r="B986" s="2">
        <v>44244</v>
      </c>
      <c r="C986">
        <v>2021</v>
      </c>
      <c r="E986" t="s">
        <v>6</v>
      </c>
      <c r="F986">
        <v>70.137222219999998</v>
      </c>
      <c r="G986">
        <f t="shared" si="19"/>
        <v>70.137222219999998</v>
      </c>
      <c r="I986" s="5">
        <f t="shared" si="21"/>
        <v>330</v>
      </c>
      <c r="M986" s="2">
        <v>44159</v>
      </c>
    </row>
    <row r="987" spans="1:13" hidden="1" x14ac:dyDescent="0.25">
      <c r="A987" t="s">
        <v>15</v>
      </c>
      <c r="B987" s="2">
        <v>44245</v>
      </c>
      <c r="C987">
        <v>2021</v>
      </c>
      <c r="E987" t="s">
        <v>6</v>
      </c>
      <c r="F987">
        <v>67.538888889999996</v>
      </c>
      <c r="G987">
        <f t="shared" si="19"/>
        <v>67.538888889999996</v>
      </c>
      <c r="I987" s="5">
        <f t="shared" si="21"/>
        <v>328</v>
      </c>
      <c r="M987" s="2">
        <v>44157</v>
      </c>
    </row>
    <row r="988" spans="1:13" hidden="1" x14ac:dyDescent="0.25">
      <c r="A988" t="s">
        <v>15</v>
      </c>
      <c r="B988" s="2">
        <v>44245</v>
      </c>
      <c r="C988">
        <v>2021</v>
      </c>
      <c r="E988" t="s">
        <v>6</v>
      </c>
      <c r="F988">
        <v>68.143777779999994</v>
      </c>
      <c r="G988">
        <f t="shared" si="19"/>
        <v>68.143777779999994</v>
      </c>
      <c r="I988" s="5">
        <f t="shared" si="21"/>
        <v>334</v>
      </c>
      <c r="M988" s="2">
        <v>44163</v>
      </c>
    </row>
    <row r="989" spans="1:13" hidden="1" x14ac:dyDescent="0.25">
      <c r="A989" t="s">
        <v>15</v>
      </c>
      <c r="B989" s="2">
        <v>44258</v>
      </c>
      <c r="C989">
        <v>2021</v>
      </c>
      <c r="E989" t="s">
        <v>6</v>
      </c>
      <c r="F989">
        <v>77.873333329999994</v>
      </c>
      <c r="G989">
        <f t="shared" si="19"/>
        <v>77.873333329999994</v>
      </c>
      <c r="I989" s="5">
        <f t="shared" si="21"/>
        <v>328</v>
      </c>
      <c r="M989" s="2">
        <v>44157</v>
      </c>
    </row>
    <row r="990" spans="1:13" hidden="1" x14ac:dyDescent="0.25">
      <c r="A990" t="s">
        <v>15</v>
      </c>
      <c r="B990" s="2">
        <v>44258</v>
      </c>
      <c r="C990">
        <v>2021</v>
      </c>
      <c r="E990" t="s">
        <v>6</v>
      </c>
      <c r="F990">
        <v>86.499777780000002</v>
      </c>
      <c r="G990">
        <f t="shared" si="19"/>
        <v>86.499777780000002</v>
      </c>
      <c r="I990" s="5">
        <f t="shared" si="21"/>
        <v>332</v>
      </c>
      <c r="M990" s="2">
        <v>44161</v>
      </c>
    </row>
    <row r="991" spans="1:13" hidden="1" x14ac:dyDescent="0.25">
      <c r="A991" t="s">
        <v>15</v>
      </c>
      <c r="B991" s="2">
        <v>44258</v>
      </c>
      <c r="C991">
        <v>2021</v>
      </c>
      <c r="E991" t="s">
        <v>6</v>
      </c>
      <c r="F991">
        <v>75.648222219999994</v>
      </c>
      <c r="G991">
        <f t="shared" si="19"/>
        <v>75.648222219999994</v>
      </c>
      <c r="I991" s="5">
        <f t="shared" si="21"/>
        <v>330</v>
      </c>
      <c r="M991" s="2">
        <v>44159</v>
      </c>
    </row>
    <row r="992" spans="1:13" hidden="1" x14ac:dyDescent="0.25">
      <c r="A992" t="s">
        <v>15</v>
      </c>
      <c r="B992" s="2">
        <v>44272</v>
      </c>
      <c r="C992">
        <v>2021</v>
      </c>
      <c r="E992" t="s">
        <v>6</v>
      </c>
      <c r="F992">
        <v>84.237333329999998</v>
      </c>
      <c r="G992">
        <f t="shared" si="19"/>
        <v>84.237333329999998</v>
      </c>
      <c r="I992" s="5">
        <f t="shared" si="21"/>
        <v>332</v>
      </c>
      <c r="M992" s="2">
        <v>44161</v>
      </c>
    </row>
    <row r="993" spans="1:13" hidden="1" x14ac:dyDescent="0.25">
      <c r="A993" t="s">
        <v>15</v>
      </c>
      <c r="B993" s="2">
        <v>44272</v>
      </c>
      <c r="C993">
        <v>2021</v>
      </c>
      <c r="E993" t="s">
        <v>6</v>
      </c>
      <c r="F993">
        <v>95.272444440000001</v>
      </c>
      <c r="G993">
        <f t="shared" si="19"/>
        <v>95.272444440000001</v>
      </c>
      <c r="I993" s="5">
        <f t="shared" si="21"/>
        <v>328</v>
      </c>
      <c r="M993" s="2">
        <v>44157</v>
      </c>
    </row>
    <row r="994" spans="1:13" hidden="1" x14ac:dyDescent="0.25">
      <c r="A994" t="s">
        <v>15</v>
      </c>
      <c r="B994" s="2">
        <v>44272</v>
      </c>
      <c r="C994">
        <v>2021</v>
      </c>
      <c r="E994" t="s">
        <v>6</v>
      </c>
      <c r="F994">
        <v>86.118555560000004</v>
      </c>
      <c r="G994">
        <f t="shared" si="19"/>
        <v>86.118555560000004</v>
      </c>
      <c r="I994" s="5">
        <f t="shared" si="21"/>
        <v>334</v>
      </c>
      <c r="M994" s="2">
        <v>44163</v>
      </c>
    </row>
    <row r="995" spans="1:13" hidden="1" x14ac:dyDescent="0.25">
      <c r="A995" t="s">
        <v>15</v>
      </c>
      <c r="B995" s="2">
        <v>44286</v>
      </c>
      <c r="C995">
        <v>2021</v>
      </c>
      <c r="E995" t="s">
        <v>6</v>
      </c>
      <c r="F995">
        <v>101.1565556</v>
      </c>
      <c r="G995">
        <f t="shared" si="19"/>
        <v>101.1565556</v>
      </c>
      <c r="I995" s="5">
        <f t="shared" si="21"/>
        <v>328</v>
      </c>
      <c r="M995" s="2">
        <v>44157</v>
      </c>
    </row>
    <row r="996" spans="1:13" hidden="1" x14ac:dyDescent="0.25">
      <c r="A996" t="s">
        <v>15</v>
      </c>
      <c r="B996" s="2">
        <v>44287</v>
      </c>
      <c r="C996">
        <v>2021</v>
      </c>
      <c r="E996" t="s">
        <v>6</v>
      </c>
      <c r="F996">
        <v>92.894333329999995</v>
      </c>
      <c r="G996">
        <f t="shared" si="19"/>
        <v>92.894333329999995</v>
      </c>
      <c r="I996" s="5">
        <f t="shared" si="21"/>
        <v>330</v>
      </c>
      <c r="M996" s="2">
        <v>44159</v>
      </c>
    </row>
    <row r="997" spans="1:13" hidden="1" x14ac:dyDescent="0.25">
      <c r="A997" t="s">
        <v>15</v>
      </c>
      <c r="B997" s="2">
        <v>44287</v>
      </c>
      <c r="C997">
        <v>2021</v>
      </c>
      <c r="E997" t="s">
        <v>6</v>
      </c>
      <c r="F997">
        <v>92.753333330000004</v>
      </c>
      <c r="G997">
        <f t="shared" si="19"/>
        <v>92.753333330000004</v>
      </c>
      <c r="I997" s="5">
        <f t="shared" si="21"/>
        <v>328</v>
      </c>
      <c r="M997" s="2">
        <v>44157</v>
      </c>
    </row>
    <row r="998" spans="1:13" hidden="1" x14ac:dyDescent="0.25">
      <c r="A998" t="s">
        <v>15</v>
      </c>
      <c r="B998" s="2">
        <v>44300</v>
      </c>
      <c r="C998">
        <v>2021</v>
      </c>
      <c r="E998" t="s">
        <v>6</v>
      </c>
      <c r="F998">
        <v>104.657</v>
      </c>
      <c r="G998">
        <f t="shared" si="19"/>
        <v>104.657</v>
      </c>
      <c r="I998" s="5">
        <f t="shared" si="21"/>
        <v>334</v>
      </c>
      <c r="M998" s="2">
        <v>44163</v>
      </c>
    </row>
    <row r="999" spans="1:13" hidden="1" x14ac:dyDescent="0.25">
      <c r="A999" t="s">
        <v>15</v>
      </c>
      <c r="B999" s="2">
        <v>44301</v>
      </c>
      <c r="C999">
        <v>2021</v>
      </c>
      <c r="E999" t="s">
        <v>6</v>
      </c>
      <c r="F999">
        <v>101.2516667</v>
      </c>
      <c r="G999">
        <f t="shared" ref="G999:G1062" si="22">F999</f>
        <v>101.2516667</v>
      </c>
      <c r="I999" s="5">
        <f t="shared" si="21"/>
        <v>328</v>
      </c>
      <c r="M999" s="2">
        <v>44157</v>
      </c>
    </row>
    <row r="1000" spans="1:13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v>97.531000000000006</v>
      </c>
      <c r="G1000">
        <f t="shared" si="22"/>
        <v>97.531000000000006</v>
      </c>
      <c r="I1000" s="5">
        <f t="shared" si="21"/>
        <v>332</v>
      </c>
      <c r="M1000" s="2">
        <v>44161</v>
      </c>
    </row>
    <row r="1001" spans="1:13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v>97.304888890000001</v>
      </c>
      <c r="G1001">
        <f t="shared" si="22"/>
        <v>97.304888890000001</v>
      </c>
      <c r="I1001" s="5">
        <f t="shared" si="21"/>
        <v>330</v>
      </c>
      <c r="M1001" s="2">
        <v>44159</v>
      </c>
    </row>
    <row r="1002" spans="1:13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v>110.3821111</v>
      </c>
      <c r="G1002">
        <f t="shared" si="22"/>
        <v>110.3821111</v>
      </c>
      <c r="I1002" s="5">
        <f t="shared" si="21"/>
        <v>328</v>
      </c>
      <c r="M1002" s="2">
        <v>44157</v>
      </c>
    </row>
    <row r="1003" spans="1:13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v>101.0704444</v>
      </c>
      <c r="G1003">
        <f t="shared" si="22"/>
        <v>101.0704444</v>
      </c>
      <c r="I1003" s="5">
        <f t="shared" si="21"/>
        <v>334</v>
      </c>
      <c r="M1003" s="2">
        <v>44163</v>
      </c>
    </row>
    <row r="1004" spans="1:13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v>110.3692222</v>
      </c>
      <c r="G1004">
        <f t="shared" si="22"/>
        <v>110.3692222</v>
      </c>
      <c r="I1004" s="5">
        <f t="shared" si="21"/>
        <v>328</v>
      </c>
      <c r="M1004" s="2">
        <v>44157</v>
      </c>
    </row>
    <row r="1005" spans="1:13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v>97.827444439999994</v>
      </c>
      <c r="G1005">
        <f t="shared" si="22"/>
        <v>97.827444439999994</v>
      </c>
      <c r="I1005" s="5">
        <f t="shared" si="21"/>
        <v>332</v>
      </c>
      <c r="M1005" s="2">
        <v>44161</v>
      </c>
    </row>
    <row r="1006" spans="1:13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v>98.942444440000003</v>
      </c>
      <c r="G1006">
        <f t="shared" si="22"/>
        <v>98.942444440000003</v>
      </c>
      <c r="I1006" s="5">
        <f t="shared" si="21"/>
        <v>330</v>
      </c>
      <c r="M1006" s="2">
        <v>44159</v>
      </c>
    </row>
    <row r="1007" spans="1:13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v>109.3193333</v>
      </c>
      <c r="G1007">
        <f t="shared" si="22"/>
        <v>109.3193333</v>
      </c>
      <c r="I1007" s="5">
        <f t="shared" si="21"/>
        <v>328</v>
      </c>
      <c r="M1007" s="2">
        <v>44157</v>
      </c>
    </row>
    <row r="1008" spans="1:13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v>97.286555559999996</v>
      </c>
      <c r="G1008">
        <f t="shared" si="22"/>
        <v>97.286555559999996</v>
      </c>
      <c r="I1008" s="5">
        <f t="shared" si="21"/>
        <v>334</v>
      </c>
      <c r="M1008" s="2">
        <v>44163</v>
      </c>
    </row>
    <row r="1009" spans="1:13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v>104.60788890000001</v>
      </c>
      <c r="G1009">
        <f t="shared" si="22"/>
        <v>104.60788890000001</v>
      </c>
      <c r="I1009" s="5">
        <f t="shared" si="21"/>
        <v>328</v>
      </c>
      <c r="M1009" s="2">
        <v>44157</v>
      </c>
    </row>
    <row r="1010" spans="1:13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v>113.8327778</v>
      </c>
      <c r="G1010">
        <f t="shared" si="22"/>
        <v>113.8327778</v>
      </c>
      <c r="I1010" s="5">
        <f t="shared" si="21"/>
        <v>332</v>
      </c>
      <c r="M1010" s="2">
        <v>44161</v>
      </c>
    </row>
    <row r="1011" spans="1:13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v>97.199777780000005</v>
      </c>
      <c r="G1011">
        <f t="shared" si="22"/>
        <v>97.199777780000005</v>
      </c>
      <c r="I1011" s="5">
        <f t="shared" si="21"/>
        <v>330</v>
      </c>
      <c r="M1011" s="2">
        <v>44159</v>
      </c>
    </row>
    <row r="1012" spans="1:13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v>109.16333330000001</v>
      </c>
      <c r="G1012">
        <f t="shared" si="22"/>
        <v>109.16333330000001</v>
      </c>
      <c r="I1012" s="5">
        <f t="shared" si="21"/>
        <v>328</v>
      </c>
      <c r="M1012" s="2">
        <v>44157</v>
      </c>
    </row>
    <row r="1013" spans="1:13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v>115.5402222</v>
      </c>
      <c r="G1013">
        <f t="shared" si="22"/>
        <v>115.5402222</v>
      </c>
      <c r="I1013" s="5">
        <f t="shared" si="21"/>
        <v>334</v>
      </c>
      <c r="M1013" s="2">
        <v>44163</v>
      </c>
    </row>
    <row r="1014" spans="1:13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v>97.870111109999996</v>
      </c>
      <c r="G1014">
        <f t="shared" si="22"/>
        <v>97.870111109999996</v>
      </c>
      <c r="I1014" s="5">
        <f t="shared" si="21"/>
        <v>328</v>
      </c>
      <c r="M1014" s="2">
        <v>44157</v>
      </c>
    </row>
    <row r="1015" spans="1:13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v>102.58633330000001</v>
      </c>
      <c r="G1015">
        <f t="shared" si="22"/>
        <v>102.58633330000001</v>
      </c>
      <c r="I1015" s="5">
        <f t="shared" si="21"/>
        <v>332</v>
      </c>
      <c r="M1015" s="2">
        <v>44161</v>
      </c>
    </row>
    <row r="1016" spans="1:13" x14ac:dyDescent="0.25">
      <c r="A1016" t="s">
        <v>20</v>
      </c>
      <c r="B1016" s="2">
        <v>44221</v>
      </c>
      <c r="C1016">
        <v>2021</v>
      </c>
      <c r="E1016" t="s">
        <v>9</v>
      </c>
      <c r="F1016">
        <v>66.148111110000002</v>
      </c>
      <c r="G1016">
        <f t="shared" si="22"/>
        <v>66.148111110000002</v>
      </c>
      <c r="I1016" s="4">
        <f t="shared" ref="I1016:I1079" si="23" xml:space="preserve"> DATEDIF(DATE(YEAR(M1016),1,0),M1016,"d")+1</f>
        <v>330</v>
      </c>
      <c r="M1016" s="2">
        <v>44159</v>
      </c>
    </row>
    <row r="1017" spans="1:13" x14ac:dyDescent="0.25">
      <c r="A1017" t="s">
        <v>20</v>
      </c>
      <c r="B1017" s="2">
        <v>44245</v>
      </c>
      <c r="C1017">
        <v>2021</v>
      </c>
      <c r="E1017" t="s">
        <v>9</v>
      </c>
      <c r="F1017">
        <v>78.188777779999995</v>
      </c>
      <c r="G1017">
        <f t="shared" si="22"/>
        <v>78.188777779999995</v>
      </c>
      <c r="I1017" s="4">
        <f t="shared" si="23"/>
        <v>324</v>
      </c>
      <c r="M1017" s="2">
        <v>44519</v>
      </c>
    </row>
    <row r="1018" spans="1:13" x14ac:dyDescent="0.25">
      <c r="A1018" t="s">
        <v>20</v>
      </c>
      <c r="B1018" s="2">
        <v>44256</v>
      </c>
      <c r="C1018">
        <v>2021</v>
      </c>
      <c r="E1018" t="s">
        <v>9</v>
      </c>
      <c r="F1018">
        <v>85.639222219999994</v>
      </c>
      <c r="G1018">
        <f t="shared" si="22"/>
        <v>85.639222219999994</v>
      </c>
      <c r="I1018" s="4">
        <f t="shared" si="23"/>
        <v>334</v>
      </c>
      <c r="M1018" s="2">
        <v>44529</v>
      </c>
    </row>
    <row r="1019" spans="1:13" x14ac:dyDescent="0.25">
      <c r="A1019" t="s">
        <v>20</v>
      </c>
      <c r="B1019" s="2">
        <v>44271</v>
      </c>
      <c r="C1019">
        <v>2021</v>
      </c>
      <c r="E1019" t="s">
        <v>9</v>
      </c>
      <c r="F1019">
        <v>91.981555560000004</v>
      </c>
      <c r="G1019">
        <f t="shared" si="22"/>
        <v>91.981555560000004</v>
      </c>
      <c r="I1019" s="4">
        <f t="shared" si="23"/>
        <v>323</v>
      </c>
      <c r="M1019" s="2">
        <v>44518</v>
      </c>
    </row>
    <row r="1020" spans="1:13" x14ac:dyDescent="0.25">
      <c r="A1020" t="s">
        <v>20</v>
      </c>
      <c r="B1020" s="2">
        <v>44284</v>
      </c>
      <c r="C1020">
        <v>2021</v>
      </c>
      <c r="E1020" t="s">
        <v>9</v>
      </c>
      <c r="F1020">
        <v>96.656555560000001</v>
      </c>
      <c r="G1020">
        <f t="shared" si="22"/>
        <v>96.656555560000001</v>
      </c>
      <c r="I1020" s="4">
        <f t="shared" si="23"/>
        <v>327</v>
      </c>
      <c r="M1020" s="2">
        <v>44522</v>
      </c>
    </row>
    <row r="1021" spans="1:13" x14ac:dyDescent="0.25">
      <c r="A1021" t="s">
        <v>20</v>
      </c>
      <c r="B1021" s="2">
        <v>44298</v>
      </c>
      <c r="C1021">
        <v>2021</v>
      </c>
      <c r="E1021" t="s">
        <v>9</v>
      </c>
      <c r="F1021">
        <v>102.13188890000001</v>
      </c>
      <c r="G1021">
        <f t="shared" si="22"/>
        <v>102.13188890000001</v>
      </c>
      <c r="I1021" s="4">
        <f t="shared" si="23"/>
        <v>323</v>
      </c>
      <c r="M1021" s="2">
        <v>44518</v>
      </c>
    </row>
    <row r="1022" spans="1:13" x14ac:dyDescent="0.25">
      <c r="A1022" t="s">
        <v>20</v>
      </c>
      <c r="B1022" s="2">
        <v>44307</v>
      </c>
      <c r="C1022">
        <v>2021</v>
      </c>
      <c r="E1022" t="s">
        <v>9</v>
      </c>
      <c r="F1022">
        <v>106.438</v>
      </c>
      <c r="G1022">
        <f t="shared" si="22"/>
        <v>106.438</v>
      </c>
      <c r="I1022" s="4">
        <f t="shared" si="23"/>
        <v>323</v>
      </c>
      <c r="M1022" s="2">
        <v>44518</v>
      </c>
    </row>
    <row r="1023" spans="1:13" x14ac:dyDescent="0.25">
      <c r="A1023" t="s">
        <v>20</v>
      </c>
      <c r="B1023" s="2">
        <v>44315</v>
      </c>
      <c r="C1023">
        <v>2021</v>
      </c>
      <c r="E1023" t="s">
        <v>9</v>
      </c>
      <c r="F1023">
        <v>114.3467778</v>
      </c>
      <c r="G1023">
        <f t="shared" si="22"/>
        <v>114.3467778</v>
      </c>
      <c r="I1023" s="4">
        <f t="shared" si="23"/>
        <v>324</v>
      </c>
      <c r="M1023" s="2">
        <v>44519</v>
      </c>
    </row>
    <row r="1024" spans="1:13" x14ac:dyDescent="0.25">
      <c r="A1024" t="s">
        <v>20</v>
      </c>
      <c r="B1024" s="2">
        <v>44321</v>
      </c>
      <c r="C1024">
        <v>2021</v>
      </c>
      <c r="E1024" t="s">
        <v>9</v>
      </c>
      <c r="F1024">
        <v>108.5084444</v>
      </c>
      <c r="G1024">
        <f t="shared" si="22"/>
        <v>108.5084444</v>
      </c>
      <c r="H1024" t="s">
        <v>27</v>
      </c>
      <c r="I1024" s="4">
        <f t="shared" si="23"/>
        <v>334</v>
      </c>
      <c r="M1024" s="2">
        <v>44529</v>
      </c>
    </row>
    <row r="1025" spans="1:13" x14ac:dyDescent="0.25">
      <c r="A1025" t="s">
        <v>20</v>
      </c>
      <c r="B1025" s="2">
        <v>44333</v>
      </c>
      <c r="C1025">
        <v>2021</v>
      </c>
      <c r="E1025" t="s">
        <v>9</v>
      </c>
      <c r="F1025">
        <v>110.1386667</v>
      </c>
      <c r="G1025">
        <f t="shared" si="22"/>
        <v>110.1386667</v>
      </c>
      <c r="I1025" s="4">
        <f t="shared" si="23"/>
        <v>323</v>
      </c>
      <c r="M1025" s="2">
        <v>44518</v>
      </c>
    </row>
    <row r="1026" spans="1:13" x14ac:dyDescent="0.25">
      <c r="A1026" t="s">
        <v>20</v>
      </c>
      <c r="B1026" s="2">
        <v>44347</v>
      </c>
      <c r="C1026">
        <v>2021</v>
      </c>
      <c r="E1026" t="s">
        <v>9</v>
      </c>
      <c r="F1026">
        <v>114.625</v>
      </c>
      <c r="G1026">
        <f t="shared" si="22"/>
        <v>114.625</v>
      </c>
      <c r="I1026" s="4">
        <f t="shared" si="23"/>
        <v>327</v>
      </c>
      <c r="M1026" s="2">
        <v>44522</v>
      </c>
    </row>
    <row r="1027" spans="1:13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65.7</v>
      </c>
      <c r="G1027">
        <f t="shared" si="22"/>
        <v>65.7</v>
      </c>
      <c r="I1027" s="5">
        <f t="shared" si="23"/>
        <v>324</v>
      </c>
      <c r="M1027" s="2">
        <v>44519</v>
      </c>
    </row>
    <row r="1028" spans="1:13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v>77</v>
      </c>
      <c r="G1028">
        <f t="shared" si="22"/>
        <v>77</v>
      </c>
      <c r="I1028" s="5">
        <f t="shared" si="23"/>
        <v>334</v>
      </c>
      <c r="M1028" s="2">
        <v>44529</v>
      </c>
    </row>
    <row r="1029" spans="1:13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v>108.9</v>
      </c>
      <c r="G1029">
        <f t="shared" si="22"/>
        <v>108.9</v>
      </c>
      <c r="I1029" s="5">
        <f t="shared" si="23"/>
        <v>323</v>
      </c>
      <c r="M1029" s="2">
        <v>44518</v>
      </c>
    </row>
    <row r="1030" spans="1:13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v>87.8</v>
      </c>
      <c r="G1030">
        <f t="shared" si="22"/>
        <v>87.8</v>
      </c>
      <c r="I1030" s="5">
        <f t="shared" si="23"/>
        <v>327</v>
      </c>
      <c r="M1030" s="2">
        <v>44522</v>
      </c>
    </row>
    <row r="1031" spans="1:13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v>92</v>
      </c>
      <c r="G1031">
        <f t="shared" si="22"/>
        <v>92</v>
      </c>
      <c r="I1031" s="5">
        <f t="shared" si="23"/>
        <v>323</v>
      </c>
      <c r="M1031" s="2">
        <v>44518</v>
      </c>
    </row>
    <row r="1032" spans="1:13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v>100</v>
      </c>
      <c r="G1032">
        <f t="shared" si="22"/>
        <v>100</v>
      </c>
      <c r="I1032" s="5">
        <f t="shared" si="23"/>
        <v>323</v>
      </c>
      <c r="M1032" s="2">
        <v>44518</v>
      </c>
    </row>
    <row r="1033" spans="1:13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v>102.7</v>
      </c>
      <c r="G1033">
        <f t="shared" si="22"/>
        <v>102.7</v>
      </c>
      <c r="I1033" s="5">
        <f t="shared" si="23"/>
        <v>324</v>
      </c>
      <c r="M1033" s="2">
        <v>44519</v>
      </c>
    </row>
    <row r="1034" spans="1:13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v>102.5</v>
      </c>
      <c r="G1034">
        <f t="shared" si="22"/>
        <v>102.5</v>
      </c>
      <c r="I1034" s="5">
        <f t="shared" si="23"/>
        <v>334</v>
      </c>
      <c r="M1034" s="2">
        <v>44529</v>
      </c>
    </row>
    <row r="1035" spans="1:13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v>105.9</v>
      </c>
      <c r="G1035">
        <f t="shared" si="22"/>
        <v>105.9</v>
      </c>
      <c r="I1035" s="5">
        <f t="shared" si="23"/>
        <v>323</v>
      </c>
      <c r="M1035" s="2">
        <v>44518</v>
      </c>
    </row>
    <row r="1036" spans="1:13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v>110.1</v>
      </c>
      <c r="G1036">
        <f t="shared" si="22"/>
        <v>110.1</v>
      </c>
      <c r="I1036" s="5">
        <f t="shared" si="23"/>
        <v>327</v>
      </c>
      <c r="M1036" s="2">
        <v>44522</v>
      </c>
    </row>
    <row r="1037" spans="1:13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v>108.5</v>
      </c>
      <c r="G1037">
        <f t="shared" si="22"/>
        <v>108.5</v>
      </c>
      <c r="I1037" s="5">
        <f t="shared" si="23"/>
        <v>323</v>
      </c>
      <c r="M1037" s="2">
        <v>44518</v>
      </c>
    </row>
    <row r="1038" spans="1:13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v>82.8</v>
      </c>
      <c r="G1038">
        <f t="shared" si="22"/>
        <v>82.8</v>
      </c>
      <c r="I1038" s="5">
        <f t="shared" si="23"/>
        <v>324</v>
      </c>
      <c r="M1038" s="2">
        <v>44519</v>
      </c>
    </row>
    <row r="1039" spans="1:13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v>96.5</v>
      </c>
      <c r="G1039">
        <f t="shared" si="22"/>
        <v>96.5</v>
      </c>
      <c r="I1039" s="5">
        <f t="shared" si="23"/>
        <v>334</v>
      </c>
      <c r="M1039" s="2">
        <v>44529</v>
      </c>
    </row>
    <row r="1040" spans="1:13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v>109</v>
      </c>
      <c r="G1040">
        <f t="shared" si="22"/>
        <v>109</v>
      </c>
      <c r="I1040" s="5">
        <f t="shared" si="23"/>
        <v>323</v>
      </c>
      <c r="M1040" s="2">
        <v>44518</v>
      </c>
    </row>
    <row r="1041" spans="1:13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v>118.6</v>
      </c>
      <c r="G1041">
        <f t="shared" si="22"/>
        <v>118.6</v>
      </c>
      <c r="I1041" s="5">
        <f t="shared" si="23"/>
        <v>327</v>
      </c>
      <c r="M1041" s="2">
        <v>44522</v>
      </c>
    </row>
    <row r="1042" spans="1:13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v>122</v>
      </c>
      <c r="G1042">
        <f t="shared" si="22"/>
        <v>122</v>
      </c>
      <c r="I1042" s="5">
        <f t="shared" si="23"/>
        <v>323</v>
      </c>
      <c r="M1042" s="2">
        <v>44518</v>
      </c>
    </row>
    <row r="1043" spans="1:13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v>130.69999999999999</v>
      </c>
      <c r="G1043">
        <f t="shared" si="22"/>
        <v>130.69999999999999</v>
      </c>
      <c r="I1043" s="5">
        <f t="shared" si="23"/>
        <v>324</v>
      </c>
      <c r="M1043" s="2">
        <v>44519</v>
      </c>
    </row>
    <row r="1044" spans="1:13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v>130.80000000000001</v>
      </c>
      <c r="G1044">
        <f t="shared" si="22"/>
        <v>130.80000000000001</v>
      </c>
      <c r="I1044" s="5">
        <f t="shared" si="23"/>
        <v>334</v>
      </c>
      <c r="M1044" s="2">
        <v>44529</v>
      </c>
    </row>
    <row r="1045" spans="1:13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v>131.6</v>
      </c>
      <c r="G1045">
        <f t="shared" si="22"/>
        <v>131.6</v>
      </c>
      <c r="I1045" s="5">
        <f t="shared" si="23"/>
        <v>323</v>
      </c>
      <c r="M1045" s="2">
        <v>44518</v>
      </c>
    </row>
    <row r="1046" spans="1:13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v>134.6</v>
      </c>
      <c r="G1046">
        <v>124.47</v>
      </c>
      <c r="H1046" t="s">
        <v>27</v>
      </c>
      <c r="I1046" s="5">
        <f t="shared" si="23"/>
        <v>327</v>
      </c>
      <c r="M1046" s="2">
        <v>44522</v>
      </c>
    </row>
    <row r="1047" spans="1:13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v>134.80000000000001</v>
      </c>
      <c r="G1047">
        <f t="shared" si="22"/>
        <v>134.80000000000001</v>
      </c>
      <c r="I1047" s="5">
        <f t="shared" si="23"/>
        <v>323</v>
      </c>
      <c r="M1047" s="2">
        <v>44518</v>
      </c>
    </row>
    <row r="1048" spans="1:13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v>134.30000000000001</v>
      </c>
      <c r="G1048">
        <f t="shared" si="22"/>
        <v>134.30000000000001</v>
      </c>
      <c r="I1048" s="5">
        <f t="shared" si="23"/>
        <v>324</v>
      </c>
      <c r="M1048" s="2">
        <v>44519</v>
      </c>
    </row>
    <row r="1049" spans="1:13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73.099999999999994</v>
      </c>
      <c r="G1049">
        <f t="shared" si="22"/>
        <v>73.099999999999994</v>
      </c>
      <c r="I1049" s="5">
        <f t="shared" si="23"/>
        <v>334</v>
      </c>
      <c r="M1049" s="2">
        <v>44529</v>
      </c>
    </row>
    <row r="1050" spans="1:13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v>85.9</v>
      </c>
      <c r="G1050">
        <f t="shared" si="22"/>
        <v>85.9</v>
      </c>
      <c r="I1050" s="5">
        <f t="shared" si="23"/>
        <v>323</v>
      </c>
      <c r="M1050" s="2">
        <v>44518</v>
      </c>
    </row>
    <row r="1051" spans="1:13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v>91</v>
      </c>
      <c r="G1051">
        <f t="shared" si="22"/>
        <v>91</v>
      </c>
      <c r="I1051" s="5">
        <f t="shared" si="23"/>
        <v>327</v>
      </c>
      <c r="M1051" s="2">
        <v>44522</v>
      </c>
    </row>
    <row r="1052" spans="1:13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v>102.2</v>
      </c>
      <c r="G1052">
        <f t="shared" si="22"/>
        <v>102.2</v>
      </c>
      <c r="I1052" s="5">
        <f t="shared" si="23"/>
        <v>323</v>
      </c>
      <c r="M1052" s="2">
        <v>44518</v>
      </c>
    </row>
    <row r="1053" spans="1:13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v>107.1</v>
      </c>
      <c r="G1053">
        <f t="shared" si="22"/>
        <v>107.1</v>
      </c>
      <c r="I1053" s="5">
        <f t="shared" si="23"/>
        <v>324</v>
      </c>
      <c r="M1053" s="2">
        <v>44519</v>
      </c>
    </row>
    <row r="1054" spans="1:13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v>113.7</v>
      </c>
      <c r="G1054">
        <f t="shared" si="22"/>
        <v>113.7</v>
      </c>
      <c r="I1054" s="5">
        <f t="shared" si="23"/>
        <v>334</v>
      </c>
      <c r="M1054" s="2">
        <v>44529</v>
      </c>
    </row>
    <row r="1055" spans="1:13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v>111.4</v>
      </c>
      <c r="G1055">
        <f t="shared" si="22"/>
        <v>111.4</v>
      </c>
      <c r="I1055" s="5">
        <f t="shared" si="23"/>
        <v>323</v>
      </c>
      <c r="M1055" s="2">
        <v>44518</v>
      </c>
    </row>
    <row r="1056" spans="1:13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v>118.6</v>
      </c>
      <c r="G1056">
        <f t="shared" si="22"/>
        <v>118.6</v>
      </c>
      <c r="I1056" s="5">
        <f t="shared" si="23"/>
        <v>327</v>
      </c>
      <c r="M1056" s="2">
        <v>44522</v>
      </c>
    </row>
    <row r="1057" spans="1:13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v>120.7</v>
      </c>
      <c r="G1057">
        <f t="shared" si="22"/>
        <v>120.7</v>
      </c>
      <c r="I1057" s="5">
        <f t="shared" si="23"/>
        <v>323</v>
      </c>
      <c r="M1057" s="2">
        <v>44518</v>
      </c>
    </row>
    <row r="1058" spans="1:13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v>127</v>
      </c>
      <c r="G1058">
        <f t="shared" si="22"/>
        <v>127</v>
      </c>
      <c r="I1058" s="5">
        <f t="shared" si="23"/>
        <v>324</v>
      </c>
      <c r="M1058" s="2">
        <v>44519</v>
      </c>
    </row>
    <row r="1059" spans="1:13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v>126.8</v>
      </c>
      <c r="G1059">
        <f t="shared" si="22"/>
        <v>126.8</v>
      </c>
      <c r="I1059" s="5">
        <f t="shared" si="23"/>
        <v>334</v>
      </c>
      <c r="M1059" s="2">
        <v>44529</v>
      </c>
    </row>
    <row r="1060" spans="1:13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v>69.599999999999994</v>
      </c>
      <c r="G1060">
        <f t="shared" si="22"/>
        <v>69.599999999999994</v>
      </c>
      <c r="I1060" s="5">
        <f t="shared" si="23"/>
        <v>323</v>
      </c>
      <c r="M1060" s="2">
        <v>44518</v>
      </c>
    </row>
    <row r="1061" spans="1:13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v>80.2</v>
      </c>
      <c r="G1061">
        <f t="shared" si="22"/>
        <v>80.2</v>
      </c>
      <c r="I1061" s="5">
        <f t="shared" si="23"/>
        <v>327</v>
      </c>
      <c r="M1061" s="2">
        <v>44522</v>
      </c>
    </row>
    <row r="1062" spans="1:13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v>85.8</v>
      </c>
      <c r="G1062">
        <f t="shared" si="22"/>
        <v>85.8</v>
      </c>
      <c r="I1062" s="5">
        <f t="shared" si="23"/>
        <v>323</v>
      </c>
      <c r="M1062" s="2">
        <v>44518</v>
      </c>
    </row>
    <row r="1063" spans="1:13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v>96.4</v>
      </c>
      <c r="G1063">
        <f t="shared" ref="G1063:G1126" si="24">F1063</f>
        <v>96.4</v>
      </c>
      <c r="I1063" s="5">
        <f t="shared" si="23"/>
        <v>324</v>
      </c>
      <c r="M1063" s="2">
        <v>44519</v>
      </c>
    </row>
    <row r="1064" spans="1:13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v>106.7</v>
      </c>
      <c r="G1064">
        <f t="shared" si="24"/>
        <v>106.7</v>
      </c>
      <c r="I1064" s="5">
        <f t="shared" si="23"/>
        <v>334</v>
      </c>
      <c r="M1064" s="2">
        <v>44529</v>
      </c>
    </row>
    <row r="1065" spans="1:13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v>114</v>
      </c>
      <c r="G1065">
        <f t="shared" si="24"/>
        <v>114</v>
      </c>
      <c r="I1065" s="5">
        <f t="shared" si="23"/>
        <v>323</v>
      </c>
      <c r="M1065" s="2">
        <v>44518</v>
      </c>
    </row>
    <row r="1066" spans="1:13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v>111.3</v>
      </c>
      <c r="G1066">
        <f t="shared" si="24"/>
        <v>111.3</v>
      </c>
      <c r="I1066" s="5">
        <f t="shared" si="23"/>
        <v>327</v>
      </c>
      <c r="M1066" s="2">
        <v>44522</v>
      </c>
    </row>
    <row r="1067" spans="1:13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v>109.8</v>
      </c>
      <c r="G1067">
        <f t="shared" si="24"/>
        <v>109.8</v>
      </c>
      <c r="I1067" s="5">
        <f t="shared" si="23"/>
        <v>323</v>
      </c>
      <c r="M1067" s="2">
        <v>44518</v>
      </c>
    </row>
    <row r="1068" spans="1:13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v>112.7</v>
      </c>
      <c r="G1068">
        <f t="shared" si="24"/>
        <v>112.7</v>
      </c>
      <c r="I1068" s="5">
        <f t="shared" si="23"/>
        <v>324</v>
      </c>
      <c r="M1068" s="2">
        <v>44519</v>
      </c>
    </row>
    <row r="1069" spans="1:13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v>115.6</v>
      </c>
      <c r="G1069">
        <f t="shared" si="24"/>
        <v>115.6</v>
      </c>
      <c r="I1069" s="5">
        <f t="shared" si="23"/>
        <v>334</v>
      </c>
      <c r="M1069" s="2">
        <v>44529</v>
      </c>
    </row>
    <row r="1070" spans="1:13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v>117.9</v>
      </c>
      <c r="G1070">
        <f t="shared" si="24"/>
        <v>117.9</v>
      </c>
      <c r="I1070" s="5">
        <f t="shared" si="23"/>
        <v>323</v>
      </c>
      <c r="M1070" s="2">
        <v>44518</v>
      </c>
    </row>
    <row r="1071" spans="1:13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v>83.4</v>
      </c>
      <c r="G1071">
        <f t="shared" si="24"/>
        <v>83.4</v>
      </c>
      <c r="I1071" s="5">
        <f t="shared" si="23"/>
        <v>327</v>
      </c>
      <c r="M1071" s="2">
        <v>44522</v>
      </c>
    </row>
    <row r="1072" spans="1:13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v>94.3</v>
      </c>
      <c r="G1072">
        <f t="shared" si="24"/>
        <v>94.3</v>
      </c>
      <c r="I1072" s="5">
        <f t="shared" si="23"/>
        <v>323</v>
      </c>
      <c r="M1072" s="2">
        <v>44518</v>
      </c>
    </row>
    <row r="1073" spans="1:13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v>102.9</v>
      </c>
      <c r="G1073">
        <f t="shared" si="24"/>
        <v>102.9</v>
      </c>
      <c r="I1073" s="5">
        <f t="shared" si="23"/>
        <v>324</v>
      </c>
      <c r="M1073" s="2">
        <v>44519</v>
      </c>
    </row>
    <row r="1074" spans="1:13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v>104</v>
      </c>
      <c r="G1074">
        <f t="shared" si="24"/>
        <v>104</v>
      </c>
      <c r="I1074" s="5">
        <f t="shared" si="23"/>
        <v>334</v>
      </c>
      <c r="M1074" s="2">
        <v>44529</v>
      </c>
    </row>
    <row r="1075" spans="1:13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v>113.4</v>
      </c>
      <c r="G1075">
        <f t="shared" si="24"/>
        <v>113.4</v>
      </c>
      <c r="I1075" s="5">
        <f t="shared" si="23"/>
        <v>323</v>
      </c>
      <c r="M1075" s="2">
        <v>44518</v>
      </c>
    </row>
    <row r="1076" spans="1:13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v>125.8</v>
      </c>
      <c r="G1076">
        <f t="shared" si="24"/>
        <v>125.8</v>
      </c>
      <c r="I1076" s="5">
        <f t="shared" si="23"/>
        <v>327</v>
      </c>
      <c r="M1076" s="2">
        <v>44522</v>
      </c>
    </row>
    <row r="1077" spans="1:13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v>132.9</v>
      </c>
      <c r="G1077">
        <f t="shared" si="24"/>
        <v>132.9</v>
      </c>
      <c r="I1077" s="5">
        <f t="shared" si="23"/>
        <v>323</v>
      </c>
      <c r="M1077" s="2">
        <v>44518</v>
      </c>
    </row>
    <row r="1078" spans="1:13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v>139.80000000000001</v>
      </c>
      <c r="G1078">
        <f t="shared" si="24"/>
        <v>139.80000000000001</v>
      </c>
      <c r="I1078" s="5">
        <f t="shared" si="23"/>
        <v>324</v>
      </c>
      <c r="M1078" s="2">
        <v>44519</v>
      </c>
    </row>
    <row r="1079" spans="1:13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v>135.1</v>
      </c>
      <c r="G1079">
        <f t="shared" si="24"/>
        <v>135.1</v>
      </c>
      <c r="I1079" s="5">
        <f t="shared" si="23"/>
        <v>334</v>
      </c>
      <c r="M1079" s="2">
        <v>44529</v>
      </c>
    </row>
    <row r="1080" spans="1:13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v>138.1</v>
      </c>
      <c r="G1080">
        <f t="shared" si="24"/>
        <v>138.1</v>
      </c>
      <c r="I1080" s="5">
        <f t="shared" ref="I1080:I1081" si="25" xml:space="preserve"> DATEDIF(DATE(YEAR(M1080),1,0),M1080,"d")+1</f>
        <v>323</v>
      </c>
      <c r="M1080" s="2">
        <v>44518</v>
      </c>
    </row>
    <row r="1081" spans="1:13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v>142</v>
      </c>
      <c r="G1081">
        <f t="shared" si="24"/>
        <v>142</v>
      </c>
      <c r="I1081" s="5">
        <f t="shared" si="25"/>
        <v>327</v>
      </c>
      <c r="M1081" s="2">
        <v>44522</v>
      </c>
    </row>
    <row r="1082" spans="1:13" x14ac:dyDescent="0.25">
      <c r="A1082" t="s">
        <v>21</v>
      </c>
      <c r="B1082" s="2">
        <v>44607</v>
      </c>
      <c r="C1082">
        <v>2022</v>
      </c>
      <c r="E1082" t="s">
        <v>9</v>
      </c>
      <c r="F1082">
        <v>66.400000000000006</v>
      </c>
      <c r="G1082">
        <f t="shared" si="24"/>
        <v>66.400000000000006</v>
      </c>
      <c r="I1082" s="4">
        <f t="shared" ref="I1082:I1145" si="26" xml:space="preserve"> DATEDIF(DATE(YEAR(M1082),1,0),M1082,"d")+1</f>
        <v>326</v>
      </c>
      <c r="M1082" s="2">
        <v>44886</v>
      </c>
    </row>
    <row r="1083" spans="1:13" x14ac:dyDescent="0.25">
      <c r="A1083" t="s">
        <v>21</v>
      </c>
      <c r="B1083" s="2">
        <v>44608</v>
      </c>
      <c r="C1083">
        <v>2022</v>
      </c>
      <c r="E1083" t="s">
        <v>9</v>
      </c>
      <c r="F1083">
        <v>76.599999999999994</v>
      </c>
      <c r="G1083">
        <f t="shared" si="24"/>
        <v>76.599999999999994</v>
      </c>
      <c r="I1083" s="4">
        <f t="shared" si="26"/>
        <v>327</v>
      </c>
      <c r="M1083" s="2">
        <v>44887</v>
      </c>
    </row>
    <row r="1084" spans="1:13" x14ac:dyDescent="0.25">
      <c r="A1084" t="s">
        <v>21</v>
      </c>
      <c r="B1084" s="2">
        <v>44622</v>
      </c>
      <c r="C1084">
        <v>2022</v>
      </c>
      <c r="E1084" t="s">
        <v>9</v>
      </c>
      <c r="F1084">
        <v>82.4</v>
      </c>
      <c r="G1084">
        <f t="shared" si="24"/>
        <v>82.4</v>
      </c>
      <c r="I1084" s="4">
        <f t="shared" si="26"/>
        <v>333</v>
      </c>
      <c r="M1084" s="2">
        <v>44893</v>
      </c>
    </row>
    <row r="1085" spans="1:13" x14ac:dyDescent="0.25">
      <c r="A1085" t="s">
        <v>21</v>
      </c>
      <c r="B1085" s="2">
        <v>44622</v>
      </c>
      <c r="C1085">
        <v>2022</v>
      </c>
      <c r="E1085" t="s">
        <v>9</v>
      </c>
      <c r="F1085">
        <v>99.9</v>
      </c>
      <c r="G1085">
        <f t="shared" si="24"/>
        <v>99.9</v>
      </c>
      <c r="I1085" s="4">
        <f t="shared" si="26"/>
        <v>326</v>
      </c>
      <c r="M1085" s="2">
        <v>44886</v>
      </c>
    </row>
    <row r="1086" spans="1:13" x14ac:dyDescent="0.25">
      <c r="A1086" t="s">
        <v>21</v>
      </c>
      <c r="B1086" s="2">
        <v>44635</v>
      </c>
      <c r="C1086">
        <v>2022</v>
      </c>
      <c r="E1086" t="s">
        <v>9</v>
      </c>
      <c r="F1086">
        <v>91.4</v>
      </c>
      <c r="G1086">
        <f t="shared" si="24"/>
        <v>91.4</v>
      </c>
      <c r="I1086" s="4">
        <f t="shared" si="26"/>
        <v>330</v>
      </c>
      <c r="M1086" s="2">
        <v>44890</v>
      </c>
    </row>
    <row r="1087" spans="1:13" x14ac:dyDescent="0.25">
      <c r="A1087" t="s">
        <v>21</v>
      </c>
      <c r="B1087" s="2">
        <v>44662</v>
      </c>
      <c r="C1087">
        <v>2022</v>
      </c>
      <c r="E1087" t="s">
        <v>9</v>
      </c>
      <c r="F1087">
        <v>103.4</v>
      </c>
      <c r="G1087">
        <f t="shared" si="24"/>
        <v>103.4</v>
      </c>
      <c r="I1087" s="4">
        <f t="shared" si="26"/>
        <v>326</v>
      </c>
      <c r="M1087" s="2">
        <v>44886</v>
      </c>
    </row>
    <row r="1088" spans="1:13" x14ac:dyDescent="0.25">
      <c r="A1088" t="s">
        <v>21</v>
      </c>
      <c r="B1088" s="2">
        <v>44669</v>
      </c>
      <c r="C1088">
        <v>2022</v>
      </c>
      <c r="E1088" t="s">
        <v>9</v>
      </c>
      <c r="F1088">
        <v>107.5</v>
      </c>
      <c r="G1088">
        <f t="shared" si="24"/>
        <v>107.5</v>
      </c>
      <c r="I1088" s="4">
        <f t="shared" si="26"/>
        <v>327</v>
      </c>
      <c r="M1088" s="2">
        <v>44887</v>
      </c>
    </row>
    <row r="1089" spans="1:13" x14ac:dyDescent="0.25">
      <c r="A1089" t="s">
        <v>21</v>
      </c>
      <c r="B1089" s="2">
        <v>44677</v>
      </c>
      <c r="C1089">
        <v>2022</v>
      </c>
      <c r="E1089" t="s">
        <v>9</v>
      </c>
      <c r="F1089">
        <v>110</v>
      </c>
      <c r="G1089">
        <f t="shared" si="24"/>
        <v>110</v>
      </c>
      <c r="I1089" s="4">
        <f t="shared" si="26"/>
        <v>333</v>
      </c>
      <c r="M1089" s="2">
        <v>44893</v>
      </c>
    </row>
    <row r="1090" spans="1:13" x14ac:dyDescent="0.25">
      <c r="A1090" t="s">
        <v>21</v>
      </c>
      <c r="B1090" s="2">
        <v>44683</v>
      </c>
      <c r="C1090">
        <v>2022</v>
      </c>
      <c r="E1090" t="s">
        <v>9</v>
      </c>
      <c r="F1090">
        <v>111.3</v>
      </c>
      <c r="G1090">
        <f t="shared" si="24"/>
        <v>111.3</v>
      </c>
      <c r="I1090" s="4">
        <f t="shared" si="26"/>
        <v>326</v>
      </c>
      <c r="M1090" s="2">
        <v>44886</v>
      </c>
    </row>
    <row r="1091" spans="1:13" x14ac:dyDescent="0.25">
      <c r="A1091" t="s">
        <v>21</v>
      </c>
      <c r="B1091" s="2">
        <v>44697</v>
      </c>
      <c r="C1091">
        <v>2022</v>
      </c>
      <c r="E1091" t="s">
        <v>9</v>
      </c>
      <c r="F1091">
        <v>115.8</v>
      </c>
      <c r="G1091">
        <f t="shared" si="24"/>
        <v>115.8</v>
      </c>
      <c r="H1091" t="s">
        <v>27</v>
      </c>
      <c r="I1091" s="4">
        <f t="shared" si="26"/>
        <v>330</v>
      </c>
      <c r="M1091" s="2">
        <v>44890</v>
      </c>
    </row>
    <row r="1092" spans="1:13" x14ac:dyDescent="0.25">
      <c r="A1092" t="s">
        <v>21</v>
      </c>
      <c r="B1092" s="2">
        <v>44711</v>
      </c>
      <c r="C1092">
        <v>2022</v>
      </c>
      <c r="E1092" t="s">
        <v>9</v>
      </c>
      <c r="F1092">
        <v>115.8</v>
      </c>
      <c r="G1092">
        <f t="shared" si="24"/>
        <v>115.8</v>
      </c>
      <c r="I1092" s="4">
        <f t="shared" si="26"/>
        <v>326</v>
      </c>
      <c r="M1092" s="2">
        <v>44886</v>
      </c>
    </row>
    <row r="1093" spans="1:13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v>67.400000000000006</v>
      </c>
      <c r="G1093">
        <f t="shared" si="24"/>
        <v>67.400000000000006</v>
      </c>
      <c r="I1093" s="5">
        <f t="shared" si="26"/>
        <v>330</v>
      </c>
      <c r="M1093" s="2">
        <v>44890</v>
      </c>
    </row>
    <row r="1094" spans="1:13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v>75.3</v>
      </c>
      <c r="G1094">
        <f t="shared" si="24"/>
        <v>75.3</v>
      </c>
      <c r="I1094" s="5">
        <f t="shared" si="26"/>
        <v>326</v>
      </c>
      <c r="M1094" s="2">
        <v>44886</v>
      </c>
    </row>
    <row r="1095" spans="1:13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v>83.9</v>
      </c>
      <c r="G1095">
        <f t="shared" si="24"/>
        <v>83.9</v>
      </c>
      <c r="I1095" s="5">
        <f t="shared" si="26"/>
        <v>327</v>
      </c>
      <c r="M1095" s="2">
        <v>44887</v>
      </c>
    </row>
    <row r="1096" spans="1:13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v>94.4</v>
      </c>
      <c r="G1096">
        <f t="shared" si="24"/>
        <v>94.4</v>
      </c>
      <c r="I1096" s="5">
        <f t="shared" si="26"/>
        <v>333</v>
      </c>
      <c r="M1096" s="2">
        <v>44893</v>
      </c>
    </row>
    <row r="1097" spans="1:13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v>100.6</v>
      </c>
      <c r="G1097">
        <f t="shared" si="24"/>
        <v>100.6</v>
      </c>
      <c r="I1097" s="5">
        <f t="shared" si="26"/>
        <v>326</v>
      </c>
      <c r="M1097" s="2">
        <v>44886</v>
      </c>
    </row>
    <row r="1098" spans="1:13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v>103</v>
      </c>
      <c r="G1098">
        <f t="shared" si="24"/>
        <v>103</v>
      </c>
      <c r="I1098" s="5">
        <f t="shared" si="26"/>
        <v>326</v>
      </c>
      <c r="M1098" s="2">
        <v>44886</v>
      </c>
    </row>
    <row r="1099" spans="1:13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v>110.6</v>
      </c>
      <c r="G1099">
        <f t="shared" si="24"/>
        <v>110.6</v>
      </c>
      <c r="I1099" s="5">
        <f t="shared" si="26"/>
        <v>326</v>
      </c>
      <c r="M1099" s="2">
        <v>44886</v>
      </c>
    </row>
    <row r="1100" spans="1:13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v>114.6</v>
      </c>
      <c r="G1100">
        <v>121.39</v>
      </c>
      <c r="H1100" t="s">
        <v>27</v>
      </c>
      <c r="I1100" s="5">
        <f t="shared" si="26"/>
        <v>327</v>
      </c>
      <c r="M1100" s="2">
        <v>44887</v>
      </c>
    </row>
    <row r="1101" spans="1:13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v>116.7</v>
      </c>
      <c r="G1101">
        <f t="shared" si="24"/>
        <v>116.7</v>
      </c>
      <c r="I1101" s="5">
        <f t="shared" si="26"/>
        <v>333</v>
      </c>
      <c r="M1101" s="2">
        <v>44893</v>
      </c>
    </row>
    <row r="1102" spans="1:13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v>118.8</v>
      </c>
      <c r="G1102">
        <f t="shared" si="24"/>
        <v>118.8</v>
      </c>
      <c r="I1102" s="5">
        <f t="shared" si="26"/>
        <v>330</v>
      </c>
      <c r="M1102" s="2">
        <v>44890</v>
      </c>
    </row>
    <row r="1103" spans="1:13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v>114.3</v>
      </c>
      <c r="G1103">
        <f t="shared" si="24"/>
        <v>114.3</v>
      </c>
      <c r="I1103" s="5">
        <f t="shared" si="26"/>
        <v>326</v>
      </c>
      <c r="M1103" s="2">
        <v>44886</v>
      </c>
    </row>
    <row r="1104" spans="1:13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v>80</v>
      </c>
      <c r="G1104">
        <f t="shared" si="24"/>
        <v>80</v>
      </c>
      <c r="I1104" s="5">
        <f t="shared" si="26"/>
        <v>327</v>
      </c>
      <c r="M1104" s="2">
        <v>44887</v>
      </c>
    </row>
    <row r="1105" spans="1:13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v>90.7</v>
      </c>
      <c r="G1105">
        <f t="shared" si="24"/>
        <v>90.7</v>
      </c>
      <c r="I1105" s="5">
        <f t="shared" si="26"/>
        <v>333</v>
      </c>
      <c r="M1105" s="2">
        <v>44893</v>
      </c>
    </row>
    <row r="1106" spans="1:13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v>104.6</v>
      </c>
      <c r="G1106">
        <f t="shared" si="24"/>
        <v>104.6</v>
      </c>
      <c r="I1106" s="5">
        <f t="shared" si="26"/>
        <v>326</v>
      </c>
      <c r="M1106" s="2">
        <v>44886</v>
      </c>
    </row>
    <row r="1107" spans="1:13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v>119.5</v>
      </c>
      <c r="G1107">
        <f t="shared" si="24"/>
        <v>119.5</v>
      </c>
      <c r="I1107" s="5">
        <f t="shared" si="26"/>
        <v>330</v>
      </c>
      <c r="M1107" s="2">
        <v>44890</v>
      </c>
    </row>
    <row r="1108" spans="1:13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v>129.5</v>
      </c>
      <c r="G1108">
        <f t="shared" si="24"/>
        <v>129.5</v>
      </c>
      <c r="I1108" s="5">
        <f t="shared" si="26"/>
        <v>326</v>
      </c>
      <c r="M1108" s="2">
        <v>44886</v>
      </c>
    </row>
    <row r="1109" spans="1:13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v>136.80000000000001</v>
      </c>
      <c r="G1109">
        <f t="shared" si="24"/>
        <v>136.80000000000001</v>
      </c>
      <c r="I1109" s="5">
        <f t="shared" si="26"/>
        <v>327</v>
      </c>
      <c r="M1109" s="2">
        <v>44887</v>
      </c>
    </row>
    <row r="1110" spans="1:13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v>135.19999999999999</v>
      </c>
      <c r="G1110">
        <f t="shared" si="24"/>
        <v>135.19999999999999</v>
      </c>
      <c r="I1110" s="5">
        <f t="shared" si="26"/>
        <v>333</v>
      </c>
      <c r="M1110" s="2">
        <v>44893</v>
      </c>
    </row>
    <row r="1111" spans="1:13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v>141.4</v>
      </c>
      <c r="G1111">
        <f t="shared" si="24"/>
        <v>141.4</v>
      </c>
      <c r="I1111" s="5">
        <f t="shared" si="26"/>
        <v>326</v>
      </c>
      <c r="M1111" s="2">
        <v>44886</v>
      </c>
    </row>
    <row r="1112" spans="1:13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v>140.5</v>
      </c>
      <c r="G1112">
        <f t="shared" si="24"/>
        <v>140.5</v>
      </c>
      <c r="I1112" s="5">
        <f t="shared" si="26"/>
        <v>330</v>
      </c>
      <c r="M1112" s="2">
        <v>44890</v>
      </c>
    </row>
    <row r="1113" spans="1:13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v>142.80000000000001</v>
      </c>
      <c r="G1113">
        <f t="shared" si="24"/>
        <v>142.80000000000001</v>
      </c>
      <c r="I1113" s="5">
        <f t="shared" si="26"/>
        <v>326</v>
      </c>
      <c r="M1113" s="2">
        <v>44886</v>
      </c>
    </row>
    <row r="1114" spans="1:13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v>131</v>
      </c>
      <c r="G1114">
        <f t="shared" si="24"/>
        <v>131</v>
      </c>
      <c r="I1114" s="5">
        <f t="shared" si="26"/>
        <v>330</v>
      </c>
      <c r="M1114" s="2">
        <v>44890</v>
      </c>
    </row>
    <row r="1115" spans="1:13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v>75.400000000000006</v>
      </c>
      <c r="G1115">
        <f t="shared" si="24"/>
        <v>75.400000000000006</v>
      </c>
      <c r="I1115" s="5">
        <f t="shared" si="26"/>
        <v>326</v>
      </c>
      <c r="M1115" s="2">
        <v>44886</v>
      </c>
    </row>
    <row r="1116" spans="1:13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v>86.8</v>
      </c>
      <c r="G1116">
        <f t="shared" si="24"/>
        <v>86.8</v>
      </c>
      <c r="I1116" s="5">
        <f t="shared" si="26"/>
        <v>327</v>
      </c>
      <c r="M1116" s="2">
        <v>44887</v>
      </c>
    </row>
    <row r="1117" spans="1:13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v>93.7</v>
      </c>
      <c r="G1117">
        <f t="shared" si="24"/>
        <v>93.7</v>
      </c>
      <c r="I1117" s="5">
        <f t="shared" si="26"/>
        <v>333</v>
      </c>
      <c r="M1117" s="2">
        <v>44893</v>
      </c>
    </row>
    <row r="1118" spans="1:13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v>104.6</v>
      </c>
      <c r="G1118">
        <f t="shared" si="24"/>
        <v>104.6</v>
      </c>
      <c r="I1118" s="5">
        <f t="shared" si="26"/>
        <v>326</v>
      </c>
      <c r="M1118" s="2">
        <v>44886</v>
      </c>
    </row>
    <row r="1119" spans="1:13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v>114.6</v>
      </c>
      <c r="G1119">
        <f t="shared" si="24"/>
        <v>114.6</v>
      </c>
      <c r="I1119" s="5">
        <f t="shared" si="26"/>
        <v>327</v>
      </c>
      <c r="M1119" s="2">
        <v>44887</v>
      </c>
    </row>
    <row r="1120" spans="1:13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v>128.6</v>
      </c>
      <c r="G1120">
        <f t="shared" si="24"/>
        <v>128.6</v>
      </c>
      <c r="I1120" s="5">
        <f t="shared" si="26"/>
        <v>333</v>
      </c>
      <c r="M1120" s="2">
        <v>44893</v>
      </c>
    </row>
    <row r="1121" spans="1:13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v>129.6</v>
      </c>
      <c r="G1121">
        <f t="shared" si="24"/>
        <v>129.6</v>
      </c>
      <c r="I1121" s="5">
        <f t="shared" si="26"/>
        <v>326</v>
      </c>
      <c r="M1121" s="2">
        <v>44886</v>
      </c>
    </row>
    <row r="1122" spans="1:13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v>138.69999999999999</v>
      </c>
      <c r="G1122">
        <f t="shared" si="24"/>
        <v>138.69999999999999</v>
      </c>
      <c r="I1122" s="5">
        <f t="shared" si="26"/>
        <v>330</v>
      </c>
      <c r="M1122" s="2">
        <v>44890</v>
      </c>
    </row>
    <row r="1123" spans="1:13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v>136.9</v>
      </c>
      <c r="G1123">
        <f t="shared" si="24"/>
        <v>136.9</v>
      </c>
      <c r="I1123" s="5">
        <f t="shared" si="26"/>
        <v>326</v>
      </c>
      <c r="M1123" s="2">
        <v>44886</v>
      </c>
    </row>
    <row r="1124" spans="1:13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v>131.5</v>
      </c>
      <c r="G1124">
        <f t="shared" si="24"/>
        <v>131.5</v>
      </c>
      <c r="I1124" s="5">
        <f t="shared" si="26"/>
        <v>327</v>
      </c>
      <c r="M1124" s="2">
        <v>44887</v>
      </c>
    </row>
    <row r="1125" spans="1:13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v>133</v>
      </c>
      <c r="G1125">
        <f t="shared" si="24"/>
        <v>133</v>
      </c>
      <c r="I1125" s="5">
        <f t="shared" si="26"/>
        <v>333</v>
      </c>
      <c r="M1125" s="2">
        <v>44893</v>
      </c>
    </row>
    <row r="1126" spans="1:13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v>63.7</v>
      </c>
      <c r="G1126">
        <f t="shared" si="24"/>
        <v>63.7</v>
      </c>
      <c r="I1126" s="5">
        <f t="shared" si="26"/>
        <v>326</v>
      </c>
      <c r="M1126" s="2">
        <v>44886</v>
      </c>
    </row>
    <row r="1127" spans="1:13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v>72.7</v>
      </c>
      <c r="G1127">
        <f t="shared" ref="G1127:G1190" si="27">F1127</f>
        <v>72.7</v>
      </c>
      <c r="I1127" s="5">
        <f t="shared" si="26"/>
        <v>330</v>
      </c>
      <c r="M1127" s="2">
        <v>44890</v>
      </c>
    </row>
    <row r="1128" spans="1:13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v>78.599999999999994</v>
      </c>
      <c r="G1128">
        <f t="shared" si="27"/>
        <v>78.599999999999994</v>
      </c>
      <c r="I1128" s="5">
        <f t="shared" si="26"/>
        <v>326</v>
      </c>
      <c r="M1128" s="2">
        <v>44886</v>
      </c>
    </row>
    <row r="1129" spans="1:13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v>86.5</v>
      </c>
      <c r="G1129">
        <f t="shared" si="27"/>
        <v>86.5</v>
      </c>
      <c r="I1129" s="5">
        <f t="shared" si="26"/>
        <v>327</v>
      </c>
      <c r="M1129" s="2">
        <v>44887</v>
      </c>
    </row>
    <row r="1130" spans="1:13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v>95.4</v>
      </c>
      <c r="G1130">
        <f t="shared" si="27"/>
        <v>95.4</v>
      </c>
      <c r="I1130" s="5">
        <f t="shared" si="26"/>
        <v>333</v>
      </c>
      <c r="M1130" s="2">
        <v>44893</v>
      </c>
    </row>
    <row r="1131" spans="1:13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v>101.4</v>
      </c>
      <c r="G1131">
        <f t="shared" si="27"/>
        <v>101.4</v>
      </c>
      <c r="I1131" s="5">
        <f t="shared" si="26"/>
        <v>326</v>
      </c>
      <c r="M1131" s="2">
        <v>44886</v>
      </c>
    </row>
    <row r="1132" spans="1:13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v>108</v>
      </c>
      <c r="G1132">
        <f t="shared" si="27"/>
        <v>108</v>
      </c>
      <c r="I1132" s="5">
        <f t="shared" si="26"/>
        <v>330</v>
      </c>
      <c r="M1132" s="2">
        <v>44890</v>
      </c>
    </row>
    <row r="1133" spans="1:13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v>112.4</v>
      </c>
      <c r="G1133">
        <f t="shared" si="27"/>
        <v>112.4</v>
      </c>
      <c r="I1133" s="5">
        <f t="shared" si="26"/>
        <v>326</v>
      </c>
      <c r="M1133" s="2">
        <v>44886</v>
      </c>
    </row>
    <row r="1134" spans="1:13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v>117.5</v>
      </c>
      <c r="G1134">
        <f t="shared" si="27"/>
        <v>117.5</v>
      </c>
      <c r="I1134" s="5">
        <f t="shared" si="26"/>
        <v>327</v>
      </c>
      <c r="M1134" s="2">
        <v>44887</v>
      </c>
    </row>
    <row r="1135" spans="1:13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v>116.8</v>
      </c>
      <c r="G1135">
        <f t="shared" si="27"/>
        <v>116.8</v>
      </c>
      <c r="I1135" s="5">
        <f t="shared" si="26"/>
        <v>333</v>
      </c>
      <c r="M1135" s="2">
        <v>44893</v>
      </c>
    </row>
    <row r="1136" spans="1:13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v>113.2</v>
      </c>
      <c r="G1136">
        <f t="shared" si="27"/>
        <v>113.2</v>
      </c>
      <c r="I1136" s="5">
        <f t="shared" si="26"/>
        <v>326</v>
      </c>
      <c r="M1136" s="2">
        <v>44886</v>
      </c>
    </row>
    <row r="1137" spans="1:13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v>61.4</v>
      </c>
      <c r="G1137">
        <f t="shared" si="27"/>
        <v>61.4</v>
      </c>
      <c r="I1137" s="5">
        <f t="shared" si="26"/>
        <v>330</v>
      </c>
      <c r="M1137" s="2">
        <v>44890</v>
      </c>
    </row>
    <row r="1138" spans="1:13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v>67.8</v>
      </c>
      <c r="G1138">
        <f t="shared" si="27"/>
        <v>67.8</v>
      </c>
      <c r="I1138" s="5">
        <f t="shared" si="26"/>
        <v>326</v>
      </c>
      <c r="M1138" s="2">
        <v>44886</v>
      </c>
    </row>
    <row r="1139" spans="1:13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v>73.099999999999994</v>
      </c>
      <c r="G1139">
        <f t="shared" si="27"/>
        <v>73.099999999999994</v>
      </c>
      <c r="I1139" s="5">
        <f t="shared" si="26"/>
        <v>333</v>
      </c>
      <c r="M1139" s="2">
        <v>44893</v>
      </c>
    </row>
    <row r="1140" spans="1:13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v>78.099999999999994</v>
      </c>
      <c r="G1140">
        <f t="shared" si="27"/>
        <v>78.099999999999994</v>
      </c>
      <c r="I1140" s="5">
        <f t="shared" si="26"/>
        <v>326</v>
      </c>
      <c r="M1140" s="2">
        <v>44886</v>
      </c>
    </row>
    <row r="1141" spans="1:13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v>84.1</v>
      </c>
      <c r="G1141">
        <f t="shared" si="27"/>
        <v>84.1</v>
      </c>
      <c r="I1141" s="5">
        <f t="shared" si="26"/>
        <v>327</v>
      </c>
      <c r="M1141" s="2">
        <v>44887</v>
      </c>
    </row>
    <row r="1142" spans="1:13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v>89.9</v>
      </c>
      <c r="G1142">
        <f t="shared" si="27"/>
        <v>89.9</v>
      </c>
      <c r="I1142" s="5">
        <f t="shared" si="26"/>
        <v>330</v>
      </c>
      <c r="M1142" s="2">
        <v>44890</v>
      </c>
    </row>
    <row r="1143" spans="1:13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v>95.9</v>
      </c>
      <c r="G1143">
        <f t="shared" si="27"/>
        <v>95.9</v>
      </c>
      <c r="I1143" s="5">
        <f t="shared" si="26"/>
        <v>326</v>
      </c>
      <c r="M1143" s="2">
        <v>44886</v>
      </c>
    </row>
    <row r="1144" spans="1:13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v>97.4</v>
      </c>
      <c r="G1144">
        <f t="shared" si="27"/>
        <v>97.4</v>
      </c>
      <c r="I1144" s="5">
        <f t="shared" si="26"/>
        <v>327</v>
      </c>
      <c r="M1144" s="2">
        <v>44887</v>
      </c>
    </row>
    <row r="1145" spans="1:13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v>97.8</v>
      </c>
      <c r="G1145">
        <f t="shared" si="27"/>
        <v>97.8</v>
      </c>
      <c r="I1145" s="5">
        <f t="shared" si="26"/>
        <v>333</v>
      </c>
      <c r="M1145" s="2">
        <v>44893</v>
      </c>
    </row>
    <row r="1146" spans="1:13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v>99.8</v>
      </c>
      <c r="G1146">
        <f t="shared" si="27"/>
        <v>99.8</v>
      </c>
      <c r="I1146" s="5">
        <f t="shared" ref="I1146:I1147" si="28" xml:space="preserve"> DATEDIF(DATE(YEAR(M1146),1,0),M1146,"d")+1</f>
        <v>326</v>
      </c>
      <c r="M1146" s="2">
        <v>44886</v>
      </c>
    </row>
    <row r="1147" spans="1:13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v>109.6</v>
      </c>
      <c r="G1147">
        <f t="shared" si="27"/>
        <v>109.6</v>
      </c>
      <c r="I1147" s="5">
        <f t="shared" si="28"/>
        <v>330</v>
      </c>
      <c r="M1147" s="2">
        <v>44890</v>
      </c>
    </row>
    <row r="1148" spans="1:13" x14ac:dyDescent="0.25">
      <c r="A1148" t="s">
        <v>22</v>
      </c>
      <c r="B1148" s="2">
        <v>44949</v>
      </c>
      <c r="C1148">
        <v>2023</v>
      </c>
      <c r="E1148" t="s">
        <v>9</v>
      </c>
      <c r="F1148">
        <v>73.099999999999994</v>
      </c>
      <c r="G1148">
        <f t="shared" si="27"/>
        <v>73.099999999999994</v>
      </c>
      <c r="I1148" s="4">
        <f t="shared" ref="I1148:I1211" si="29" xml:space="preserve"> DATEDIF(DATE(YEAR(M1148),1,0),M1148,"d")+1</f>
        <v>334</v>
      </c>
      <c r="M1148" s="2">
        <v>45259</v>
      </c>
    </row>
    <row r="1149" spans="1:13" x14ac:dyDescent="0.25">
      <c r="A1149" t="s">
        <v>22</v>
      </c>
      <c r="B1149" s="2">
        <v>44971</v>
      </c>
      <c r="C1149">
        <v>2023</v>
      </c>
      <c r="E1149" t="s">
        <v>9</v>
      </c>
      <c r="F1149">
        <v>87.7</v>
      </c>
      <c r="G1149">
        <f t="shared" si="27"/>
        <v>87.7</v>
      </c>
      <c r="I1149" s="4">
        <f t="shared" si="29"/>
        <v>328</v>
      </c>
      <c r="M1149" s="2">
        <v>45253</v>
      </c>
    </row>
    <row r="1150" spans="1:13" x14ac:dyDescent="0.25">
      <c r="A1150" t="s">
        <v>22</v>
      </c>
      <c r="B1150" s="2">
        <v>44987</v>
      </c>
      <c r="C1150">
        <v>2023</v>
      </c>
      <c r="E1150" t="s">
        <v>9</v>
      </c>
      <c r="F1150">
        <v>103</v>
      </c>
      <c r="G1150">
        <f t="shared" si="27"/>
        <v>103</v>
      </c>
      <c r="I1150" s="4">
        <f t="shared" si="29"/>
        <v>326</v>
      </c>
      <c r="M1150" s="2">
        <v>45251</v>
      </c>
    </row>
    <row r="1151" spans="1:13" x14ac:dyDescent="0.25">
      <c r="A1151" t="s">
        <v>22</v>
      </c>
      <c r="B1151" s="2">
        <v>44998</v>
      </c>
      <c r="C1151">
        <v>2023</v>
      </c>
      <c r="E1151" t="s">
        <v>9</v>
      </c>
      <c r="F1151">
        <v>104.4</v>
      </c>
      <c r="G1151">
        <f t="shared" si="27"/>
        <v>104.4</v>
      </c>
      <c r="I1151" s="4">
        <f t="shared" si="29"/>
        <v>333</v>
      </c>
      <c r="M1151" s="2">
        <v>45258</v>
      </c>
    </row>
    <row r="1152" spans="1:13" x14ac:dyDescent="0.25">
      <c r="A1152" t="s">
        <v>22</v>
      </c>
      <c r="B1152" s="2">
        <v>45014</v>
      </c>
      <c r="C1152">
        <v>2023</v>
      </c>
      <c r="E1152" t="s">
        <v>9</v>
      </c>
      <c r="F1152">
        <v>120.2</v>
      </c>
      <c r="G1152">
        <f t="shared" si="27"/>
        <v>120.2</v>
      </c>
      <c r="I1152" s="4">
        <f t="shared" si="29"/>
        <v>327</v>
      </c>
      <c r="M1152" s="2">
        <v>45252</v>
      </c>
    </row>
    <row r="1153" spans="1:13" x14ac:dyDescent="0.25">
      <c r="A1153" t="s">
        <v>22</v>
      </c>
      <c r="B1153" s="2">
        <v>45027</v>
      </c>
      <c r="C1153">
        <v>2023</v>
      </c>
      <c r="E1153" t="s">
        <v>9</v>
      </c>
      <c r="F1153">
        <v>122.5</v>
      </c>
      <c r="G1153">
        <f t="shared" si="27"/>
        <v>122.5</v>
      </c>
      <c r="I1153" s="4">
        <f t="shared" si="29"/>
        <v>328</v>
      </c>
      <c r="M1153" s="2">
        <v>45253</v>
      </c>
    </row>
    <row r="1154" spans="1:13" x14ac:dyDescent="0.25">
      <c r="A1154" t="s">
        <v>22</v>
      </c>
      <c r="B1154" s="2">
        <v>45040</v>
      </c>
      <c r="C1154">
        <v>2023</v>
      </c>
      <c r="E1154" t="s">
        <v>9</v>
      </c>
      <c r="F1154">
        <v>126.6</v>
      </c>
      <c r="G1154">
        <f t="shared" si="27"/>
        <v>126.6</v>
      </c>
      <c r="I1154" s="4">
        <f t="shared" si="29"/>
        <v>333</v>
      </c>
      <c r="M1154" s="2">
        <v>45258</v>
      </c>
    </row>
    <row r="1155" spans="1:13" x14ac:dyDescent="0.25">
      <c r="A1155" t="s">
        <v>22</v>
      </c>
      <c r="B1155" s="2">
        <v>45047</v>
      </c>
      <c r="C1155">
        <v>2023</v>
      </c>
      <c r="E1155" t="s">
        <v>9</v>
      </c>
      <c r="F1155">
        <v>126.7</v>
      </c>
      <c r="G1155">
        <f t="shared" si="27"/>
        <v>126.7</v>
      </c>
      <c r="I1155" s="4">
        <f t="shared" si="29"/>
        <v>334</v>
      </c>
      <c r="M1155" s="2">
        <v>45259</v>
      </c>
    </row>
    <row r="1156" spans="1:13" x14ac:dyDescent="0.25">
      <c r="A1156" t="s">
        <v>22</v>
      </c>
      <c r="B1156" s="2">
        <v>45062</v>
      </c>
      <c r="C1156">
        <v>2023</v>
      </c>
      <c r="E1156" t="s">
        <v>9</v>
      </c>
      <c r="F1156">
        <v>129</v>
      </c>
      <c r="G1156">
        <f t="shared" si="27"/>
        <v>129</v>
      </c>
      <c r="H1156" t="s">
        <v>27</v>
      </c>
      <c r="I1156" s="4">
        <f t="shared" si="29"/>
        <v>326</v>
      </c>
      <c r="M1156" s="2">
        <v>45251</v>
      </c>
    </row>
    <row r="1157" spans="1:13" x14ac:dyDescent="0.25">
      <c r="A1157" t="s">
        <v>22</v>
      </c>
      <c r="B1157" s="2">
        <v>45076</v>
      </c>
      <c r="C1157">
        <v>2023</v>
      </c>
      <c r="E1157" t="s">
        <v>9</v>
      </c>
      <c r="F1157">
        <v>129.19999999999999</v>
      </c>
      <c r="G1157">
        <f t="shared" si="27"/>
        <v>129.19999999999999</v>
      </c>
      <c r="I1157" s="4">
        <f t="shared" si="29"/>
        <v>327</v>
      </c>
      <c r="M1157" s="2">
        <v>45252</v>
      </c>
    </row>
    <row r="1158" spans="1:13" x14ac:dyDescent="0.25">
      <c r="A1158" t="s">
        <v>22</v>
      </c>
      <c r="B1158" s="2">
        <v>45083</v>
      </c>
      <c r="C1158">
        <v>2023</v>
      </c>
      <c r="E1158" t="s">
        <v>9</v>
      </c>
      <c r="F1158">
        <v>126.5</v>
      </c>
      <c r="G1158">
        <f t="shared" si="27"/>
        <v>126.5</v>
      </c>
      <c r="I1158" s="4">
        <f t="shared" si="29"/>
        <v>334</v>
      </c>
      <c r="M1158" s="2">
        <v>45259</v>
      </c>
    </row>
    <row r="1159" spans="1:13" hidden="1" x14ac:dyDescent="0.25">
      <c r="A1159" t="s">
        <v>18</v>
      </c>
      <c r="B1159" s="2">
        <v>45316</v>
      </c>
      <c r="C1159">
        <v>2024</v>
      </c>
      <c r="E1159" t="s">
        <v>6</v>
      </c>
      <c r="F1159">
        <v>58</v>
      </c>
      <c r="G1159">
        <f t="shared" si="27"/>
        <v>58</v>
      </c>
      <c r="I1159" s="5">
        <f t="shared" si="29"/>
        <v>326</v>
      </c>
      <c r="M1159" s="2">
        <v>45251</v>
      </c>
    </row>
    <row r="1160" spans="1:13" hidden="1" x14ac:dyDescent="0.25">
      <c r="A1160" t="s">
        <v>18</v>
      </c>
      <c r="B1160" s="2">
        <v>45337</v>
      </c>
      <c r="C1160">
        <v>2024</v>
      </c>
      <c r="E1160" t="s">
        <v>6</v>
      </c>
      <c r="F1160">
        <v>70.2</v>
      </c>
      <c r="G1160">
        <f t="shared" si="27"/>
        <v>70.2</v>
      </c>
      <c r="I1160" s="5">
        <f t="shared" si="29"/>
        <v>333</v>
      </c>
      <c r="M1160" s="2">
        <v>45258</v>
      </c>
    </row>
    <row r="1161" spans="1:13" hidden="1" x14ac:dyDescent="0.25">
      <c r="A1161" t="s">
        <v>18</v>
      </c>
      <c r="B1161" s="2">
        <v>45350</v>
      </c>
      <c r="C1161">
        <v>2024</v>
      </c>
      <c r="E1161" t="s">
        <v>6</v>
      </c>
      <c r="F1161">
        <v>77.8</v>
      </c>
      <c r="G1161">
        <f t="shared" si="27"/>
        <v>77.8</v>
      </c>
      <c r="I1161" s="5">
        <f t="shared" si="29"/>
        <v>327</v>
      </c>
      <c r="M1161" s="2">
        <v>45252</v>
      </c>
    </row>
    <row r="1162" spans="1:13" hidden="1" x14ac:dyDescent="0.25">
      <c r="A1162" t="s">
        <v>18</v>
      </c>
      <c r="B1162" s="2">
        <v>45364</v>
      </c>
      <c r="C1162">
        <v>2024</v>
      </c>
      <c r="E1162" t="s">
        <v>6</v>
      </c>
      <c r="F1162">
        <v>83.2</v>
      </c>
      <c r="G1162">
        <f t="shared" si="27"/>
        <v>83.2</v>
      </c>
      <c r="I1162" s="5">
        <f t="shared" si="29"/>
        <v>334</v>
      </c>
      <c r="M1162" s="2">
        <v>45259</v>
      </c>
    </row>
    <row r="1163" spans="1:13" hidden="1" x14ac:dyDescent="0.25">
      <c r="A1163" t="s">
        <v>18</v>
      </c>
      <c r="B1163" s="2">
        <v>45378</v>
      </c>
      <c r="C1163">
        <v>2024</v>
      </c>
      <c r="E1163" t="s">
        <v>6</v>
      </c>
      <c r="F1163">
        <v>87</v>
      </c>
      <c r="G1163">
        <f t="shared" si="27"/>
        <v>87</v>
      </c>
      <c r="I1163" s="5">
        <f t="shared" si="29"/>
        <v>328</v>
      </c>
      <c r="M1163" s="2">
        <v>45253</v>
      </c>
    </row>
    <row r="1164" spans="1:13" hidden="1" x14ac:dyDescent="0.25">
      <c r="A1164" t="s">
        <v>18</v>
      </c>
      <c r="B1164" s="2">
        <v>45390</v>
      </c>
      <c r="C1164">
        <v>2024</v>
      </c>
      <c r="E1164" t="s">
        <v>6</v>
      </c>
      <c r="F1164">
        <v>83.7</v>
      </c>
      <c r="G1164">
        <v>95.5</v>
      </c>
      <c r="H1164" t="s">
        <v>27</v>
      </c>
      <c r="I1164" s="5">
        <f t="shared" si="29"/>
        <v>333</v>
      </c>
      <c r="M1164" s="2">
        <v>45258</v>
      </c>
    </row>
    <row r="1165" spans="1:13" hidden="1" x14ac:dyDescent="0.25">
      <c r="A1165" t="s">
        <v>18</v>
      </c>
      <c r="B1165" s="2">
        <v>45404</v>
      </c>
      <c r="C1165">
        <v>2024</v>
      </c>
      <c r="E1165" t="s">
        <v>6</v>
      </c>
      <c r="F1165">
        <v>87</v>
      </c>
      <c r="G1165">
        <f t="shared" si="27"/>
        <v>87</v>
      </c>
      <c r="I1165" s="5">
        <f t="shared" si="29"/>
        <v>327</v>
      </c>
      <c r="M1165" s="2">
        <v>45252</v>
      </c>
    </row>
    <row r="1166" spans="1:13" hidden="1" x14ac:dyDescent="0.25">
      <c r="A1166" t="s">
        <v>18</v>
      </c>
      <c r="B1166" s="2">
        <v>45414</v>
      </c>
      <c r="C1166">
        <v>2024</v>
      </c>
      <c r="E1166" t="s">
        <v>6</v>
      </c>
      <c r="F1166">
        <v>93</v>
      </c>
      <c r="G1166">
        <f t="shared" si="27"/>
        <v>93</v>
      </c>
      <c r="I1166" s="5">
        <f t="shared" si="29"/>
        <v>334</v>
      </c>
      <c r="M1166" s="2">
        <v>45259</v>
      </c>
    </row>
    <row r="1167" spans="1:13" hidden="1" x14ac:dyDescent="0.25">
      <c r="A1167" t="s">
        <v>18</v>
      </c>
      <c r="B1167" s="2">
        <v>45425</v>
      </c>
      <c r="C1167">
        <v>2024</v>
      </c>
      <c r="E1167" t="s">
        <v>6</v>
      </c>
      <c r="F1167">
        <v>91</v>
      </c>
      <c r="G1167">
        <f t="shared" si="27"/>
        <v>91</v>
      </c>
      <c r="I1167" s="5">
        <f t="shared" si="29"/>
        <v>328</v>
      </c>
      <c r="M1167" s="2">
        <v>45253</v>
      </c>
    </row>
    <row r="1168" spans="1:13" hidden="1" x14ac:dyDescent="0.25">
      <c r="A1168" t="s">
        <v>18</v>
      </c>
      <c r="B1168" s="2">
        <v>45439</v>
      </c>
      <c r="C1168">
        <v>2024</v>
      </c>
      <c r="E1168" t="s">
        <v>6</v>
      </c>
      <c r="F1168">
        <v>98.4</v>
      </c>
      <c r="G1168">
        <f t="shared" si="27"/>
        <v>98.4</v>
      </c>
      <c r="I1168" s="5">
        <f t="shared" si="29"/>
        <v>326</v>
      </c>
      <c r="M1168" s="2">
        <v>45251</v>
      </c>
    </row>
    <row r="1169" spans="1:13" hidden="1" x14ac:dyDescent="0.25">
      <c r="A1169" t="s">
        <v>18</v>
      </c>
      <c r="B1169" s="2">
        <v>45454</v>
      </c>
      <c r="C1169">
        <v>2024</v>
      </c>
      <c r="E1169" t="s">
        <v>6</v>
      </c>
      <c r="F1169">
        <v>84.8</v>
      </c>
      <c r="G1169">
        <f t="shared" si="27"/>
        <v>84.8</v>
      </c>
      <c r="I1169" s="5">
        <f t="shared" si="29"/>
        <v>326</v>
      </c>
      <c r="M1169" s="2">
        <v>45251</v>
      </c>
    </row>
    <row r="1170" spans="1:13" hidden="1" x14ac:dyDescent="0.25">
      <c r="A1170" t="s">
        <v>18</v>
      </c>
      <c r="B1170" s="2">
        <v>45314</v>
      </c>
      <c r="C1170">
        <v>2024</v>
      </c>
      <c r="E1170" t="s">
        <v>6</v>
      </c>
      <c r="F1170">
        <v>65.2</v>
      </c>
      <c r="G1170">
        <f t="shared" si="27"/>
        <v>65.2</v>
      </c>
      <c r="I1170" s="5">
        <f t="shared" si="29"/>
        <v>333</v>
      </c>
      <c r="M1170" s="2">
        <v>45258</v>
      </c>
    </row>
    <row r="1171" spans="1:13" hidden="1" x14ac:dyDescent="0.25">
      <c r="A1171" t="s">
        <v>18</v>
      </c>
      <c r="B1171" s="2">
        <v>45337</v>
      </c>
      <c r="C1171">
        <v>2024</v>
      </c>
      <c r="E1171" t="s">
        <v>6</v>
      </c>
      <c r="F1171">
        <v>83.2</v>
      </c>
      <c r="G1171">
        <f t="shared" si="27"/>
        <v>83.2</v>
      </c>
      <c r="I1171" s="5">
        <f t="shared" si="29"/>
        <v>327</v>
      </c>
      <c r="M1171" s="2">
        <v>45252</v>
      </c>
    </row>
    <row r="1172" spans="1:13" hidden="1" x14ac:dyDescent="0.25">
      <c r="A1172" t="s">
        <v>18</v>
      </c>
      <c r="B1172" s="2">
        <v>45348</v>
      </c>
      <c r="C1172">
        <v>2024</v>
      </c>
      <c r="E1172" t="s">
        <v>6</v>
      </c>
      <c r="F1172">
        <v>84.1</v>
      </c>
      <c r="G1172">
        <f t="shared" si="27"/>
        <v>84.1</v>
      </c>
      <c r="I1172" s="5">
        <f t="shared" si="29"/>
        <v>334</v>
      </c>
      <c r="M1172" s="2">
        <v>45259</v>
      </c>
    </row>
    <row r="1173" spans="1:13" hidden="1" x14ac:dyDescent="0.25">
      <c r="A1173" t="s">
        <v>18</v>
      </c>
      <c r="B1173" s="2">
        <v>45365</v>
      </c>
      <c r="C1173">
        <v>2024</v>
      </c>
      <c r="E1173" t="s">
        <v>6</v>
      </c>
      <c r="F1173">
        <v>93.8</v>
      </c>
      <c r="G1173">
        <f t="shared" si="27"/>
        <v>93.8</v>
      </c>
      <c r="I1173" s="5">
        <f t="shared" si="29"/>
        <v>328</v>
      </c>
      <c r="M1173" s="2">
        <v>45253</v>
      </c>
    </row>
    <row r="1174" spans="1:13" hidden="1" x14ac:dyDescent="0.25">
      <c r="A1174" t="s">
        <v>18</v>
      </c>
      <c r="B1174" s="2">
        <v>45379</v>
      </c>
      <c r="C1174">
        <v>2024</v>
      </c>
      <c r="E1174" t="s">
        <v>6</v>
      </c>
      <c r="F1174">
        <v>99.2</v>
      </c>
      <c r="G1174">
        <f t="shared" si="27"/>
        <v>99.2</v>
      </c>
      <c r="I1174" s="5">
        <f t="shared" si="29"/>
        <v>327</v>
      </c>
      <c r="M1174" s="2">
        <v>45252</v>
      </c>
    </row>
    <row r="1175" spans="1:13" hidden="1" x14ac:dyDescent="0.25">
      <c r="A1175" t="s">
        <v>18</v>
      </c>
      <c r="B1175" s="2">
        <v>45393</v>
      </c>
      <c r="C1175">
        <v>2024</v>
      </c>
      <c r="E1175" t="s">
        <v>6</v>
      </c>
      <c r="F1175">
        <v>103.7</v>
      </c>
      <c r="G1175">
        <f t="shared" si="27"/>
        <v>103.7</v>
      </c>
      <c r="I1175" s="5">
        <f t="shared" si="29"/>
        <v>334</v>
      </c>
      <c r="M1175" s="2">
        <v>45259</v>
      </c>
    </row>
    <row r="1176" spans="1:13" hidden="1" x14ac:dyDescent="0.25">
      <c r="A1176" t="s">
        <v>18</v>
      </c>
      <c r="B1176" s="2">
        <v>45407</v>
      </c>
      <c r="C1176">
        <v>2024</v>
      </c>
      <c r="E1176" t="s">
        <v>6</v>
      </c>
      <c r="F1176">
        <v>108.9</v>
      </c>
      <c r="G1176">
        <f t="shared" si="27"/>
        <v>108.9</v>
      </c>
      <c r="I1176" s="5">
        <f t="shared" si="29"/>
        <v>328</v>
      </c>
      <c r="M1176" s="2">
        <v>45253</v>
      </c>
    </row>
    <row r="1177" spans="1:13" hidden="1" x14ac:dyDescent="0.25">
      <c r="A1177" t="s">
        <v>18</v>
      </c>
      <c r="B1177" s="2">
        <v>45414</v>
      </c>
      <c r="C1177">
        <v>2024</v>
      </c>
      <c r="E1177" t="s">
        <v>6</v>
      </c>
      <c r="F1177">
        <v>117.1</v>
      </c>
      <c r="G1177">
        <f t="shared" si="27"/>
        <v>117.1</v>
      </c>
      <c r="I1177" s="5">
        <f t="shared" si="29"/>
        <v>326</v>
      </c>
      <c r="M1177" s="2">
        <v>45251</v>
      </c>
    </row>
    <row r="1178" spans="1:13" hidden="1" x14ac:dyDescent="0.25">
      <c r="A1178" t="s">
        <v>18</v>
      </c>
      <c r="B1178" s="2">
        <v>45425</v>
      </c>
      <c r="C1178">
        <v>2024</v>
      </c>
      <c r="E1178" t="s">
        <v>6</v>
      </c>
      <c r="F1178">
        <v>113.1</v>
      </c>
      <c r="G1178">
        <f t="shared" si="27"/>
        <v>113.1</v>
      </c>
      <c r="I1178" s="5">
        <f t="shared" si="29"/>
        <v>333</v>
      </c>
      <c r="M1178" s="2">
        <v>45258</v>
      </c>
    </row>
    <row r="1179" spans="1:13" hidden="1" x14ac:dyDescent="0.25">
      <c r="A1179" t="s">
        <v>18</v>
      </c>
      <c r="B1179" s="2">
        <v>45441</v>
      </c>
      <c r="C1179">
        <v>2024</v>
      </c>
      <c r="E1179" t="s">
        <v>6</v>
      </c>
      <c r="F1179">
        <v>115.1</v>
      </c>
      <c r="G1179">
        <f t="shared" si="27"/>
        <v>115.1</v>
      </c>
      <c r="I1179" s="5">
        <f t="shared" si="29"/>
        <v>327</v>
      </c>
      <c r="M1179" s="2">
        <v>45252</v>
      </c>
    </row>
    <row r="1180" spans="1:13" hidden="1" x14ac:dyDescent="0.25">
      <c r="A1180" t="s">
        <v>18</v>
      </c>
      <c r="B1180" s="2">
        <v>45453</v>
      </c>
      <c r="C1180">
        <v>2024</v>
      </c>
      <c r="E1180" t="s">
        <v>6</v>
      </c>
      <c r="F1180">
        <v>114.5</v>
      </c>
      <c r="G1180">
        <f t="shared" si="27"/>
        <v>114.5</v>
      </c>
      <c r="I1180" s="5">
        <f t="shared" si="29"/>
        <v>334</v>
      </c>
      <c r="M1180" s="2">
        <v>45259</v>
      </c>
    </row>
    <row r="1181" spans="1:13" hidden="1" x14ac:dyDescent="0.25">
      <c r="A1181" t="s">
        <v>18</v>
      </c>
      <c r="B1181" s="2">
        <v>45314</v>
      </c>
      <c r="C1181">
        <v>2024</v>
      </c>
      <c r="E1181" t="s">
        <v>6</v>
      </c>
      <c r="F1181">
        <v>59.9</v>
      </c>
      <c r="G1181">
        <f t="shared" si="27"/>
        <v>59.9</v>
      </c>
      <c r="I1181" s="5">
        <f t="shared" si="29"/>
        <v>328</v>
      </c>
      <c r="M1181" s="2">
        <v>45253</v>
      </c>
    </row>
    <row r="1182" spans="1:13" hidden="1" x14ac:dyDescent="0.25">
      <c r="A1182" t="s">
        <v>18</v>
      </c>
      <c r="B1182" s="2">
        <v>45336</v>
      </c>
      <c r="C1182">
        <v>2024</v>
      </c>
      <c r="E1182" t="s">
        <v>6</v>
      </c>
      <c r="F1182">
        <v>66.7</v>
      </c>
      <c r="G1182">
        <f t="shared" si="27"/>
        <v>66.7</v>
      </c>
      <c r="I1182" s="5">
        <f t="shared" si="29"/>
        <v>326</v>
      </c>
      <c r="M1182" s="2">
        <v>45251</v>
      </c>
    </row>
    <row r="1183" spans="1:13" hidden="1" x14ac:dyDescent="0.25">
      <c r="A1183" t="s">
        <v>18</v>
      </c>
      <c r="B1183" s="2">
        <v>45348</v>
      </c>
      <c r="C1183">
        <v>2024</v>
      </c>
      <c r="E1183" t="s">
        <v>6</v>
      </c>
      <c r="F1183">
        <v>74.900000000000006</v>
      </c>
      <c r="G1183">
        <f t="shared" si="27"/>
        <v>74.900000000000006</v>
      </c>
      <c r="I1183" s="5">
        <f t="shared" si="29"/>
        <v>333</v>
      </c>
      <c r="M1183" s="2">
        <v>45258</v>
      </c>
    </row>
    <row r="1184" spans="1:13" hidden="1" x14ac:dyDescent="0.25">
      <c r="A1184" t="s">
        <v>18</v>
      </c>
      <c r="B1184" s="2">
        <v>45365</v>
      </c>
      <c r="C1184">
        <v>2024</v>
      </c>
      <c r="E1184" t="s">
        <v>6</v>
      </c>
      <c r="F1184">
        <v>85.1</v>
      </c>
      <c r="G1184">
        <f t="shared" si="27"/>
        <v>85.1</v>
      </c>
      <c r="I1184" s="5">
        <f t="shared" si="29"/>
        <v>327</v>
      </c>
      <c r="M1184" s="2">
        <v>45252</v>
      </c>
    </row>
    <row r="1185" spans="1:13" hidden="1" x14ac:dyDescent="0.25">
      <c r="A1185" t="s">
        <v>18</v>
      </c>
      <c r="B1185" s="2">
        <v>45379</v>
      </c>
      <c r="C1185">
        <v>2024</v>
      </c>
      <c r="E1185" t="s">
        <v>6</v>
      </c>
      <c r="F1185">
        <v>90.7</v>
      </c>
      <c r="G1185">
        <f t="shared" si="27"/>
        <v>90.7</v>
      </c>
      <c r="I1185" s="5">
        <f t="shared" si="29"/>
        <v>328</v>
      </c>
      <c r="M1185" s="2">
        <v>45253</v>
      </c>
    </row>
    <row r="1186" spans="1:13" hidden="1" x14ac:dyDescent="0.25">
      <c r="A1186" t="s">
        <v>18</v>
      </c>
      <c r="B1186" s="2">
        <v>45390</v>
      </c>
      <c r="C1186">
        <v>2024</v>
      </c>
      <c r="E1186" t="s">
        <v>6</v>
      </c>
      <c r="F1186">
        <v>91.8</v>
      </c>
      <c r="G1186">
        <f t="shared" si="27"/>
        <v>91.8</v>
      </c>
      <c r="I1186" s="5">
        <f t="shared" si="29"/>
        <v>333</v>
      </c>
      <c r="M1186" s="2">
        <v>45258</v>
      </c>
    </row>
    <row r="1187" spans="1:13" hidden="1" x14ac:dyDescent="0.25">
      <c r="A1187" t="s">
        <v>18</v>
      </c>
      <c r="B1187" s="2">
        <v>45404</v>
      </c>
      <c r="C1187">
        <v>2024</v>
      </c>
      <c r="E1187" t="s">
        <v>6</v>
      </c>
      <c r="F1187">
        <v>98.2</v>
      </c>
      <c r="G1187">
        <f t="shared" si="27"/>
        <v>98.2</v>
      </c>
      <c r="I1187" s="5">
        <f t="shared" si="29"/>
        <v>334</v>
      </c>
      <c r="M1187" s="2">
        <v>45259</v>
      </c>
    </row>
    <row r="1188" spans="1:13" hidden="1" x14ac:dyDescent="0.25">
      <c r="A1188" t="s">
        <v>18</v>
      </c>
      <c r="B1188" s="2">
        <v>45413</v>
      </c>
      <c r="C1188">
        <v>2024</v>
      </c>
      <c r="E1188" t="s">
        <v>6</v>
      </c>
      <c r="F1188">
        <v>101.7</v>
      </c>
      <c r="G1188">
        <f t="shared" si="27"/>
        <v>101.7</v>
      </c>
      <c r="I1188" s="5">
        <f t="shared" si="29"/>
        <v>326</v>
      </c>
      <c r="M1188" s="2">
        <v>45251</v>
      </c>
    </row>
    <row r="1189" spans="1:13" hidden="1" x14ac:dyDescent="0.25">
      <c r="A1189" t="s">
        <v>18</v>
      </c>
      <c r="B1189" s="2">
        <v>45425</v>
      </c>
      <c r="C1189">
        <v>2024</v>
      </c>
      <c r="E1189" t="s">
        <v>6</v>
      </c>
      <c r="F1189">
        <v>103.3</v>
      </c>
      <c r="G1189">
        <f t="shared" si="27"/>
        <v>103.3</v>
      </c>
      <c r="I1189" s="5">
        <f t="shared" si="29"/>
        <v>327</v>
      </c>
      <c r="M1189" s="2">
        <v>45252</v>
      </c>
    </row>
    <row r="1190" spans="1:13" hidden="1" x14ac:dyDescent="0.25">
      <c r="A1190" t="s">
        <v>18</v>
      </c>
      <c r="B1190" s="2">
        <v>45441</v>
      </c>
      <c r="C1190">
        <v>2024</v>
      </c>
      <c r="E1190" t="s">
        <v>6</v>
      </c>
      <c r="F1190">
        <v>99.2</v>
      </c>
      <c r="G1190">
        <f t="shared" si="27"/>
        <v>99.2</v>
      </c>
      <c r="I1190" s="5">
        <f t="shared" si="29"/>
        <v>334</v>
      </c>
      <c r="M1190" s="2">
        <v>45259</v>
      </c>
    </row>
    <row r="1191" spans="1:13" hidden="1" x14ac:dyDescent="0.25">
      <c r="A1191" t="s">
        <v>18</v>
      </c>
      <c r="B1191" s="2">
        <v>45453</v>
      </c>
      <c r="C1191">
        <v>2024</v>
      </c>
      <c r="E1191" t="s">
        <v>6</v>
      </c>
      <c r="F1191">
        <v>99.8</v>
      </c>
      <c r="G1191">
        <f t="shared" ref="G1191:G1224" si="30">F1191</f>
        <v>99.8</v>
      </c>
      <c r="I1191" s="5">
        <f t="shared" si="29"/>
        <v>333</v>
      </c>
      <c r="M1191" s="2">
        <v>45258</v>
      </c>
    </row>
    <row r="1192" spans="1:13" hidden="1" x14ac:dyDescent="0.25">
      <c r="A1192" t="s">
        <v>18</v>
      </c>
      <c r="B1192" s="2">
        <v>45316</v>
      </c>
      <c r="C1192">
        <v>2024</v>
      </c>
      <c r="E1192" t="s">
        <v>6</v>
      </c>
      <c r="F1192">
        <v>57.1</v>
      </c>
      <c r="G1192">
        <f t="shared" si="30"/>
        <v>57.1</v>
      </c>
      <c r="I1192" s="5">
        <f t="shared" si="29"/>
        <v>328</v>
      </c>
      <c r="M1192" s="2">
        <v>45253</v>
      </c>
    </row>
    <row r="1193" spans="1:13" hidden="1" x14ac:dyDescent="0.25">
      <c r="A1193" t="s">
        <v>18</v>
      </c>
      <c r="B1193" s="2">
        <v>45337</v>
      </c>
      <c r="C1193">
        <v>2024</v>
      </c>
      <c r="E1193" t="s">
        <v>6</v>
      </c>
      <c r="F1193">
        <v>71.099999999999994</v>
      </c>
      <c r="G1193">
        <f t="shared" si="30"/>
        <v>71.099999999999994</v>
      </c>
      <c r="I1193" s="5">
        <f t="shared" si="29"/>
        <v>326</v>
      </c>
      <c r="M1193" s="2">
        <v>45251</v>
      </c>
    </row>
    <row r="1194" spans="1:13" hidden="1" x14ac:dyDescent="0.25">
      <c r="A1194" t="s">
        <v>18</v>
      </c>
      <c r="B1194" s="2">
        <v>45350</v>
      </c>
      <c r="C1194">
        <v>2024</v>
      </c>
      <c r="E1194" t="s">
        <v>6</v>
      </c>
      <c r="F1194">
        <v>77</v>
      </c>
      <c r="G1194">
        <f t="shared" si="30"/>
        <v>77</v>
      </c>
      <c r="I1194" s="5">
        <f t="shared" si="29"/>
        <v>328</v>
      </c>
      <c r="M1194" s="2">
        <v>45253</v>
      </c>
    </row>
    <row r="1195" spans="1:13" hidden="1" x14ac:dyDescent="0.25">
      <c r="A1195" t="s">
        <v>18</v>
      </c>
      <c r="B1195" s="2">
        <v>45364</v>
      </c>
      <c r="C1195">
        <v>2024</v>
      </c>
      <c r="E1195" t="s">
        <v>6</v>
      </c>
      <c r="F1195">
        <v>83.1</v>
      </c>
      <c r="G1195">
        <f t="shared" si="30"/>
        <v>83.1</v>
      </c>
      <c r="I1195" s="5">
        <f t="shared" si="29"/>
        <v>333</v>
      </c>
      <c r="M1195" s="2">
        <v>45258</v>
      </c>
    </row>
    <row r="1196" spans="1:13" hidden="1" x14ac:dyDescent="0.25">
      <c r="A1196" t="s">
        <v>18</v>
      </c>
      <c r="B1196" s="2">
        <v>45378</v>
      </c>
      <c r="C1196">
        <v>2024</v>
      </c>
      <c r="E1196" t="s">
        <v>6</v>
      </c>
      <c r="F1196">
        <v>87.3</v>
      </c>
      <c r="G1196">
        <f t="shared" si="30"/>
        <v>87.3</v>
      </c>
      <c r="I1196" s="5">
        <f t="shared" si="29"/>
        <v>327</v>
      </c>
      <c r="M1196" s="2">
        <v>45252</v>
      </c>
    </row>
    <row r="1197" spans="1:13" hidden="1" x14ac:dyDescent="0.25">
      <c r="A1197" t="s">
        <v>18</v>
      </c>
      <c r="B1197" s="2">
        <v>45393</v>
      </c>
      <c r="C1197">
        <v>2024</v>
      </c>
      <c r="E1197" t="s">
        <v>6</v>
      </c>
      <c r="F1197">
        <v>86.6</v>
      </c>
      <c r="G1197">
        <f t="shared" si="30"/>
        <v>86.6</v>
      </c>
      <c r="I1197" s="5">
        <f t="shared" si="29"/>
        <v>334</v>
      </c>
      <c r="M1197" s="2">
        <v>45259</v>
      </c>
    </row>
    <row r="1198" spans="1:13" hidden="1" x14ac:dyDescent="0.25">
      <c r="A1198" t="s">
        <v>18</v>
      </c>
      <c r="B1198" s="2">
        <v>45404</v>
      </c>
      <c r="C1198">
        <v>2024</v>
      </c>
      <c r="E1198" t="s">
        <v>6</v>
      </c>
      <c r="F1198">
        <v>90.1</v>
      </c>
      <c r="G1198">
        <f t="shared" si="30"/>
        <v>90.1</v>
      </c>
      <c r="I1198" s="5">
        <f t="shared" si="29"/>
        <v>326</v>
      </c>
      <c r="M1198" s="2">
        <v>45251</v>
      </c>
    </row>
    <row r="1199" spans="1:13" hidden="1" x14ac:dyDescent="0.25">
      <c r="A1199" t="s">
        <v>18</v>
      </c>
      <c r="B1199" s="2">
        <v>45414</v>
      </c>
      <c r="C1199">
        <v>2024</v>
      </c>
      <c r="E1199" t="s">
        <v>6</v>
      </c>
      <c r="F1199">
        <v>99.7</v>
      </c>
      <c r="G1199">
        <f t="shared" si="30"/>
        <v>99.7</v>
      </c>
      <c r="I1199" s="5">
        <f t="shared" si="29"/>
        <v>327</v>
      </c>
      <c r="M1199" s="2">
        <v>45252</v>
      </c>
    </row>
    <row r="1200" spans="1:13" hidden="1" x14ac:dyDescent="0.25">
      <c r="A1200" t="s">
        <v>18</v>
      </c>
      <c r="B1200" s="2">
        <v>45425</v>
      </c>
      <c r="C1200">
        <v>2024</v>
      </c>
      <c r="E1200" t="s">
        <v>6</v>
      </c>
      <c r="F1200">
        <v>101.1</v>
      </c>
      <c r="G1200">
        <f t="shared" si="30"/>
        <v>101.1</v>
      </c>
      <c r="I1200" s="5">
        <f t="shared" si="29"/>
        <v>334</v>
      </c>
      <c r="M1200" s="2">
        <v>45259</v>
      </c>
    </row>
    <row r="1201" spans="1:13" hidden="1" x14ac:dyDescent="0.25">
      <c r="A1201" t="s">
        <v>18</v>
      </c>
      <c r="B1201" s="2">
        <v>45441</v>
      </c>
      <c r="C1201">
        <v>2024</v>
      </c>
      <c r="E1201" t="s">
        <v>6</v>
      </c>
      <c r="F1201">
        <v>100.3</v>
      </c>
      <c r="G1201">
        <f t="shared" si="30"/>
        <v>100.3</v>
      </c>
      <c r="I1201" s="5">
        <f t="shared" si="29"/>
        <v>328</v>
      </c>
      <c r="M1201" s="2">
        <v>45253</v>
      </c>
    </row>
    <row r="1202" spans="1:13" hidden="1" x14ac:dyDescent="0.25">
      <c r="A1202" t="s">
        <v>18</v>
      </c>
      <c r="B1202" s="2">
        <v>45453</v>
      </c>
      <c r="C1202">
        <v>2024</v>
      </c>
      <c r="E1202" t="s">
        <v>6</v>
      </c>
      <c r="F1202">
        <v>97.4</v>
      </c>
      <c r="G1202">
        <f t="shared" si="30"/>
        <v>97.4</v>
      </c>
      <c r="I1202" s="5">
        <f t="shared" si="29"/>
        <v>326</v>
      </c>
      <c r="M1202" s="2">
        <v>45251</v>
      </c>
    </row>
    <row r="1203" spans="1:13" hidden="1" x14ac:dyDescent="0.25">
      <c r="A1203" t="s">
        <v>18</v>
      </c>
      <c r="B1203" s="2">
        <v>45316</v>
      </c>
      <c r="C1203">
        <v>2024</v>
      </c>
      <c r="E1203" t="s">
        <v>6</v>
      </c>
      <c r="F1203">
        <v>64.400000000000006</v>
      </c>
      <c r="G1203">
        <f t="shared" si="30"/>
        <v>64.400000000000006</v>
      </c>
      <c r="I1203" s="5">
        <f t="shared" si="29"/>
        <v>333</v>
      </c>
      <c r="M1203" s="2">
        <v>45258</v>
      </c>
    </row>
    <row r="1204" spans="1:13" hidden="1" x14ac:dyDescent="0.25">
      <c r="A1204" t="s">
        <v>18</v>
      </c>
      <c r="B1204" s="2">
        <v>45337</v>
      </c>
      <c r="C1204">
        <v>2024</v>
      </c>
      <c r="E1204" t="s">
        <v>6</v>
      </c>
      <c r="F1204">
        <v>68.599999999999994</v>
      </c>
      <c r="G1204">
        <f t="shared" si="30"/>
        <v>68.599999999999994</v>
      </c>
      <c r="I1204" s="5">
        <f t="shared" si="29"/>
        <v>327</v>
      </c>
      <c r="M1204" s="2">
        <v>45252</v>
      </c>
    </row>
    <row r="1205" spans="1:13" hidden="1" x14ac:dyDescent="0.25">
      <c r="A1205" t="s">
        <v>18</v>
      </c>
      <c r="B1205" s="2">
        <v>45350</v>
      </c>
      <c r="C1205">
        <v>2024</v>
      </c>
      <c r="E1205" t="s">
        <v>6</v>
      </c>
      <c r="F1205">
        <v>86.5</v>
      </c>
      <c r="G1205">
        <f t="shared" si="30"/>
        <v>86.5</v>
      </c>
      <c r="I1205" s="5">
        <f t="shared" si="29"/>
        <v>328</v>
      </c>
      <c r="M1205" s="2">
        <v>45253</v>
      </c>
    </row>
    <row r="1206" spans="1:13" hidden="1" x14ac:dyDescent="0.25">
      <c r="A1206" t="s">
        <v>18</v>
      </c>
      <c r="B1206" s="2">
        <v>45364</v>
      </c>
      <c r="C1206">
        <v>2024</v>
      </c>
      <c r="E1206" t="s">
        <v>6</v>
      </c>
      <c r="F1206">
        <v>90</v>
      </c>
      <c r="G1206">
        <f t="shared" si="30"/>
        <v>90</v>
      </c>
      <c r="I1206" s="5">
        <f t="shared" si="29"/>
        <v>334</v>
      </c>
      <c r="M1206" s="2">
        <v>45259</v>
      </c>
    </row>
    <row r="1207" spans="1:13" hidden="1" x14ac:dyDescent="0.25">
      <c r="A1207" t="s">
        <v>18</v>
      </c>
      <c r="B1207" s="2">
        <v>45378</v>
      </c>
      <c r="C1207">
        <v>2024</v>
      </c>
      <c r="E1207" t="s">
        <v>6</v>
      </c>
      <c r="F1207">
        <v>98.4</v>
      </c>
      <c r="G1207">
        <f t="shared" si="30"/>
        <v>98.4</v>
      </c>
      <c r="I1207" s="5">
        <f t="shared" si="29"/>
        <v>326</v>
      </c>
      <c r="M1207" s="2">
        <v>45251</v>
      </c>
    </row>
    <row r="1208" spans="1:13" hidden="1" x14ac:dyDescent="0.25">
      <c r="A1208" t="s">
        <v>18</v>
      </c>
      <c r="B1208" s="2">
        <v>45390</v>
      </c>
      <c r="C1208">
        <v>2024</v>
      </c>
      <c r="E1208" t="s">
        <v>6</v>
      </c>
      <c r="F1208">
        <v>102.7</v>
      </c>
      <c r="G1208">
        <f t="shared" si="30"/>
        <v>102.7</v>
      </c>
      <c r="I1208" s="5">
        <f t="shared" si="29"/>
        <v>333</v>
      </c>
      <c r="M1208" s="2">
        <v>45258</v>
      </c>
    </row>
    <row r="1209" spans="1:13" hidden="1" x14ac:dyDescent="0.25">
      <c r="A1209" t="s">
        <v>18</v>
      </c>
      <c r="B1209" s="2">
        <v>45407</v>
      </c>
      <c r="C1209">
        <v>2024</v>
      </c>
      <c r="E1209" t="s">
        <v>6</v>
      </c>
      <c r="F1209">
        <v>102.3</v>
      </c>
      <c r="G1209">
        <f t="shared" si="30"/>
        <v>102.3</v>
      </c>
      <c r="I1209" s="5">
        <f t="shared" si="29"/>
        <v>334</v>
      </c>
      <c r="M1209" s="2">
        <v>45259</v>
      </c>
    </row>
    <row r="1210" spans="1:13" hidden="1" x14ac:dyDescent="0.25">
      <c r="A1210" t="s">
        <v>18</v>
      </c>
      <c r="B1210" s="2">
        <v>45413</v>
      </c>
      <c r="C1210">
        <v>2024</v>
      </c>
      <c r="E1210" t="s">
        <v>6</v>
      </c>
      <c r="F1210">
        <v>103.9</v>
      </c>
      <c r="G1210">
        <f t="shared" si="30"/>
        <v>103.9</v>
      </c>
      <c r="I1210" s="5">
        <f t="shared" si="29"/>
        <v>326</v>
      </c>
      <c r="M1210" s="2">
        <v>45251</v>
      </c>
    </row>
    <row r="1211" spans="1:13" hidden="1" x14ac:dyDescent="0.25">
      <c r="A1211" t="s">
        <v>18</v>
      </c>
      <c r="B1211" s="2">
        <v>45425</v>
      </c>
      <c r="C1211">
        <v>2024</v>
      </c>
      <c r="E1211" t="s">
        <v>6</v>
      </c>
      <c r="F1211">
        <v>100.2</v>
      </c>
      <c r="G1211">
        <f t="shared" si="30"/>
        <v>100.2</v>
      </c>
      <c r="I1211" s="5">
        <f t="shared" si="29"/>
        <v>333</v>
      </c>
      <c r="M1211" s="2">
        <v>45258</v>
      </c>
    </row>
    <row r="1212" spans="1:13" hidden="1" x14ac:dyDescent="0.25">
      <c r="A1212" t="s">
        <v>18</v>
      </c>
      <c r="B1212" s="2">
        <v>45439</v>
      </c>
      <c r="C1212">
        <v>2024</v>
      </c>
      <c r="E1212" t="s">
        <v>6</v>
      </c>
      <c r="F1212">
        <v>103</v>
      </c>
      <c r="G1212">
        <f t="shared" si="30"/>
        <v>103</v>
      </c>
      <c r="I1212" s="5">
        <f t="shared" ref="I1212" si="31" xml:space="preserve"> DATEDIF(DATE(YEAR(M1212),1,0),M1212,"d")+1</f>
        <v>327</v>
      </c>
      <c r="M1212" s="2">
        <v>45252</v>
      </c>
    </row>
    <row r="1213" spans="1:13" hidden="1" x14ac:dyDescent="0.25">
      <c r="A1213" t="s">
        <v>18</v>
      </c>
      <c r="B1213" s="2">
        <v>45454</v>
      </c>
      <c r="C1213">
        <v>2024</v>
      </c>
      <c r="E1213" t="s">
        <v>6</v>
      </c>
      <c r="F1213">
        <v>101.2</v>
      </c>
      <c r="G1213">
        <f t="shared" si="30"/>
        <v>101.2</v>
      </c>
      <c r="M1213" s="2">
        <v>45253</v>
      </c>
    </row>
    <row r="1214" spans="1:13" x14ac:dyDescent="0.25">
      <c r="A1214" t="s">
        <v>23</v>
      </c>
      <c r="B1214" s="2">
        <v>45315</v>
      </c>
      <c r="C1214">
        <v>2024</v>
      </c>
      <c r="E1214" t="s">
        <v>9</v>
      </c>
      <c r="F1214">
        <v>67.5</v>
      </c>
      <c r="G1214">
        <f t="shared" si="30"/>
        <v>67.5</v>
      </c>
      <c r="I1214" s="4">
        <f t="shared" ref="I1214:I1224" si="32" xml:space="preserve"> DATEDIF(DATE(YEAR(M1214),1,0),M1214,"d")+1</f>
        <v>327</v>
      </c>
      <c r="M1214" s="2">
        <v>45252</v>
      </c>
    </row>
    <row r="1215" spans="1:13" x14ac:dyDescent="0.25">
      <c r="A1215" t="s">
        <v>23</v>
      </c>
      <c r="B1215" s="2">
        <v>45335</v>
      </c>
      <c r="C1215">
        <v>2024</v>
      </c>
      <c r="E1215" t="s">
        <v>9</v>
      </c>
      <c r="F1215">
        <v>78.2</v>
      </c>
      <c r="G1215">
        <f t="shared" si="30"/>
        <v>78.2</v>
      </c>
      <c r="I1215" s="4">
        <f t="shared" si="32"/>
        <v>327</v>
      </c>
      <c r="M1215" s="2">
        <v>45252</v>
      </c>
    </row>
    <row r="1216" spans="1:13" x14ac:dyDescent="0.25">
      <c r="A1216" t="s">
        <v>23</v>
      </c>
      <c r="B1216" s="2">
        <v>45349</v>
      </c>
      <c r="C1216">
        <v>2024</v>
      </c>
      <c r="E1216" t="s">
        <v>9</v>
      </c>
      <c r="F1216">
        <v>86.7</v>
      </c>
      <c r="G1216">
        <f t="shared" si="30"/>
        <v>86.7</v>
      </c>
      <c r="I1216" s="4">
        <f t="shared" si="32"/>
        <v>327</v>
      </c>
      <c r="M1216" s="2">
        <v>45252</v>
      </c>
    </row>
    <row r="1217" spans="1:13" x14ac:dyDescent="0.25">
      <c r="A1217" t="s">
        <v>23</v>
      </c>
      <c r="B1217" s="2">
        <v>45363</v>
      </c>
      <c r="C1217">
        <v>2024</v>
      </c>
      <c r="E1217" t="s">
        <v>9</v>
      </c>
      <c r="F1217">
        <v>92.6</v>
      </c>
      <c r="G1217">
        <f t="shared" si="30"/>
        <v>92.6</v>
      </c>
      <c r="I1217" s="4">
        <f t="shared" si="32"/>
        <v>327</v>
      </c>
      <c r="M1217" s="2">
        <v>45252</v>
      </c>
    </row>
    <row r="1218" spans="1:13" x14ac:dyDescent="0.25">
      <c r="A1218" t="s">
        <v>23</v>
      </c>
      <c r="B1218" s="2">
        <v>45378</v>
      </c>
      <c r="C1218">
        <v>2024</v>
      </c>
      <c r="E1218" t="s">
        <v>9</v>
      </c>
      <c r="F1218">
        <v>99.8</v>
      </c>
      <c r="G1218">
        <f t="shared" si="30"/>
        <v>99.8</v>
      </c>
      <c r="I1218" s="4">
        <f t="shared" si="32"/>
        <v>327</v>
      </c>
      <c r="M1218" s="2">
        <v>45252</v>
      </c>
    </row>
    <row r="1219" spans="1:13" x14ac:dyDescent="0.25">
      <c r="A1219" t="s">
        <v>23</v>
      </c>
      <c r="B1219" s="2">
        <v>45390</v>
      </c>
      <c r="C1219">
        <v>2024</v>
      </c>
      <c r="E1219" t="s">
        <v>9</v>
      </c>
      <c r="F1219">
        <v>103.5</v>
      </c>
      <c r="G1219">
        <f t="shared" si="30"/>
        <v>103.5</v>
      </c>
      <c r="I1219" s="4">
        <f t="shared" si="32"/>
        <v>327</v>
      </c>
      <c r="M1219" s="2">
        <v>45252</v>
      </c>
    </row>
    <row r="1220" spans="1:13" x14ac:dyDescent="0.25">
      <c r="A1220" t="s">
        <v>23</v>
      </c>
      <c r="B1220" s="2">
        <v>45406</v>
      </c>
      <c r="C1220">
        <v>2024</v>
      </c>
      <c r="E1220" t="s">
        <v>9</v>
      </c>
      <c r="F1220">
        <v>113.8</v>
      </c>
      <c r="G1220">
        <v>100.85</v>
      </c>
      <c r="H1220" t="s">
        <v>27</v>
      </c>
      <c r="I1220" s="4">
        <f t="shared" si="32"/>
        <v>327</v>
      </c>
      <c r="M1220" s="2">
        <v>45252</v>
      </c>
    </row>
    <row r="1221" spans="1:13" x14ac:dyDescent="0.25">
      <c r="A1221" t="s">
        <v>23</v>
      </c>
      <c r="B1221" s="2">
        <v>45412</v>
      </c>
      <c r="C1221">
        <v>2024</v>
      </c>
      <c r="E1221" t="s">
        <v>9</v>
      </c>
      <c r="F1221">
        <v>87.9</v>
      </c>
      <c r="G1221">
        <f t="shared" si="30"/>
        <v>87.9</v>
      </c>
      <c r="I1221" s="4">
        <f t="shared" si="32"/>
        <v>327</v>
      </c>
      <c r="M1221" s="2">
        <v>45252</v>
      </c>
    </row>
    <row r="1222" spans="1:13" x14ac:dyDescent="0.25">
      <c r="A1222" t="s">
        <v>23</v>
      </c>
      <c r="B1222" s="2">
        <v>45427</v>
      </c>
      <c r="C1222">
        <v>2024</v>
      </c>
      <c r="E1222" t="s">
        <v>9</v>
      </c>
      <c r="F1222">
        <v>105.6</v>
      </c>
      <c r="G1222">
        <f t="shared" si="30"/>
        <v>105.6</v>
      </c>
      <c r="I1222" s="4">
        <f t="shared" si="32"/>
        <v>327</v>
      </c>
      <c r="M1222" s="2">
        <v>45252</v>
      </c>
    </row>
    <row r="1223" spans="1:13" x14ac:dyDescent="0.25">
      <c r="A1223" t="s">
        <v>23</v>
      </c>
      <c r="B1223" s="2">
        <v>45441</v>
      </c>
      <c r="C1223">
        <v>2024</v>
      </c>
      <c r="E1223" t="s">
        <v>9</v>
      </c>
      <c r="F1223">
        <v>99.6</v>
      </c>
      <c r="G1223">
        <f t="shared" si="30"/>
        <v>99.6</v>
      </c>
      <c r="I1223" s="4">
        <f t="shared" si="32"/>
        <v>327</v>
      </c>
      <c r="M1223" s="2">
        <v>45252</v>
      </c>
    </row>
    <row r="1224" spans="1:13" x14ac:dyDescent="0.25">
      <c r="A1224" t="s">
        <v>23</v>
      </c>
      <c r="B1224" s="2">
        <v>45454</v>
      </c>
      <c r="C1224">
        <v>2024</v>
      </c>
      <c r="E1224" t="s">
        <v>9</v>
      </c>
      <c r="F1224">
        <v>104.6</v>
      </c>
      <c r="G1224">
        <f t="shared" si="30"/>
        <v>104.6</v>
      </c>
      <c r="I1224" s="4">
        <f t="shared" si="32"/>
        <v>327</v>
      </c>
      <c r="M1224" s="2">
        <v>45252</v>
      </c>
    </row>
  </sheetData>
  <autoFilter ref="A1:A1224" xr:uid="{00000000-0001-0000-0000-000000000000}">
    <filterColumn colId="0">
      <filters>
        <filter val="KKHW2020"/>
        <filter val="KKHW2021"/>
        <filter val="KKHW2022"/>
        <filter val="KKHW2023"/>
        <filter val="KK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sheetPr filterMode="1"/>
  <dimension ref="A1:H1224"/>
  <sheetViews>
    <sheetView zoomScale="60" zoomScaleNormal="60" workbookViewId="0">
      <pane ySplit="1" topLeftCell="A1093" activePane="bottomLeft" state="frozen"/>
      <selection pane="bottomLeft" activeCell="K1188" sqref="K1188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42.140625" customWidth="1"/>
    <col min="7" max="7" width="46.28515625" customWidth="1"/>
    <col min="8" max="8" width="59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7.4897999999999998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v>10.318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v>12.741299999999999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v>10.8872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v>13.892000000000001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v>16.432000000000002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v>16.502500000000001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v>16.732200000000002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v>17.0655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v>17.685500000000001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v>6.3356000000000003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v>9.4124999999999996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v>11.8299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v>14.16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15.593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16.170999999999999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18.248999999999999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18.7944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19.488899999999997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20.195999999999998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19.545300000000001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5.22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8.4240000000000013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10.503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12.1472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13.311000000000002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12.973500000000001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14.267999999999999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15.624000000000001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15.652000000000001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14.858400000000001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14.500800000000002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9.6047999999999991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12.738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14.497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17.078399999999998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20.495999999999999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22.349699999999999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23.020800000000005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23.687999999999999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24.631799999999998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25.207600000000003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24.039699999999996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7.68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11.2468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14.643999999999998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18.2835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20.590500000000002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22.845600000000001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23.795200000000001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24.320799999999998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24.446999999999999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24.847199999999997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22.531999999999996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7.4561999999999991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11.081100000000001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12.922000000000001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16.5564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17.243100000000002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18.874200000000002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19.495000000000001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20.399199999999997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22.8123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22.352000000000004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22.697199999999999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7.3137999999999996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11.023599999999998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13.492799999999999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16.840599999999998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19.481999999999999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22.633600000000001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24.105599999999999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25.936899999999994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24.915800000000001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24.590499999999999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25.136999999999997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5.7376000000000014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10.566399999999998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11.4376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14.351400000000002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16.467200000000002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17.629000000000001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18.948599999999999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20.6096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20.810399999999994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20.833099999999998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20.495499999999996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6.96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9.7843999999999998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12.097799999999999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13.3996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18.352399999999999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17.783999999999999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17.6967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19.3248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20.511399999999998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20.461199999999998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21.339900000000004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5.7330000000000005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8.2151000000000014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10.610999999999999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13.234500000000001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15.264000000000001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16.933800000000002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18.791999999999998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19.670000000000002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20.914999999999999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20.790399999999998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20.262799999999999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4.9717000000000002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7.9373000000000005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10.111500000000001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12.935199999999998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14.8748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15.4224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16.8904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18.000899999999998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19.007199999999997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17.756799999999998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17.963999999999999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8.0898000000000003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v>10.7502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13.171200000000001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12.583999999999998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16.5564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18.115200000000002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19.6692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20.550599999999999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19.724599999999999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21.819800000000001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22.72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5.0961999999999996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7.1189999999999998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9.0643999999999991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11.168299999999999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12.615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13.9345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15.344000000000001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15.1944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15.061199999999999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15.968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18.631999999999998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4.739300000000001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8.3186999999999998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10.472000000000001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12.465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13.880699999999999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14.1158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14.5962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17.0487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17.490300000000001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17.7531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17.337200000000003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5.6027999999999993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8.3005999999999993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11.6775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13.23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15.4488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16.945499999999999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16.8795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17.455200000000001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17.835600000000003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15.45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17.71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4.4104000000000001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4.0226999999999995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8.7792000000000012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10.1983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10.6396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12.566400000000002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13.1417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15.063899999999999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13.760500000000002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17.350200000000001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17.640900000000002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15.382400000000001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15.494999999999999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18.595199999999998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16.027000000000001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17.986799999999999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16.594899999999999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20.163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16.858600000000003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20.4678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v>16.424700000000001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v>20.351600000000001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18.032299999999999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20.246400000000005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5.5297999999999989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3.9312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11.007999999999999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9.4163999999999994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13.7995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11.226800000000001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15.111599999999999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12.8232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17.962200000000003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14.860800000000001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17.060500000000001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15.463800000000001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18.667300000000001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16.658200000000001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16.6402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19.811399999999999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19.400500000000001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16.364999999999998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20.764800000000001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19.067399999999999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20.5335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19.3644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20.930400000000006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18.645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20.050700000000003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19.302800000000001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4.8048000000000002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3.8827999999999996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10.344599999999998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9.0858000000000008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12.855700000000002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11.650799999999998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14.632400000000001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13.244699999999998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16.777199999999997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15.1228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17.513000000000002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15.6104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18.920000000000002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15.888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19.357200000000002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17.024000000000001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20.462399999999999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18.094000000000001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20.833099999999998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17.977800000000002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20.935199999999998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18.2515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3.7132999999999998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9.0846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11.282700000000002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14.1492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15.68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16.533000000000001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17.297200000000004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16.7501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16.0398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18.956099999999999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4.7547000000000006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v>9.8704000000000001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v>10.906000000000001</v>
      </c>
    </row>
    <row r="252" spans="1:6" hidden="1" x14ac:dyDescent="0.25">
      <c r="A252" t="s">
        <v>7</v>
      </c>
      <c r="B252" s="2">
        <v>43906</v>
      </c>
      <c r="C252">
        <f t="shared" ref="C252:C314" si="3">YEAR(B252)</f>
        <v>2020</v>
      </c>
      <c r="E252" t="s">
        <v>6</v>
      </c>
      <c r="F252">
        <v>13.64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18.305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18.266399999999997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17.912400000000002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6.2172349019108983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8.8543295541579354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11.907888730774177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13.959946145677179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15.94766682715896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16.847079172988892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17.673615128971232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17.494817081223879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19.714894814967227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19.764897653038307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20.837102416927618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4.0968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10.3124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13.636800000000001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15.061199999999999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17.472000000000001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17.167999999999999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18.612000000000002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18.392800000000001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19.4208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20.248800000000003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20.370199999999997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21.318899999999999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5.1040000000000001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11.519600000000001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15.008799999999999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17.391000000000002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19.684200000000001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20.144000000000002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21.559699999999999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22.3249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22.423000000000002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23.824199999999998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23.8596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23.692900000000005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22.8583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4.3664999999999994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9.3225000000000016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12.8369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14.657400000000001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16.758600000000001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17.236800000000002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17.750700000000002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18.916800000000002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19.771000000000001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19.929600000000001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20.310400000000001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4.1318000000000001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9.7136999999999993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12.059599999999998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14.828099999999999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17.16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17.0183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17.153000000000002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18.1996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16.344999999999999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20.093399999999999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v>5.3330999999999991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v>11.4168</v>
      </c>
    </row>
    <row r="315" spans="1:6" hidden="1" x14ac:dyDescent="0.25">
      <c r="A315" t="s">
        <v>7</v>
      </c>
      <c r="B315" s="2">
        <v>43894</v>
      </c>
      <c r="C315">
        <f t="shared" ref="C315:C378" si="4">YEAR(B315)</f>
        <v>2020</v>
      </c>
      <c r="E315" t="s">
        <v>6</v>
      </c>
      <c r="F315">
        <v>12.3223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15.345000000000001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20.304000000000002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20.374199999999998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21.040500000000002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6.9319183664277553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13.780894783470638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16.191051188890199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17.405492056011052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18.476749288753865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18.760523213785294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19.48157763281246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17.781141937861513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20.557990280205107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19.39898301327348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5.0204000000000004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4.4855999999999998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4.4676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4.758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12.196100000000001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11.2395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9.4307999999999996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9.2748000000000008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11.587200000000001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15.09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14.128999999999998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11.226700000000001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17.301000000000002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15.54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13.2258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13.281999999999998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19.822900000000001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17.417400000000001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15.3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15.123999999999999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15.631000000000002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19.618500000000001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17.6311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15.853599999999998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20.432100000000002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17.929400000000001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15.902999999999999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15.250999999999999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21.367199999999997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18.768000000000001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16.2181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16.453599999999998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17.5168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20.984000000000002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19.8352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16.9938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21.454999999999998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18.9468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18.04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20.445600000000002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18.638999999999999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21.87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20.708099999999998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18.211200000000002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20.832000000000004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v>22.302000000000003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v>19.825800000000001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v>5.0960000000000001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v>5.0466000000000006</v>
      </c>
    </row>
    <row r="379" spans="1:6" hidden="1" x14ac:dyDescent="0.25">
      <c r="A379" t="s">
        <v>7</v>
      </c>
      <c r="B379" s="2">
        <v>42753</v>
      </c>
      <c r="C379">
        <f t="shared" ref="C379:C442" si="5">YEAR(B379)</f>
        <v>2017</v>
      </c>
      <c r="E379" t="s">
        <v>6</v>
      </c>
      <c r="F379">
        <v>5.4350999999999985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5.9670000000000005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12.300900000000002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10.933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11.904000000000002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11.153999999999998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15.537600000000003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15.332100000000001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14.284599999999998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14.5383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17.3004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15.833999999999998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16.7029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16.610599999999998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20.302099999999999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17.552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18.972800000000003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18.937799999999999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20.720700000000001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18.531100000000002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19.588800000000003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19.1751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21.203699999999998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18.908000000000001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19.421499999999998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20.1936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19.071399999999997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20.347199999999997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20.553000000000001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22.151000000000003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23.3748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21.057599999999997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19.488000000000003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20.897999999999996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23.063099999999999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20.915199999999999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21.977199999999996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21.648000000000003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23.957999999999998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20.253599999999999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22.2911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22.445999999999998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21.300999999999998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21.573600000000003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23.470199999999998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20.5625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21.905999999999999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23.157800000000002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4.2911999999999999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5.2806000000000006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4.6694000000000004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5.0616000000000012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9.9429999999999996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10.384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8.9551999999999996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10.104000000000001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12.623800000000001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13.277000000000001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11.276800000000001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13.3527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v>14.0128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v>15.7628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v>13.127099999999999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v>14.7339</v>
      </c>
    </row>
    <row r="443" spans="1:6" hidden="1" x14ac:dyDescent="0.25">
      <c r="A443" t="s">
        <v>7</v>
      </c>
      <c r="B443" s="2">
        <v>43194</v>
      </c>
      <c r="C443">
        <f t="shared" ref="C443:C506" si="6">YEAR(B443)</f>
        <v>2018</v>
      </c>
      <c r="E443" t="s">
        <v>6</v>
      </c>
      <c r="F443">
        <v>16.005600000000001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18.276600000000002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14.439400000000001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16.700600000000001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16.164400000000004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18.335199999999997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14.702199999999999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17.832200000000004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16.367999999999999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18.904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15.820200000000002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18.990400000000001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15.709200000000001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17.629200000000004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20.212200000000003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19.511100000000003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17.254300000000001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18.990400000000001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20.213000000000001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20.743199999999998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18.177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21.1936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17.12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20.638199999999998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19.418800000000001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21.730399999999996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17.313800000000001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21.0396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4.6560000000000006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4.2772000000000006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4.8944000000000001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3.9389999999999996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10.8528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10.956800000000001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11.326199999999998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9.9293999999999993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13.165999999999999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10.804500000000001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12.7376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15.515600000000001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12.581800000000001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15.232000000000001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16.212700000000002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17.384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17.828400000000002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14.051499999999999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16.912500000000001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17.995200000000001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18.420999999999999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15.370899999999999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17.330400000000001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18.035999999999998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19.583600000000001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15.481599999999998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16.8264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18.564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18.948599999999999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15.484999999999999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15.664599999999998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v>16.6465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v>18.004799999999999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v>14.176400000000003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v>21.337800000000001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v>17.0625</v>
      </c>
    </row>
    <row r="507" spans="1:6" hidden="1" x14ac:dyDescent="0.25">
      <c r="A507" t="s">
        <v>7</v>
      </c>
      <c r="B507" s="2">
        <v>43613</v>
      </c>
      <c r="C507">
        <f t="shared" ref="C507:C569" si="7">YEAR(B507)</f>
        <v>2019</v>
      </c>
      <c r="E507" t="s">
        <v>6</v>
      </c>
      <c r="F507">
        <v>18.391999999999999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20.178000000000001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4.8761999999999999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6.0888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6.6393999999999993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10.094700000000001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11.238399999999999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11.596500000000001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11.636900000000001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14.870200000000001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13.32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13.488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17.408000000000001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15.384600000000001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17.500999999999998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22.477499999999999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19.583600000000001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23.190299999999997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18.668399999999998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21.14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17.422999999999998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21.057399999999998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6.9315123712321158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5.4313511084294808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5.7144543386675126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8.8291548744930903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8.3138487145662179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8.0472565935445601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11.28362013570101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12.996873220121543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11.020121811353031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13.065476193540855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15.870028059077221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14.223498689674621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17.699191578753037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15.108312942068499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15.438316897742517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18.205173511905102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17.222989608255027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16.211048258733999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16.707643098532472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19.537145853036414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17.291765167818632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19.369444542004405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17.499025054421459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17.650603109848099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20.26370901829625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17.354245507768088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18.87174342283873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22.047358999831484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17.740085747275025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20.371931094087373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21.524553643903822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18.5648614072737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19.349351733779123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6.0801999999999996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12.821400000000001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14.503500000000001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v>15.633099999999999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v>18.143800000000002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v>19.821999999999999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v>20.206400000000002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v>6.7398628846985886</v>
      </c>
    </row>
    <row r="570" spans="1:6" hidden="1" x14ac:dyDescent="0.25">
      <c r="A570" t="s">
        <v>8</v>
      </c>
      <c r="B570" s="2">
        <v>44245</v>
      </c>
      <c r="C570">
        <f t="shared" ref="C570:C612" si="8">YEAR(B570)</f>
        <v>2021</v>
      </c>
      <c r="E570" t="s">
        <v>9</v>
      </c>
      <c r="F570">
        <v>10.311391387844139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12.270177875075783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13.619012088702434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15.027232099000203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16.272488100957471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17.020663419496199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18.753000702450848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18.060959017147049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18.922415892599915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20.1101714011625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6.507200000000001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9.6515999999999984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12.1128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16.083900000000003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13.984200000000001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17.474599999999999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18.167499999999997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18.589999999999996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19.700099999999999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20.844000000000001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21.191399999999998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6.8713999999999995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11.225600000000002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15.862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16.912800000000001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20.674400000000002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22.05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23.294399999999996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23.439500000000002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24.252000000000002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24.935600000000001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24.414500000000004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6.6825000000000001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10.244200000000001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12.918300000000002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14.815999999999999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16.666599999999999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17.594999999999999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19.6874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15.558299999999999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18.902399999999997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17.7288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18.723399999999998</v>
      </c>
    </row>
    <row r="613" spans="1:6" hidden="1" x14ac:dyDescent="0.25"/>
    <row r="614" spans="1:6" hidden="1" x14ac:dyDescent="0.25">
      <c r="A614" t="s">
        <v>10</v>
      </c>
      <c r="B614" s="2">
        <v>42387</v>
      </c>
      <c r="C614">
        <v>2016</v>
      </c>
      <c r="E614" t="s">
        <v>6</v>
      </c>
      <c r="F614">
        <v>4.4104000000000001</v>
      </c>
    </row>
    <row r="615" spans="1:6" hidden="1" x14ac:dyDescent="0.25">
      <c r="A615" t="s">
        <v>10</v>
      </c>
      <c r="B615" s="2">
        <v>42387</v>
      </c>
      <c r="C615">
        <v>2016</v>
      </c>
      <c r="E615" t="s">
        <v>6</v>
      </c>
      <c r="F615">
        <v>4.0226999999999995</v>
      </c>
    </row>
    <row r="616" spans="1:6" hidden="1" x14ac:dyDescent="0.25">
      <c r="A616" t="s">
        <v>10</v>
      </c>
      <c r="B616" s="2">
        <v>42423</v>
      </c>
      <c r="C616">
        <v>2016</v>
      </c>
      <c r="E616" t="s">
        <v>6</v>
      </c>
      <c r="F616">
        <v>8.7792000000000012</v>
      </c>
    </row>
    <row r="617" spans="1:6" hidden="1" x14ac:dyDescent="0.25">
      <c r="A617" t="s">
        <v>10</v>
      </c>
      <c r="B617" s="2">
        <v>42423</v>
      </c>
      <c r="C617">
        <v>2016</v>
      </c>
      <c r="E617" t="s">
        <v>6</v>
      </c>
      <c r="F617">
        <v>10.1983</v>
      </c>
    </row>
    <row r="618" spans="1:6" hidden="1" x14ac:dyDescent="0.25">
      <c r="A618" t="s">
        <v>10</v>
      </c>
      <c r="B618" s="2">
        <v>42437</v>
      </c>
      <c r="C618">
        <v>2016</v>
      </c>
      <c r="E618" t="s">
        <v>6</v>
      </c>
      <c r="F618">
        <v>10.6396</v>
      </c>
    </row>
    <row r="619" spans="1:6" hidden="1" x14ac:dyDescent="0.25">
      <c r="A619" t="s">
        <v>10</v>
      </c>
      <c r="B619" s="2">
        <v>42437</v>
      </c>
      <c r="C619">
        <v>2016</v>
      </c>
      <c r="E619" t="s">
        <v>6</v>
      </c>
      <c r="F619">
        <v>12.566400000000002</v>
      </c>
    </row>
    <row r="620" spans="1:6" hidden="1" x14ac:dyDescent="0.25">
      <c r="A620" t="s">
        <v>10</v>
      </c>
      <c r="B620" s="2">
        <v>42451</v>
      </c>
      <c r="C620">
        <v>2016</v>
      </c>
      <c r="E620" t="s">
        <v>6</v>
      </c>
      <c r="F620">
        <v>13.1417</v>
      </c>
    </row>
    <row r="621" spans="1:6" hidden="1" x14ac:dyDescent="0.25">
      <c r="A621" t="s">
        <v>10</v>
      </c>
      <c r="B621" s="2">
        <v>42451</v>
      </c>
      <c r="C621">
        <v>2016</v>
      </c>
      <c r="E621" t="s">
        <v>6</v>
      </c>
      <c r="F621">
        <v>15.063899999999999</v>
      </c>
    </row>
    <row r="622" spans="1:6" hidden="1" x14ac:dyDescent="0.25">
      <c r="A622" t="s">
        <v>10</v>
      </c>
      <c r="B622" s="2">
        <v>42466</v>
      </c>
      <c r="C622">
        <v>2016</v>
      </c>
      <c r="E622" t="s">
        <v>6</v>
      </c>
      <c r="F622">
        <v>13.760500000000002</v>
      </c>
    </row>
    <row r="623" spans="1:6" hidden="1" x14ac:dyDescent="0.25">
      <c r="A623" t="s">
        <v>10</v>
      </c>
      <c r="B623" s="2">
        <v>42467</v>
      </c>
      <c r="C623">
        <v>2016</v>
      </c>
      <c r="E623" t="s">
        <v>6</v>
      </c>
      <c r="F623">
        <v>17.350200000000001</v>
      </c>
    </row>
    <row r="624" spans="1:6" hidden="1" x14ac:dyDescent="0.25">
      <c r="A624" t="s">
        <v>10</v>
      </c>
      <c r="B624" s="2">
        <v>42474</v>
      </c>
      <c r="C624">
        <v>2016</v>
      </c>
      <c r="E624" t="s">
        <v>6</v>
      </c>
      <c r="F624">
        <v>17.640900000000002</v>
      </c>
    </row>
    <row r="625" spans="1:8" hidden="1" x14ac:dyDescent="0.25">
      <c r="A625" t="s">
        <v>10</v>
      </c>
      <c r="B625" s="2">
        <v>42475</v>
      </c>
      <c r="C625">
        <v>2016</v>
      </c>
      <c r="E625" t="s">
        <v>6</v>
      </c>
      <c r="F625">
        <v>15.382400000000001</v>
      </c>
    </row>
    <row r="626" spans="1:8" hidden="1" x14ac:dyDescent="0.25">
      <c r="A626" t="s">
        <v>10</v>
      </c>
      <c r="B626" s="2">
        <v>42482</v>
      </c>
      <c r="C626">
        <v>2016</v>
      </c>
      <c r="E626" t="s">
        <v>6</v>
      </c>
      <c r="F626">
        <v>15.494999999999999</v>
      </c>
    </row>
    <row r="627" spans="1:8" hidden="1" x14ac:dyDescent="0.25">
      <c r="A627" t="s">
        <v>10</v>
      </c>
      <c r="B627" s="2">
        <v>42482</v>
      </c>
      <c r="C627">
        <v>2016</v>
      </c>
      <c r="E627" t="s">
        <v>6</v>
      </c>
      <c r="F627">
        <v>18.595199999999998</v>
      </c>
    </row>
    <row r="628" spans="1:8" hidden="1" x14ac:dyDescent="0.25">
      <c r="A628" t="s">
        <v>10</v>
      </c>
      <c r="B628" s="2">
        <v>42486</v>
      </c>
      <c r="C628">
        <v>2016</v>
      </c>
      <c r="E628" t="s">
        <v>6</v>
      </c>
      <c r="F628">
        <v>16.027000000000001</v>
      </c>
    </row>
    <row r="629" spans="1:8" hidden="1" x14ac:dyDescent="0.25">
      <c r="A629" t="s">
        <v>10</v>
      </c>
      <c r="B629" s="2">
        <v>42486</v>
      </c>
      <c r="C629">
        <v>2016</v>
      </c>
      <c r="E629" t="s">
        <v>6</v>
      </c>
      <c r="F629">
        <v>17.986799999999999</v>
      </c>
    </row>
    <row r="630" spans="1:8" hidden="1" x14ac:dyDescent="0.25">
      <c r="A630" t="s">
        <v>10</v>
      </c>
      <c r="B630" s="2">
        <v>42493</v>
      </c>
      <c r="C630">
        <v>2016</v>
      </c>
      <c r="E630" t="s">
        <v>6</v>
      </c>
      <c r="F630">
        <v>16.594899999999999</v>
      </c>
      <c r="G630">
        <v>18.399999999999999</v>
      </c>
      <c r="H630" t="s">
        <v>27</v>
      </c>
    </row>
    <row r="631" spans="1:8" hidden="1" x14ac:dyDescent="0.25">
      <c r="A631" t="s">
        <v>10</v>
      </c>
      <c r="B631" s="2">
        <v>42493</v>
      </c>
      <c r="C631">
        <v>2016</v>
      </c>
      <c r="E631" t="s">
        <v>6</v>
      </c>
      <c r="F631">
        <v>20.163</v>
      </c>
    </row>
    <row r="632" spans="1:8" hidden="1" x14ac:dyDescent="0.25">
      <c r="A632" t="s">
        <v>10</v>
      </c>
      <c r="B632" s="2">
        <v>42510</v>
      </c>
      <c r="C632">
        <v>2016</v>
      </c>
      <c r="E632" t="s">
        <v>6</v>
      </c>
      <c r="F632">
        <v>16.858600000000003</v>
      </c>
    </row>
    <row r="633" spans="1:8" hidden="1" x14ac:dyDescent="0.25">
      <c r="A633" t="s">
        <v>10</v>
      </c>
      <c r="B633" s="2">
        <v>42510</v>
      </c>
      <c r="C633">
        <v>2016</v>
      </c>
      <c r="E633" t="s">
        <v>6</v>
      </c>
      <c r="F633">
        <v>20.4678</v>
      </c>
    </row>
    <row r="634" spans="1:8" hidden="1" x14ac:dyDescent="0.25">
      <c r="A634" t="s">
        <v>10</v>
      </c>
      <c r="B634" s="2">
        <v>42521</v>
      </c>
      <c r="C634">
        <v>2016</v>
      </c>
      <c r="E634" t="s">
        <v>6</v>
      </c>
      <c r="F634">
        <v>16.424700000000001</v>
      </c>
    </row>
    <row r="635" spans="1:8" hidden="1" x14ac:dyDescent="0.25">
      <c r="A635" t="s">
        <v>10</v>
      </c>
      <c r="B635" s="2">
        <v>42521</v>
      </c>
      <c r="C635">
        <v>2016</v>
      </c>
      <c r="E635" t="s">
        <v>6</v>
      </c>
      <c r="F635">
        <v>20.351600000000001</v>
      </c>
    </row>
    <row r="636" spans="1:8" hidden="1" x14ac:dyDescent="0.25">
      <c r="A636" t="s">
        <v>10</v>
      </c>
      <c r="B636" s="2">
        <v>42535</v>
      </c>
      <c r="C636">
        <v>2016</v>
      </c>
      <c r="E636" t="s">
        <v>6</v>
      </c>
      <c r="F636">
        <v>18.032299999999999</v>
      </c>
    </row>
    <row r="637" spans="1:8" hidden="1" x14ac:dyDescent="0.25">
      <c r="A637" t="s">
        <v>10</v>
      </c>
      <c r="B637" s="2">
        <v>42535</v>
      </c>
      <c r="C637">
        <v>2016</v>
      </c>
      <c r="E637" t="s">
        <v>6</v>
      </c>
      <c r="F637">
        <v>20.246400000000005</v>
      </c>
    </row>
    <row r="638" spans="1:8" hidden="1" x14ac:dyDescent="0.25">
      <c r="A638" t="s">
        <v>10</v>
      </c>
      <c r="B638" s="2">
        <v>42386</v>
      </c>
      <c r="C638">
        <v>2016</v>
      </c>
      <c r="E638" t="s">
        <v>6</v>
      </c>
      <c r="F638">
        <v>4.0968</v>
      </c>
    </row>
    <row r="639" spans="1:8" hidden="1" x14ac:dyDescent="0.25">
      <c r="A639" t="s">
        <v>10</v>
      </c>
      <c r="B639" s="2">
        <v>42424</v>
      </c>
      <c r="C639">
        <v>2016</v>
      </c>
      <c r="E639" t="s">
        <v>6</v>
      </c>
      <c r="F639">
        <v>10.3124</v>
      </c>
    </row>
    <row r="640" spans="1:8" hidden="1" x14ac:dyDescent="0.25">
      <c r="A640" t="s">
        <v>10</v>
      </c>
      <c r="B640" s="2">
        <v>42439</v>
      </c>
      <c r="C640">
        <v>2016</v>
      </c>
      <c r="E640" t="s">
        <v>6</v>
      </c>
      <c r="F640">
        <v>13.636800000000001</v>
      </c>
    </row>
    <row r="641" spans="1:6" hidden="1" x14ac:dyDescent="0.25">
      <c r="A641" t="s">
        <v>10</v>
      </c>
      <c r="B641" s="2">
        <v>42452</v>
      </c>
      <c r="C641">
        <v>2016</v>
      </c>
      <c r="E641" t="s">
        <v>6</v>
      </c>
      <c r="F641">
        <v>15.061199999999999</v>
      </c>
    </row>
    <row r="642" spans="1:6" hidden="1" x14ac:dyDescent="0.25">
      <c r="A642" t="s">
        <v>10</v>
      </c>
      <c r="B642" s="2">
        <v>42467</v>
      </c>
      <c r="C642">
        <v>2016</v>
      </c>
      <c r="E642" t="s">
        <v>6</v>
      </c>
      <c r="F642">
        <v>17.472000000000001</v>
      </c>
    </row>
    <row r="643" spans="1:6" hidden="1" x14ac:dyDescent="0.25">
      <c r="A643" t="s">
        <v>10</v>
      </c>
      <c r="B643" s="2">
        <v>42474</v>
      </c>
      <c r="C643">
        <v>2016</v>
      </c>
      <c r="E643" t="s">
        <v>6</v>
      </c>
      <c r="F643">
        <v>17.167999999999999</v>
      </c>
    </row>
    <row r="644" spans="1:6" hidden="1" x14ac:dyDescent="0.25">
      <c r="A644" t="s">
        <v>10</v>
      </c>
      <c r="B644" s="2">
        <v>42482</v>
      </c>
      <c r="C644">
        <v>2016</v>
      </c>
      <c r="E644" t="s">
        <v>6</v>
      </c>
      <c r="F644">
        <v>18.612000000000002</v>
      </c>
    </row>
    <row r="645" spans="1:6" hidden="1" x14ac:dyDescent="0.25">
      <c r="A645" t="s">
        <v>10</v>
      </c>
      <c r="B645" s="2">
        <v>42489</v>
      </c>
      <c r="C645">
        <v>2016</v>
      </c>
      <c r="E645" t="s">
        <v>6</v>
      </c>
      <c r="F645">
        <v>18.392800000000001</v>
      </c>
    </row>
    <row r="646" spans="1:6" hidden="1" x14ac:dyDescent="0.25">
      <c r="A646" t="s">
        <v>10</v>
      </c>
      <c r="B646" s="2">
        <v>42496</v>
      </c>
      <c r="C646">
        <v>2016</v>
      </c>
      <c r="E646" t="s">
        <v>6</v>
      </c>
      <c r="F646">
        <v>19.4208</v>
      </c>
    </row>
    <row r="647" spans="1:6" hidden="1" x14ac:dyDescent="0.25">
      <c r="A647" t="s">
        <v>10</v>
      </c>
      <c r="B647" s="2">
        <v>42510</v>
      </c>
      <c r="C647">
        <v>2016</v>
      </c>
      <c r="E647" t="s">
        <v>6</v>
      </c>
      <c r="F647">
        <v>20.248800000000003</v>
      </c>
    </row>
    <row r="648" spans="1:6" hidden="1" x14ac:dyDescent="0.25">
      <c r="A648" t="s">
        <v>10</v>
      </c>
      <c r="B648" s="2">
        <v>42523</v>
      </c>
      <c r="C648">
        <v>2016</v>
      </c>
      <c r="E648" t="s">
        <v>6</v>
      </c>
      <c r="F648">
        <v>20.370199999999997</v>
      </c>
    </row>
    <row r="649" spans="1:6" hidden="1" x14ac:dyDescent="0.25">
      <c r="A649" t="s">
        <v>10</v>
      </c>
      <c r="B649" s="2">
        <v>42535</v>
      </c>
      <c r="C649">
        <v>2016</v>
      </c>
      <c r="E649" t="s">
        <v>6</v>
      </c>
      <c r="F649">
        <v>21.318899999999999</v>
      </c>
    </row>
    <row r="650" spans="1:6" hidden="1" x14ac:dyDescent="0.25">
      <c r="A650" t="s">
        <v>10</v>
      </c>
      <c r="B650" s="2">
        <v>42386</v>
      </c>
      <c r="C650">
        <v>2016</v>
      </c>
      <c r="E650" t="s">
        <v>6</v>
      </c>
      <c r="F650">
        <v>5.0204000000000004</v>
      </c>
    </row>
    <row r="651" spans="1:6" hidden="1" x14ac:dyDescent="0.25">
      <c r="A651" t="s">
        <v>10</v>
      </c>
      <c r="B651" s="2">
        <v>42386</v>
      </c>
      <c r="C651">
        <v>2016</v>
      </c>
      <c r="E651" t="s">
        <v>6</v>
      </c>
      <c r="F651">
        <v>4.4855999999999998</v>
      </c>
    </row>
    <row r="652" spans="1:6" hidden="1" x14ac:dyDescent="0.25">
      <c r="A652" t="s">
        <v>10</v>
      </c>
      <c r="B652" s="2">
        <v>42386</v>
      </c>
      <c r="C652">
        <v>2016</v>
      </c>
      <c r="E652" t="s">
        <v>6</v>
      </c>
      <c r="F652">
        <v>4.4676</v>
      </c>
    </row>
    <row r="653" spans="1:6" hidden="1" x14ac:dyDescent="0.25">
      <c r="A653" t="s">
        <v>10</v>
      </c>
      <c r="B653" s="2">
        <v>42389</v>
      </c>
      <c r="C653">
        <v>2016</v>
      </c>
      <c r="E653" t="s">
        <v>6</v>
      </c>
      <c r="F653">
        <v>4.758</v>
      </c>
    </row>
    <row r="654" spans="1:6" hidden="1" x14ac:dyDescent="0.25">
      <c r="A654" t="s">
        <v>10</v>
      </c>
      <c r="B654" s="2">
        <v>42424</v>
      </c>
      <c r="C654">
        <v>2016</v>
      </c>
      <c r="E654" t="s">
        <v>6</v>
      </c>
      <c r="F654">
        <v>12.196100000000001</v>
      </c>
    </row>
    <row r="655" spans="1:6" hidden="1" x14ac:dyDescent="0.25">
      <c r="A655" t="s">
        <v>10</v>
      </c>
      <c r="B655" s="2">
        <v>42424</v>
      </c>
      <c r="C655">
        <v>2016</v>
      </c>
      <c r="E655" t="s">
        <v>6</v>
      </c>
      <c r="F655">
        <v>11.2395</v>
      </c>
    </row>
    <row r="656" spans="1:6" hidden="1" x14ac:dyDescent="0.25">
      <c r="A656" t="s">
        <v>10</v>
      </c>
      <c r="B656" s="2">
        <v>42424</v>
      </c>
      <c r="C656">
        <v>2016</v>
      </c>
      <c r="E656" t="s">
        <v>6</v>
      </c>
      <c r="F656">
        <v>9.4307999999999996</v>
      </c>
    </row>
    <row r="657" spans="1:6" hidden="1" x14ac:dyDescent="0.25">
      <c r="A657" t="s">
        <v>10</v>
      </c>
      <c r="B657" s="2">
        <v>42424</v>
      </c>
      <c r="C657">
        <v>2016</v>
      </c>
      <c r="E657" t="s">
        <v>6</v>
      </c>
      <c r="F657">
        <v>9.2748000000000008</v>
      </c>
    </row>
    <row r="658" spans="1:6" hidden="1" x14ac:dyDescent="0.25">
      <c r="A658" t="s">
        <v>10</v>
      </c>
      <c r="B658" s="2">
        <v>42438</v>
      </c>
      <c r="C658">
        <v>2016</v>
      </c>
      <c r="E658" t="s">
        <v>6</v>
      </c>
      <c r="F658">
        <v>11.587200000000001</v>
      </c>
    </row>
    <row r="659" spans="1:6" hidden="1" x14ac:dyDescent="0.25">
      <c r="A659" t="s">
        <v>10</v>
      </c>
      <c r="B659" s="2">
        <v>42439</v>
      </c>
      <c r="C659">
        <v>2016</v>
      </c>
      <c r="E659" t="s">
        <v>6</v>
      </c>
      <c r="F659">
        <v>15.09</v>
      </c>
    </row>
    <row r="660" spans="1:6" hidden="1" x14ac:dyDescent="0.25">
      <c r="A660" t="s">
        <v>10</v>
      </c>
      <c r="B660" s="2">
        <v>42439</v>
      </c>
      <c r="C660">
        <v>2016</v>
      </c>
      <c r="E660" t="s">
        <v>6</v>
      </c>
      <c r="F660">
        <v>14.128999999999998</v>
      </c>
    </row>
    <row r="661" spans="1:6" hidden="1" x14ac:dyDescent="0.25">
      <c r="A661" t="s">
        <v>10</v>
      </c>
      <c r="B661" s="2">
        <v>42439</v>
      </c>
      <c r="C661">
        <v>2016</v>
      </c>
      <c r="E661" t="s">
        <v>6</v>
      </c>
      <c r="F661">
        <v>11.226700000000001</v>
      </c>
    </row>
    <row r="662" spans="1:6" hidden="1" x14ac:dyDescent="0.25">
      <c r="A662" t="s">
        <v>10</v>
      </c>
      <c r="B662" s="2">
        <v>42452</v>
      </c>
      <c r="C662">
        <v>2016</v>
      </c>
      <c r="E662" t="s">
        <v>6</v>
      </c>
      <c r="F662">
        <v>17.301000000000002</v>
      </c>
    </row>
    <row r="663" spans="1:6" hidden="1" x14ac:dyDescent="0.25">
      <c r="A663" t="s">
        <v>10</v>
      </c>
      <c r="B663" s="2">
        <v>42452</v>
      </c>
      <c r="C663">
        <v>2016</v>
      </c>
      <c r="E663" t="s">
        <v>6</v>
      </c>
      <c r="F663">
        <v>15.54</v>
      </c>
    </row>
    <row r="664" spans="1:6" hidden="1" x14ac:dyDescent="0.25">
      <c r="A664" t="s">
        <v>10</v>
      </c>
      <c r="B664" s="2">
        <v>42452</v>
      </c>
      <c r="C664">
        <v>2016</v>
      </c>
      <c r="E664" t="s">
        <v>6</v>
      </c>
      <c r="F664">
        <v>13.2258</v>
      </c>
    </row>
    <row r="665" spans="1:6" hidden="1" x14ac:dyDescent="0.25">
      <c r="A665" t="s">
        <v>10</v>
      </c>
      <c r="B665" s="2">
        <v>42452</v>
      </c>
      <c r="C665">
        <v>2016</v>
      </c>
      <c r="E665" t="s">
        <v>6</v>
      </c>
      <c r="F665">
        <v>13.281999999999998</v>
      </c>
    </row>
    <row r="666" spans="1:6" hidden="1" x14ac:dyDescent="0.25">
      <c r="A666" t="s">
        <v>10</v>
      </c>
      <c r="B666" s="2">
        <v>42467</v>
      </c>
      <c r="C666">
        <v>2016</v>
      </c>
      <c r="E666" t="s">
        <v>6</v>
      </c>
      <c r="F666">
        <v>19.822900000000001</v>
      </c>
    </row>
    <row r="667" spans="1:6" hidden="1" x14ac:dyDescent="0.25">
      <c r="A667" t="s">
        <v>10</v>
      </c>
      <c r="B667" s="2">
        <v>42467</v>
      </c>
      <c r="C667">
        <v>2016</v>
      </c>
      <c r="E667" t="s">
        <v>6</v>
      </c>
      <c r="F667">
        <v>17.417400000000001</v>
      </c>
    </row>
    <row r="668" spans="1:6" hidden="1" x14ac:dyDescent="0.25">
      <c r="A668" t="s">
        <v>10</v>
      </c>
      <c r="B668" s="2">
        <v>42467</v>
      </c>
      <c r="C668">
        <v>2016</v>
      </c>
      <c r="E668" t="s">
        <v>6</v>
      </c>
      <c r="F668">
        <v>15.3</v>
      </c>
    </row>
    <row r="669" spans="1:6" hidden="1" x14ac:dyDescent="0.25">
      <c r="A669" t="s">
        <v>10</v>
      </c>
      <c r="B669" s="2">
        <v>42467</v>
      </c>
      <c r="C669">
        <v>2016</v>
      </c>
      <c r="E669" t="s">
        <v>6</v>
      </c>
      <c r="F669">
        <v>15.123999999999999</v>
      </c>
    </row>
    <row r="670" spans="1:6" hidden="1" x14ac:dyDescent="0.25">
      <c r="A670" t="s">
        <v>10</v>
      </c>
      <c r="B670" s="2">
        <v>42474</v>
      </c>
      <c r="C670">
        <v>2016</v>
      </c>
      <c r="E670" t="s">
        <v>6</v>
      </c>
      <c r="F670">
        <v>15.631000000000002</v>
      </c>
    </row>
    <row r="671" spans="1:6" hidden="1" x14ac:dyDescent="0.25">
      <c r="A671" t="s">
        <v>10</v>
      </c>
      <c r="B671" s="2">
        <v>42475</v>
      </c>
      <c r="C671">
        <v>2016</v>
      </c>
      <c r="E671" t="s">
        <v>6</v>
      </c>
      <c r="F671">
        <v>19.618500000000001</v>
      </c>
    </row>
    <row r="672" spans="1:6" hidden="1" x14ac:dyDescent="0.25">
      <c r="A672" t="s">
        <v>10</v>
      </c>
      <c r="B672" s="2">
        <v>42475</v>
      </c>
      <c r="C672">
        <v>2016</v>
      </c>
      <c r="E672" t="s">
        <v>6</v>
      </c>
      <c r="F672">
        <v>17.6311</v>
      </c>
    </row>
    <row r="673" spans="1:6" hidden="1" x14ac:dyDescent="0.25">
      <c r="A673" t="s">
        <v>10</v>
      </c>
      <c r="B673" s="2">
        <v>42475</v>
      </c>
      <c r="C673">
        <v>2016</v>
      </c>
      <c r="E673" t="s">
        <v>6</v>
      </c>
      <c r="F673">
        <v>15.853599999999998</v>
      </c>
    </row>
    <row r="674" spans="1:6" hidden="1" x14ac:dyDescent="0.25">
      <c r="A674" t="s">
        <v>10</v>
      </c>
      <c r="B674" s="2">
        <v>42482</v>
      </c>
      <c r="C674">
        <v>2016</v>
      </c>
      <c r="E674" t="s">
        <v>6</v>
      </c>
      <c r="F674">
        <v>20.432100000000002</v>
      </c>
    </row>
    <row r="675" spans="1:6" hidden="1" x14ac:dyDescent="0.25">
      <c r="A675" t="s">
        <v>10</v>
      </c>
      <c r="B675" s="2">
        <v>42482</v>
      </c>
      <c r="C675">
        <v>2016</v>
      </c>
      <c r="E675" t="s">
        <v>6</v>
      </c>
      <c r="F675">
        <v>17.929400000000001</v>
      </c>
    </row>
    <row r="676" spans="1:6" hidden="1" x14ac:dyDescent="0.25">
      <c r="A676" t="s">
        <v>10</v>
      </c>
      <c r="B676" s="2">
        <v>42482</v>
      </c>
      <c r="C676">
        <v>2016</v>
      </c>
      <c r="E676" t="s">
        <v>6</v>
      </c>
      <c r="F676">
        <v>15.902999999999999</v>
      </c>
    </row>
    <row r="677" spans="1:6" hidden="1" x14ac:dyDescent="0.25">
      <c r="A677" t="s">
        <v>10</v>
      </c>
      <c r="B677" s="2">
        <v>42482</v>
      </c>
      <c r="C677">
        <v>2016</v>
      </c>
      <c r="E677" t="s">
        <v>6</v>
      </c>
      <c r="F677">
        <v>15.250999999999999</v>
      </c>
    </row>
    <row r="678" spans="1:6" hidden="1" x14ac:dyDescent="0.25">
      <c r="A678" t="s">
        <v>10</v>
      </c>
      <c r="B678" s="2">
        <v>42489</v>
      </c>
      <c r="C678">
        <v>2016</v>
      </c>
      <c r="E678" t="s">
        <v>6</v>
      </c>
      <c r="F678">
        <v>21.367199999999997</v>
      </c>
    </row>
    <row r="679" spans="1:6" hidden="1" x14ac:dyDescent="0.25">
      <c r="A679" t="s">
        <v>10</v>
      </c>
      <c r="B679" s="2">
        <v>42489</v>
      </c>
      <c r="C679">
        <v>2016</v>
      </c>
      <c r="E679" t="s">
        <v>6</v>
      </c>
      <c r="F679">
        <v>18.768000000000001</v>
      </c>
    </row>
    <row r="680" spans="1:6" hidden="1" x14ac:dyDescent="0.25">
      <c r="A680" t="s">
        <v>10</v>
      </c>
      <c r="B680" s="2">
        <v>42489</v>
      </c>
      <c r="C680">
        <v>2016</v>
      </c>
      <c r="E680" t="s">
        <v>6</v>
      </c>
      <c r="F680">
        <v>16.2181</v>
      </c>
    </row>
    <row r="681" spans="1:6" hidden="1" x14ac:dyDescent="0.25">
      <c r="A681" t="s">
        <v>10</v>
      </c>
      <c r="B681" s="2">
        <v>42489</v>
      </c>
      <c r="C681">
        <v>2016</v>
      </c>
      <c r="E681" t="s">
        <v>6</v>
      </c>
      <c r="F681">
        <v>16.453599999999998</v>
      </c>
    </row>
    <row r="682" spans="1:6" hidden="1" x14ac:dyDescent="0.25">
      <c r="A682" t="s">
        <v>10</v>
      </c>
      <c r="B682" s="2">
        <v>42494</v>
      </c>
      <c r="C682">
        <v>2016</v>
      </c>
      <c r="E682" t="s">
        <v>6</v>
      </c>
      <c r="F682">
        <v>17.5168</v>
      </c>
    </row>
    <row r="683" spans="1:6" hidden="1" x14ac:dyDescent="0.25">
      <c r="A683" t="s">
        <v>10</v>
      </c>
      <c r="B683" s="2">
        <v>42496</v>
      </c>
      <c r="C683">
        <v>2016</v>
      </c>
      <c r="E683" t="s">
        <v>6</v>
      </c>
      <c r="F683">
        <v>20.984000000000002</v>
      </c>
    </row>
    <row r="684" spans="1:6" hidden="1" x14ac:dyDescent="0.25">
      <c r="A684" t="s">
        <v>10</v>
      </c>
      <c r="B684" s="2">
        <v>42496</v>
      </c>
      <c r="C684">
        <v>2016</v>
      </c>
      <c r="E684" t="s">
        <v>6</v>
      </c>
      <c r="F684">
        <v>19.8352</v>
      </c>
    </row>
    <row r="685" spans="1:6" hidden="1" x14ac:dyDescent="0.25">
      <c r="A685" t="s">
        <v>10</v>
      </c>
      <c r="B685" s="2">
        <v>42496</v>
      </c>
      <c r="C685">
        <v>2016</v>
      </c>
      <c r="E685" t="s">
        <v>6</v>
      </c>
      <c r="F685">
        <v>16.9938</v>
      </c>
    </row>
    <row r="686" spans="1:6" hidden="1" x14ac:dyDescent="0.25">
      <c r="A686" t="s">
        <v>10</v>
      </c>
      <c r="B686" s="2">
        <v>42509</v>
      </c>
      <c r="C686">
        <v>2016</v>
      </c>
      <c r="E686" t="s">
        <v>6</v>
      </c>
      <c r="F686">
        <v>21.454999999999998</v>
      </c>
    </row>
    <row r="687" spans="1:6" hidden="1" x14ac:dyDescent="0.25">
      <c r="A687" t="s">
        <v>10</v>
      </c>
      <c r="B687" s="2">
        <v>42509</v>
      </c>
      <c r="C687">
        <v>2016</v>
      </c>
      <c r="E687" t="s">
        <v>6</v>
      </c>
      <c r="F687">
        <v>18.9468</v>
      </c>
    </row>
    <row r="688" spans="1:6" hidden="1" x14ac:dyDescent="0.25">
      <c r="A688" t="s">
        <v>10</v>
      </c>
      <c r="B688" s="2">
        <v>42509</v>
      </c>
      <c r="C688">
        <v>2016</v>
      </c>
      <c r="E688" t="s">
        <v>6</v>
      </c>
      <c r="F688">
        <v>18.04</v>
      </c>
    </row>
    <row r="689" spans="1:6" hidden="1" x14ac:dyDescent="0.25">
      <c r="A689" t="s">
        <v>10</v>
      </c>
      <c r="B689" s="2">
        <v>42510</v>
      </c>
      <c r="C689">
        <v>2016</v>
      </c>
      <c r="E689" t="s">
        <v>6</v>
      </c>
      <c r="F689">
        <v>20.445600000000002</v>
      </c>
    </row>
    <row r="690" spans="1:6" hidden="1" x14ac:dyDescent="0.25">
      <c r="A690" t="s">
        <v>10</v>
      </c>
      <c r="B690" s="2">
        <v>42522</v>
      </c>
      <c r="C690">
        <v>2016</v>
      </c>
      <c r="E690" t="s">
        <v>6</v>
      </c>
      <c r="F690">
        <v>18.638999999999999</v>
      </c>
    </row>
    <row r="691" spans="1:6" hidden="1" x14ac:dyDescent="0.25">
      <c r="A691" t="s">
        <v>10</v>
      </c>
      <c r="B691" s="2">
        <v>42523</v>
      </c>
      <c r="C691">
        <v>2016</v>
      </c>
      <c r="E691" t="s">
        <v>6</v>
      </c>
      <c r="F691">
        <v>21.87</v>
      </c>
    </row>
    <row r="692" spans="1:6" hidden="1" x14ac:dyDescent="0.25">
      <c r="A692" t="s">
        <v>10</v>
      </c>
      <c r="B692" s="2">
        <v>42523</v>
      </c>
      <c r="C692">
        <v>2016</v>
      </c>
      <c r="E692" t="s">
        <v>6</v>
      </c>
      <c r="F692">
        <v>20.708099999999998</v>
      </c>
    </row>
    <row r="693" spans="1:6" hidden="1" x14ac:dyDescent="0.25">
      <c r="A693" t="s">
        <v>10</v>
      </c>
      <c r="B693" s="2">
        <v>42523</v>
      </c>
      <c r="C693">
        <v>2016</v>
      </c>
      <c r="E693" t="s">
        <v>6</v>
      </c>
      <c r="F693">
        <v>18.211200000000002</v>
      </c>
    </row>
    <row r="694" spans="1:6" hidden="1" x14ac:dyDescent="0.25">
      <c r="A694" t="s">
        <v>10</v>
      </c>
      <c r="B694" s="2">
        <v>42531</v>
      </c>
      <c r="C694">
        <v>2016</v>
      </c>
      <c r="E694" t="s">
        <v>6</v>
      </c>
      <c r="F694">
        <v>20.832000000000004</v>
      </c>
    </row>
    <row r="695" spans="1:6" hidden="1" x14ac:dyDescent="0.25">
      <c r="A695" t="s">
        <v>10</v>
      </c>
      <c r="B695" s="2">
        <v>42535</v>
      </c>
      <c r="C695">
        <v>2016</v>
      </c>
      <c r="E695" t="s">
        <v>6</v>
      </c>
      <c r="F695">
        <v>22.302000000000003</v>
      </c>
    </row>
    <row r="696" spans="1:6" hidden="1" x14ac:dyDescent="0.25">
      <c r="A696" t="s">
        <v>10</v>
      </c>
      <c r="B696" s="2">
        <v>42535</v>
      </c>
      <c r="C696">
        <v>2016</v>
      </c>
      <c r="E696" t="s">
        <v>6</v>
      </c>
      <c r="F696">
        <v>19.825800000000001</v>
      </c>
    </row>
    <row r="697" spans="1:6" hidden="1" x14ac:dyDescent="0.25">
      <c r="A697" t="s">
        <v>11</v>
      </c>
      <c r="B697" s="2">
        <v>42752</v>
      </c>
      <c r="C697">
        <v>2017</v>
      </c>
      <c r="E697" t="s">
        <v>6</v>
      </c>
      <c r="F697">
        <v>5.5297999999999989</v>
      </c>
    </row>
    <row r="698" spans="1:6" hidden="1" x14ac:dyDescent="0.25">
      <c r="A698" t="s">
        <v>11</v>
      </c>
      <c r="B698" s="2">
        <v>42752</v>
      </c>
      <c r="C698">
        <v>2017</v>
      </c>
      <c r="E698" t="s">
        <v>6</v>
      </c>
      <c r="F698">
        <v>3.9312</v>
      </c>
    </row>
    <row r="699" spans="1:6" hidden="1" x14ac:dyDescent="0.25">
      <c r="A699" t="s">
        <v>11</v>
      </c>
      <c r="B699" s="2">
        <v>42787</v>
      </c>
      <c r="C699">
        <v>2017</v>
      </c>
      <c r="E699" t="s">
        <v>6</v>
      </c>
      <c r="F699">
        <v>11.007999999999999</v>
      </c>
    </row>
    <row r="700" spans="1:6" hidden="1" x14ac:dyDescent="0.25">
      <c r="A700" t="s">
        <v>11</v>
      </c>
      <c r="B700" s="2">
        <v>42787</v>
      </c>
      <c r="C700">
        <v>2017</v>
      </c>
      <c r="E700" t="s">
        <v>6</v>
      </c>
      <c r="F700">
        <v>9.4163999999999994</v>
      </c>
    </row>
    <row r="701" spans="1:6" hidden="1" x14ac:dyDescent="0.25">
      <c r="A701" t="s">
        <v>11</v>
      </c>
      <c r="B701" s="2">
        <v>42801</v>
      </c>
      <c r="C701">
        <v>2017</v>
      </c>
      <c r="E701" t="s">
        <v>6</v>
      </c>
      <c r="F701">
        <v>13.7995</v>
      </c>
    </row>
    <row r="702" spans="1:6" hidden="1" x14ac:dyDescent="0.25">
      <c r="A702" t="s">
        <v>11</v>
      </c>
      <c r="B702" s="2">
        <v>42801</v>
      </c>
      <c r="C702">
        <v>2017</v>
      </c>
      <c r="E702" t="s">
        <v>6</v>
      </c>
      <c r="F702">
        <v>11.226800000000001</v>
      </c>
    </row>
    <row r="703" spans="1:6" hidden="1" x14ac:dyDescent="0.25">
      <c r="A703" t="s">
        <v>11</v>
      </c>
      <c r="B703" s="2">
        <v>42815</v>
      </c>
      <c r="C703">
        <v>2017</v>
      </c>
      <c r="E703" t="s">
        <v>6</v>
      </c>
      <c r="F703">
        <v>15.111599999999999</v>
      </c>
    </row>
    <row r="704" spans="1:6" hidden="1" x14ac:dyDescent="0.25">
      <c r="A704" t="s">
        <v>11</v>
      </c>
      <c r="B704" s="2">
        <v>42815</v>
      </c>
      <c r="C704">
        <v>2017</v>
      </c>
      <c r="E704" t="s">
        <v>6</v>
      </c>
      <c r="F704">
        <v>12.8232</v>
      </c>
    </row>
    <row r="705" spans="1:8" hidden="1" x14ac:dyDescent="0.25">
      <c r="A705" t="s">
        <v>11</v>
      </c>
      <c r="B705" s="2">
        <v>42829</v>
      </c>
      <c r="C705">
        <v>2017</v>
      </c>
      <c r="E705" t="s">
        <v>6</v>
      </c>
      <c r="F705">
        <v>17.962200000000003</v>
      </c>
    </row>
    <row r="706" spans="1:8" hidden="1" x14ac:dyDescent="0.25">
      <c r="A706" t="s">
        <v>11</v>
      </c>
      <c r="B706" s="2">
        <v>42829</v>
      </c>
      <c r="C706">
        <v>2017</v>
      </c>
      <c r="E706" t="s">
        <v>6</v>
      </c>
      <c r="F706">
        <v>14.860800000000001</v>
      </c>
    </row>
    <row r="707" spans="1:8" hidden="1" x14ac:dyDescent="0.25">
      <c r="A707" t="s">
        <v>11</v>
      </c>
      <c r="B707" s="2">
        <v>42839</v>
      </c>
      <c r="C707">
        <v>2017</v>
      </c>
      <c r="E707" t="s">
        <v>6</v>
      </c>
      <c r="F707">
        <v>17.060500000000001</v>
      </c>
    </row>
    <row r="708" spans="1:8" hidden="1" x14ac:dyDescent="0.25">
      <c r="A708" t="s">
        <v>11</v>
      </c>
      <c r="B708" s="2">
        <v>42839</v>
      </c>
      <c r="C708">
        <v>2017</v>
      </c>
      <c r="E708" t="s">
        <v>6</v>
      </c>
      <c r="F708">
        <v>15.463800000000001</v>
      </c>
    </row>
    <row r="709" spans="1:8" hidden="1" x14ac:dyDescent="0.25">
      <c r="A709" t="s">
        <v>11</v>
      </c>
      <c r="B709" s="2">
        <v>42844</v>
      </c>
      <c r="C709">
        <v>2017</v>
      </c>
      <c r="E709" t="s">
        <v>6</v>
      </c>
      <c r="F709">
        <v>18.667300000000001</v>
      </c>
    </row>
    <row r="710" spans="1:8" hidden="1" x14ac:dyDescent="0.25">
      <c r="A710" t="s">
        <v>11</v>
      </c>
      <c r="B710" s="2">
        <v>42844</v>
      </c>
      <c r="C710">
        <v>2017</v>
      </c>
      <c r="E710" t="s">
        <v>6</v>
      </c>
      <c r="F710">
        <v>16.658200000000001</v>
      </c>
    </row>
    <row r="711" spans="1:8" hidden="1" x14ac:dyDescent="0.25">
      <c r="A711" t="s">
        <v>11</v>
      </c>
      <c r="B711" s="2">
        <v>42850</v>
      </c>
      <c r="C711">
        <v>2017</v>
      </c>
      <c r="E711" t="s">
        <v>6</v>
      </c>
      <c r="F711">
        <v>16.6402</v>
      </c>
    </row>
    <row r="712" spans="1:8" hidden="1" x14ac:dyDescent="0.25">
      <c r="A712" t="s">
        <v>11</v>
      </c>
      <c r="B712" s="2">
        <v>42853</v>
      </c>
      <c r="C712">
        <v>2017</v>
      </c>
      <c r="E712" t="s">
        <v>6</v>
      </c>
      <c r="F712">
        <v>19.811399999999999</v>
      </c>
    </row>
    <row r="713" spans="1:8" hidden="1" x14ac:dyDescent="0.25">
      <c r="A713" t="s">
        <v>11</v>
      </c>
      <c r="B713" s="2">
        <v>42858</v>
      </c>
      <c r="C713">
        <v>2017</v>
      </c>
      <c r="E713" t="s">
        <v>6</v>
      </c>
      <c r="F713">
        <v>19.400500000000001</v>
      </c>
      <c r="G713">
        <v>20.260000000000002</v>
      </c>
      <c r="H713" t="s">
        <v>27</v>
      </c>
    </row>
    <row r="714" spans="1:8" hidden="1" x14ac:dyDescent="0.25">
      <c r="A714" t="s">
        <v>11</v>
      </c>
      <c r="B714" s="2">
        <v>42858</v>
      </c>
      <c r="C714">
        <v>2017</v>
      </c>
      <c r="E714" t="s">
        <v>6</v>
      </c>
      <c r="F714">
        <v>16.364999999999998</v>
      </c>
    </row>
    <row r="715" spans="1:8" hidden="1" x14ac:dyDescent="0.25">
      <c r="A715" t="s">
        <v>11</v>
      </c>
      <c r="B715" s="2">
        <v>42871</v>
      </c>
      <c r="C715">
        <v>2017</v>
      </c>
      <c r="E715" t="s">
        <v>6</v>
      </c>
      <c r="F715">
        <v>20.764800000000001</v>
      </c>
    </row>
    <row r="716" spans="1:8" hidden="1" x14ac:dyDescent="0.25">
      <c r="A716" t="s">
        <v>11</v>
      </c>
      <c r="B716" s="2">
        <v>42871</v>
      </c>
      <c r="C716">
        <v>2017</v>
      </c>
      <c r="E716" t="s">
        <v>6</v>
      </c>
      <c r="F716">
        <v>19.067399999999999</v>
      </c>
    </row>
    <row r="717" spans="1:8" hidden="1" x14ac:dyDescent="0.25">
      <c r="A717" t="s">
        <v>11</v>
      </c>
      <c r="B717" s="2">
        <v>42885</v>
      </c>
      <c r="C717">
        <v>2017</v>
      </c>
      <c r="E717" t="s">
        <v>6</v>
      </c>
      <c r="F717">
        <v>20.5335</v>
      </c>
    </row>
    <row r="718" spans="1:8" hidden="1" x14ac:dyDescent="0.25">
      <c r="A718" t="s">
        <v>11</v>
      </c>
      <c r="B718" s="2">
        <v>42885</v>
      </c>
      <c r="C718">
        <v>2017</v>
      </c>
      <c r="E718" t="s">
        <v>6</v>
      </c>
      <c r="F718">
        <v>19.3644</v>
      </c>
    </row>
    <row r="719" spans="1:8" hidden="1" x14ac:dyDescent="0.25">
      <c r="A719" t="s">
        <v>11</v>
      </c>
      <c r="B719" s="2">
        <v>42893</v>
      </c>
      <c r="C719">
        <v>2017</v>
      </c>
      <c r="E719" t="s">
        <v>6</v>
      </c>
      <c r="F719">
        <v>20.930400000000006</v>
      </c>
    </row>
    <row r="720" spans="1:8" hidden="1" x14ac:dyDescent="0.25">
      <c r="A720" t="s">
        <v>11</v>
      </c>
      <c r="B720" s="2">
        <v>42893</v>
      </c>
      <c r="C720">
        <v>2017</v>
      </c>
      <c r="E720" t="s">
        <v>6</v>
      </c>
      <c r="F720">
        <v>18.645</v>
      </c>
    </row>
    <row r="721" spans="1:6" hidden="1" x14ac:dyDescent="0.25">
      <c r="A721" t="s">
        <v>11</v>
      </c>
      <c r="B721" s="2">
        <v>42907</v>
      </c>
      <c r="C721">
        <v>2017</v>
      </c>
      <c r="E721" t="s">
        <v>6</v>
      </c>
      <c r="F721">
        <v>20.050700000000003</v>
      </c>
    </row>
    <row r="722" spans="1:6" hidden="1" x14ac:dyDescent="0.25">
      <c r="A722" t="s">
        <v>11</v>
      </c>
      <c r="B722" s="2">
        <v>42907</v>
      </c>
      <c r="C722">
        <v>2017</v>
      </c>
      <c r="E722" t="s">
        <v>6</v>
      </c>
      <c r="F722">
        <v>19.302800000000001</v>
      </c>
    </row>
    <row r="723" spans="1:6" hidden="1" x14ac:dyDescent="0.25">
      <c r="A723" t="s">
        <v>11</v>
      </c>
      <c r="B723" s="2">
        <v>42753</v>
      </c>
      <c r="C723">
        <v>2017</v>
      </c>
      <c r="E723" t="s">
        <v>6</v>
      </c>
      <c r="F723">
        <v>5.1040000000000001</v>
      </c>
    </row>
    <row r="724" spans="1:6" hidden="1" x14ac:dyDescent="0.25">
      <c r="A724" t="s">
        <v>11</v>
      </c>
      <c r="B724" s="2">
        <v>42789</v>
      </c>
      <c r="C724">
        <v>2017</v>
      </c>
      <c r="E724" t="s">
        <v>6</v>
      </c>
      <c r="F724">
        <v>11.519600000000001</v>
      </c>
    </row>
    <row r="725" spans="1:6" hidden="1" x14ac:dyDescent="0.25">
      <c r="A725" t="s">
        <v>11</v>
      </c>
      <c r="B725" s="2">
        <v>42804</v>
      </c>
      <c r="C725">
        <v>2017</v>
      </c>
      <c r="E725" t="s">
        <v>6</v>
      </c>
      <c r="F725">
        <v>15.008799999999999</v>
      </c>
    </row>
    <row r="726" spans="1:6" hidden="1" x14ac:dyDescent="0.25">
      <c r="A726" t="s">
        <v>11</v>
      </c>
      <c r="B726" s="2">
        <v>42817</v>
      </c>
      <c r="C726">
        <v>2017</v>
      </c>
      <c r="E726" t="s">
        <v>6</v>
      </c>
      <c r="F726">
        <v>17.391000000000002</v>
      </c>
    </row>
    <row r="727" spans="1:6" hidden="1" x14ac:dyDescent="0.25">
      <c r="A727" t="s">
        <v>11</v>
      </c>
      <c r="B727" s="2">
        <v>42832</v>
      </c>
      <c r="C727">
        <v>2017</v>
      </c>
      <c r="E727" t="s">
        <v>6</v>
      </c>
      <c r="F727">
        <v>19.684200000000001</v>
      </c>
    </row>
    <row r="728" spans="1:6" hidden="1" x14ac:dyDescent="0.25">
      <c r="A728" t="s">
        <v>11</v>
      </c>
      <c r="B728" s="2">
        <v>42838</v>
      </c>
      <c r="C728">
        <v>2017</v>
      </c>
      <c r="E728" t="s">
        <v>6</v>
      </c>
      <c r="F728">
        <v>20.144000000000002</v>
      </c>
    </row>
    <row r="729" spans="1:6" hidden="1" x14ac:dyDescent="0.25">
      <c r="A729" t="s">
        <v>11</v>
      </c>
      <c r="B729" s="2">
        <v>42845</v>
      </c>
      <c r="C729">
        <v>2017</v>
      </c>
      <c r="E729" t="s">
        <v>6</v>
      </c>
      <c r="F729">
        <v>21.559699999999999</v>
      </c>
    </row>
    <row r="730" spans="1:6" hidden="1" x14ac:dyDescent="0.25">
      <c r="A730" t="s">
        <v>11</v>
      </c>
      <c r="B730" s="2">
        <v>42853</v>
      </c>
      <c r="C730">
        <v>2017</v>
      </c>
      <c r="E730" t="s">
        <v>6</v>
      </c>
      <c r="F730">
        <v>22.3249</v>
      </c>
    </row>
    <row r="731" spans="1:6" hidden="1" x14ac:dyDescent="0.25">
      <c r="A731" t="s">
        <v>11</v>
      </c>
      <c r="B731" s="2">
        <v>42859</v>
      </c>
      <c r="C731">
        <v>2017</v>
      </c>
      <c r="E731" t="s">
        <v>6</v>
      </c>
      <c r="F731">
        <v>22.423000000000002</v>
      </c>
    </row>
    <row r="732" spans="1:6" hidden="1" x14ac:dyDescent="0.25">
      <c r="A732" t="s">
        <v>11</v>
      </c>
      <c r="B732" s="2">
        <v>42873</v>
      </c>
      <c r="C732">
        <v>2017</v>
      </c>
      <c r="E732" t="s">
        <v>6</v>
      </c>
      <c r="F732">
        <v>23.824199999999998</v>
      </c>
    </row>
    <row r="733" spans="1:6" hidden="1" x14ac:dyDescent="0.25">
      <c r="A733" t="s">
        <v>11</v>
      </c>
      <c r="B733" s="2">
        <v>42887</v>
      </c>
      <c r="C733">
        <v>2017</v>
      </c>
      <c r="E733" t="s">
        <v>6</v>
      </c>
      <c r="F733">
        <v>23.8596</v>
      </c>
    </row>
    <row r="734" spans="1:6" hidden="1" x14ac:dyDescent="0.25">
      <c r="A734" t="s">
        <v>11</v>
      </c>
      <c r="B734" s="2">
        <v>42894</v>
      </c>
      <c r="C734">
        <v>2017</v>
      </c>
      <c r="E734" t="s">
        <v>6</v>
      </c>
      <c r="F734">
        <v>23.692900000000005</v>
      </c>
    </row>
    <row r="735" spans="1:6" hidden="1" x14ac:dyDescent="0.25">
      <c r="A735" t="s">
        <v>11</v>
      </c>
      <c r="B735" s="2">
        <v>42908</v>
      </c>
      <c r="C735">
        <v>2017</v>
      </c>
      <c r="E735" t="s">
        <v>6</v>
      </c>
      <c r="F735">
        <v>22.8583</v>
      </c>
    </row>
    <row r="736" spans="1:6" hidden="1" x14ac:dyDescent="0.25">
      <c r="A736" t="s">
        <v>11</v>
      </c>
      <c r="B736" s="2">
        <v>42753</v>
      </c>
      <c r="C736">
        <v>2017</v>
      </c>
      <c r="E736" t="s">
        <v>6</v>
      </c>
      <c r="F736">
        <v>5.0960000000000001</v>
      </c>
    </row>
    <row r="737" spans="1:6" hidden="1" x14ac:dyDescent="0.25">
      <c r="A737" t="s">
        <v>11</v>
      </c>
      <c r="B737" s="2">
        <v>42753</v>
      </c>
      <c r="C737">
        <v>2017</v>
      </c>
      <c r="E737" t="s">
        <v>6</v>
      </c>
      <c r="F737">
        <v>5.0466000000000006</v>
      </c>
    </row>
    <row r="738" spans="1:6" hidden="1" x14ac:dyDescent="0.25">
      <c r="A738" t="s">
        <v>11</v>
      </c>
      <c r="B738" s="2">
        <v>42753</v>
      </c>
      <c r="C738">
        <v>2017</v>
      </c>
      <c r="E738" t="s">
        <v>6</v>
      </c>
      <c r="F738">
        <v>5.4350999999999985</v>
      </c>
    </row>
    <row r="739" spans="1:6" hidden="1" x14ac:dyDescent="0.25">
      <c r="A739" t="s">
        <v>11</v>
      </c>
      <c r="B739" s="2">
        <v>42753</v>
      </c>
      <c r="C739">
        <v>2017</v>
      </c>
      <c r="E739" t="s">
        <v>6</v>
      </c>
      <c r="F739">
        <v>5.9670000000000005</v>
      </c>
    </row>
    <row r="740" spans="1:6" hidden="1" x14ac:dyDescent="0.25">
      <c r="A740" t="s">
        <v>11</v>
      </c>
      <c r="B740" s="2">
        <v>42788</v>
      </c>
      <c r="C740">
        <v>2017</v>
      </c>
      <c r="E740" t="s">
        <v>6</v>
      </c>
      <c r="F740">
        <v>12.300900000000002</v>
      </c>
    </row>
    <row r="741" spans="1:6" hidden="1" x14ac:dyDescent="0.25">
      <c r="A741" t="s">
        <v>11</v>
      </c>
      <c r="B741" s="2">
        <v>42789</v>
      </c>
      <c r="C741">
        <v>2017</v>
      </c>
      <c r="E741" t="s">
        <v>6</v>
      </c>
      <c r="F741">
        <v>10.933</v>
      </c>
    </row>
    <row r="742" spans="1:6" hidden="1" x14ac:dyDescent="0.25">
      <c r="A742" t="s">
        <v>11</v>
      </c>
      <c r="B742" s="2">
        <v>42789</v>
      </c>
      <c r="C742">
        <v>2017</v>
      </c>
      <c r="E742" t="s">
        <v>6</v>
      </c>
      <c r="F742">
        <v>11.904000000000002</v>
      </c>
    </row>
    <row r="743" spans="1:6" hidden="1" x14ac:dyDescent="0.25">
      <c r="A743" t="s">
        <v>11</v>
      </c>
      <c r="B743" s="2">
        <v>42789</v>
      </c>
      <c r="C743">
        <v>2017</v>
      </c>
      <c r="E743" t="s">
        <v>6</v>
      </c>
      <c r="F743">
        <v>11.153999999999998</v>
      </c>
    </row>
    <row r="744" spans="1:6" hidden="1" x14ac:dyDescent="0.25">
      <c r="A744" t="s">
        <v>11</v>
      </c>
      <c r="B744" s="2">
        <v>42803</v>
      </c>
      <c r="C744">
        <v>2017</v>
      </c>
      <c r="E744" t="s">
        <v>6</v>
      </c>
      <c r="F744">
        <v>15.537600000000003</v>
      </c>
    </row>
    <row r="745" spans="1:6" hidden="1" x14ac:dyDescent="0.25">
      <c r="A745" t="s">
        <v>11</v>
      </c>
      <c r="B745" s="2">
        <v>42803</v>
      </c>
      <c r="C745">
        <v>2017</v>
      </c>
      <c r="E745" t="s">
        <v>6</v>
      </c>
      <c r="F745">
        <v>15.332100000000001</v>
      </c>
    </row>
    <row r="746" spans="1:6" hidden="1" x14ac:dyDescent="0.25">
      <c r="A746" t="s">
        <v>11</v>
      </c>
      <c r="B746" s="2">
        <v>42804</v>
      </c>
      <c r="C746">
        <v>2017</v>
      </c>
      <c r="E746" t="s">
        <v>6</v>
      </c>
      <c r="F746">
        <v>14.284599999999998</v>
      </c>
    </row>
    <row r="747" spans="1:6" hidden="1" x14ac:dyDescent="0.25">
      <c r="A747" t="s">
        <v>11</v>
      </c>
      <c r="B747" s="2">
        <v>42804</v>
      </c>
      <c r="C747">
        <v>2017</v>
      </c>
      <c r="E747" t="s">
        <v>6</v>
      </c>
      <c r="F747">
        <v>14.5383</v>
      </c>
    </row>
    <row r="748" spans="1:6" hidden="1" x14ac:dyDescent="0.25">
      <c r="A748" t="s">
        <v>11</v>
      </c>
      <c r="B748" s="2">
        <v>42816</v>
      </c>
      <c r="C748">
        <v>2017</v>
      </c>
      <c r="E748" t="s">
        <v>6</v>
      </c>
      <c r="F748">
        <v>17.3004</v>
      </c>
    </row>
    <row r="749" spans="1:6" hidden="1" x14ac:dyDescent="0.25">
      <c r="A749" t="s">
        <v>11</v>
      </c>
      <c r="B749" s="2">
        <v>42817</v>
      </c>
      <c r="C749">
        <v>2017</v>
      </c>
      <c r="E749" t="s">
        <v>6</v>
      </c>
      <c r="F749">
        <v>15.833999999999998</v>
      </c>
    </row>
    <row r="750" spans="1:6" hidden="1" x14ac:dyDescent="0.25">
      <c r="A750" t="s">
        <v>11</v>
      </c>
      <c r="B750" s="2">
        <v>42817</v>
      </c>
      <c r="C750">
        <v>2017</v>
      </c>
      <c r="E750" t="s">
        <v>6</v>
      </c>
      <c r="F750">
        <v>16.7029</v>
      </c>
    </row>
    <row r="751" spans="1:6" hidden="1" x14ac:dyDescent="0.25">
      <c r="A751" t="s">
        <v>11</v>
      </c>
      <c r="B751" s="2">
        <v>42817</v>
      </c>
      <c r="C751">
        <v>2017</v>
      </c>
      <c r="E751" t="s">
        <v>6</v>
      </c>
      <c r="F751">
        <v>16.610599999999998</v>
      </c>
    </row>
    <row r="752" spans="1:6" hidden="1" x14ac:dyDescent="0.25">
      <c r="A752" t="s">
        <v>11</v>
      </c>
      <c r="B752" s="2">
        <v>42831</v>
      </c>
      <c r="C752">
        <v>2017</v>
      </c>
      <c r="E752" t="s">
        <v>6</v>
      </c>
      <c r="F752">
        <v>20.302099999999999</v>
      </c>
    </row>
    <row r="753" spans="1:6" hidden="1" x14ac:dyDescent="0.25">
      <c r="A753" t="s">
        <v>11</v>
      </c>
      <c r="B753" s="2">
        <v>42832</v>
      </c>
      <c r="C753">
        <v>2017</v>
      </c>
      <c r="E753" t="s">
        <v>6</v>
      </c>
      <c r="F753">
        <v>17.552</v>
      </c>
    </row>
    <row r="754" spans="1:6" hidden="1" x14ac:dyDescent="0.25">
      <c r="A754" t="s">
        <v>11</v>
      </c>
      <c r="B754" s="2">
        <v>42832</v>
      </c>
      <c r="C754">
        <v>2017</v>
      </c>
      <c r="E754" t="s">
        <v>6</v>
      </c>
      <c r="F754">
        <v>18.972800000000003</v>
      </c>
    </row>
    <row r="755" spans="1:6" hidden="1" x14ac:dyDescent="0.25">
      <c r="A755" t="s">
        <v>11</v>
      </c>
      <c r="B755" s="2">
        <v>42832</v>
      </c>
      <c r="C755">
        <v>2017</v>
      </c>
      <c r="E755" t="s">
        <v>6</v>
      </c>
      <c r="F755">
        <v>18.937799999999999</v>
      </c>
    </row>
    <row r="756" spans="1:6" hidden="1" x14ac:dyDescent="0.25">
      <c r="A756" t="s">
        <v>11</v>
      </c>
      <c r="B756" s="2">
        <v>42837</v>
      </c>
      <c r="C756">
        <v>2017</v>
      </c>
      <c r="E756" t="s">
        <v>6</v>
      </c>
      <c r="F756">
        <v>20.720700000000001</v>
      </c>
    </row>
    <row r="757" spans="1:6" hidden="1" x14ac:dyDescent="0.25">
      <c r="A757" t="s">
        <v>11</v>
      </c>
      <c r="B757" s="2">
        <v>42838</v>
      </c>
      <c r="C757">
        <v>2017</v>
      </c>
      <c r="E757" t="s">
        <v>6</v>
      </c>
      <c r="F757">
        <v>18.531100000000002</v>
      </c>
    </row>
    <row r="758" spans="1:6" hidden="1" x14ac:dyDescent="0.25">
      <c r="A758" t="s">
        <v>11</v>
      </c>
      <c r="B758" s="2">
        <v>42838</v>
      </c>
      <c r="C758">
        <v>2017</v>
      </c>
      <c r="E758" t="s">
        <v>6</v>
      </c>
      <c r="F758">
        <v>19.588800000000003</v>
      </c>
    </row>
    <row r="759" spans="1:6" hidden="1" x14ac:dyDescent="0.25">
      <c r="A759" t="s">
        <v>11</v>
      </c>
      <c r="B759" s="2">
        <v>42838</v>
      </c>
      <c r="C759">
        <v>2017</v>
      </c>
      <c r="E759" t="s">
        <v>6</v>
      </c>
      <c r="F759">
        <v>19.1751</v>
      </c>
    </row>
    <row r="760" spans="1:6" hidden="1" x14ac:dyDescent="0.25">
      <c r="A760" t="s">
        <v>11</v>
      </c>
      <c r="B760" s="2">
        <v>42844</v>
      </c>
      <c r="C760">
        <v>2017</v>
      </c>
      <c r="E760" t="s">
        <v>6</v>
      </c>
      <c r="F760">
        <v>21.203699999999998</v>
      </c>
    </row>
    <row r="761" spans="1:6" hidden="1" x14ac:dyDescent="0.25">
      <c r="A761" t="s">
        <v>11</v>
      </c>
      <c r="B761" s="2">
        <v>42845</v>
      </c>
      <c r="C761">
        <v>2017</v>
      </c>
      <c r="E761" t="s">
        <v>6</v>
      </c>
      <c r="F761">
        <v>18.908000000000001</v>
      </c>
    </row>
    <row r="762" spans="1:6" hidden="1" x14ac:dyDescent="0.25">
      <c r="A762" t="s">
        <v>11</v>
      </c>
      <c r="B762" s="2">
        <v>42845</v>
      </c>
      <c r="C762">
        <v>2017</v>
      </c>
      <c r="E762" t="s">
        <v>6</v>
      </c>
      <c r="F762">
        <v>19.421499999999998</v>
      </c>
    </row>
    <row r="763" spans="1:6" hidden="1" x14ac:dyDescent="0.25">
      <c r="A763" t="s">
        <v>11</v>
      </c>
      <c r="B763" s="2">
        <v>42845</v>
      </c>
      <c r="C763">
        <v>2017</v>
      </c>
      <c r="E763" t="s">
        <v>6</v>
      </c>
      <c r="F763">
        <v>20.1936</v>
      </c>
    </row>
    <row r="764" spans="1:6" hidden="1" x14ac:dyDescent="0.25">
      <c r="A764" t="s">
        <v>11</v>
      </c>
      <c r="B764" s="2">
        <v>42853</v>
      </c>
      <c r="C764">
        <v>2017</v>
      </c>
      <c r="E764" t="s">
        <v>6</v>
      </c>
      <c r="F764">
        <v>19.071399999999997</v>
      </c>
    </row>
    <row r="765" spans="1:6" hidden="1" x14ac:dyDescent="0.25">
      <c r="A765" t="s">
        <v>11</v>
      </c>
      <c r="B765" s="2">
        <v>42853</v>
      </c>
      <c r="C765">
        <v>2017</v>
      </c>
      <c r="E765" t="s">
        <v>6</v>
      </c>
      <c r="F765">
        <v>20.347199999999997</v>
      </c>
    </row>
    <row r="766" spans="1:6" hidden="1" x14ac:dyDescent="0.25">
      <c r="A766" t="s">
        <v>11</v>
      </c>
      <c r="B766" s="2">
        <v>42853</v>
      </c>
      <c r="C766">
        <v>2017</v>
      </c>
      <c r="E766" t="s">
        <v>6</v>
      </c>
      <c r="F766">
        <v>20.553000000000001</v>
      </c>
    </row>
    <row r="767" spans="1:6" hidden="1" x14ac:dyDescent="0.25">
      <c r="A767" t="s">
        <v>11</v>
      </c>
      <c r="B767" s="2">
        <v>42853</v>
      </c>
      <c r="C767">
        <v>2017</v>
      </c>
      <c r="E767" t="s">
        <v>6</v>
      </c>
      <c r="F767">
        <v>22.151000000000003</v>
      </c>
    </row>
    <row r="768" spans="1:6" hidden="1" x14ac:dyDescent="0.25">
      <c r="A768" t="s">
        <v>11</v>
      </c>
      <c r="B768" s="2">
        <v>42858</v>
      </c>
      <c r="C768">
        <v>2017</v>
      </c>
      <c r="E768" t="s">
        <v>6</v>
      </c>
      <c r="F768">
        <v>23.3748</v>
      </c>
    </row>
    <row r="769" spans="1:6" hidden="1" x14ac:dyDescent="0.25">
      <c r="A769" t="s">
        <v>11</v>
      </c>
      <c r="B769" s="2">
        <v>42859</v>
      </c>
      <c r="C769">
        <v>2017</v>
      </c>
      <c r="E769" t="s">
        <v>6</v>
      </c>
      <c r="F769">
        <v>21.057599999999997</v>
      </c>
    </row>
    <row r="770" spans="1:6" hidden="1" x14ac:dyDescent="0.25">
      <c r="A770" t="s">
        <v>11</v>
      </c>
      <c r="B770" s="2">
        <v>42860</v>
      </c>
      <c r="C770">
        <v>2017</v>
      </c>
      <c r="E770" t="s">
        <v>6</v>
      </c>
      <c r="F770">
        <v>19.488000000000003</v>
      </c>
    </row>
    <row r="771" spans="1:6" hidden="1" x14ac:dyDescent="0.25">
      <c r="A771" t="s">
        <v>11</v>
      </c>
      <c r="B771" s="2">
        <v>42860</v>
      </c>
      <c r="C771">
        <v>2017</v>
      </c>
      <c r="E771" t="s">
        <v>6</v>
      </c>
      <c r="F771">
        <v>20.897999999999996</v>
      </c>
    </row>
    <row r="772" spans="1:6" hidden="1" x14ac:dyDescent="0.25">
      <c r="A772" t="s">
        <v>11</v>
      </c>
      <c r="B772" s="2">
        <v>42872</v>
      </c>
      <c r="C772">
        <v>2017</v>
      </c>
      <c r="E772" t="s">
        <v>6</v>
      </c>
      <c r="F772">
        <v>23.063099999999999</v>
      </c>
    </row>
    <row r="773" spans="1:6" hidden="1" x14ac:dyDescent="0.25">
      <c r="A773" t="s">
        <v>11</v>
      </c>
      <c r="B773" s="2">
        <v>42873</v>
      </c>
      <c r="C773">
        <v>2017</v>
      </c>
      <c r="E773" t="s">
        <v>6</v>
      </c>
      <c r="F773">
        <v>20.915199999999999</v>
      </c>
    </row>
    <row r="774" spans="1:6" hidden="1" x14ac:dyDescent="0.25">
      <c r="A774" t="s">
        <v>11</v>
      </c>
      <c r="B774" s="2">
        <v>42873</v>
      </c>
      <c r="C774">
        <v>2017</v>
      </c>
      <c r="E774" t="s">
        <v>6</v>
      </c>
      <c r="F774">
        <v>21.977199999999996</v>
      </c>
    </row>
    <row r="775" spans="1:6" hidden="1" x14ac:dyDescent="0.25">
      <c r="A775" t="s">
        <v>11</v>
      </c>
      <c r="B775" s="2">
        <v>42873</v>
      </c>
      <c r="C775">
        <v>2017</v>
      </c>
      <c r="E775" t="s">
        <v>6</v>
      </c>
      <c r="F775">
        <v>21.648000000000003</v>
      </c>
    </row>
    <row r="776" spans="1:6" hidden="1" x14ac:dyDescent="0.25">
      <c r="A776" t="s">
        <v>11</v>
      </c>
      <c r="B776" s="2">
        <v>42886</v>
      </c>
      <c r="C776">
        <v>2017</v>
      </c>
      <c r="E776" t="s">
        <v>6</v>
      </c>
      <c r="F776">
        <v>23.957999999999998</v>
      </c>
    </row>
    <row r="777" spans="1:6" hidden="1" x14ac:dyDescent="0.25">
      <c r="A777" t="s">
        <v>11</v>
      </c>
      <c r="B777" s="2">
        <v>42887</v>
      </c>
      <c r="C777">
        <v>2017</v>
      </c>
      <c r="E777" t="s">
        <v>6</v>
      </c>
      <c r="F777">
        <v>20.253599999999999</v>
      </c>
    </row>
    <row r="778" spans="1:6" hidden="1" x14ac:dyDescent="0.25">
      <c r="A778" t="s">
        <v>11</v>
      </c>
      <c r="B778" s="2">
        <v>42887</v>
      </c>
      <c r="C778">
        <v>2017</v>
      </c>
      <c r="E778" t="s">
        <v>6</v>
      </c>
      <c r="F778">
        <v>22.2911</v>
      </c>
    </row>
    <row r="779" spans="1:6" hidden="1" x14ac:dyDescent="0.25">
      <c r="A779" t="s">
        <v>11</v>
      </c>
      <c r="B779" s="2">
        <v>42887</v>
      </c>
      <c r="C779">
        <v>2017</v>
      </c>
      <c r="E779" t="s">
        <v>6</v>
      </c>
      <c r="F779">
        <v>22.445999999999998</v>
      </c>
    </row>
    <row r="780" spans="1:6" hidden="1" x14ac:dyDescent="0.25">
      <c r="A780" t="s">
        <v>11</v>
      </c>
      <c r="B780" s="2">
        <v>42893</v>
      </c>
      <c r="C780">
        <v>2017</v>
      </c>
      <c r="E780" t="s">
        <v>6</v>
      </c>
      <c r="F780">
        <v>21.300999999999998</v>
      </c>
    </row>
    <row r="781" spans="1:6" hidden="1" x14ac:dyDescent="0.25">
      <c r="A781" t="s">
        <v>11</v>
      </c>
      <c r="B781" s="2">
        <v>42893</v>
      </c>
      <c r="C781">
        <v>2017</v>
      </c>
      <c r="E781" t="s">
        <v>6</v>
      </c>
      <c r="F781">
        <v>21.573600000000003</v>
      </c>
    </row>
    <row r="782" spans="1:6" hidden="1" x14ac:dyDescent="0.25">
      <c r="A782" t="s">
        <v>11</v>
      </c>
      <c r="B782" s="2">
        <v>42894</v>
      </c>
      <c r="C782">
        <v>2017</v>
      </c>
      <c r="E782" t="s">
        <v>6</v>
      </c>
      <c r="F782">
        <v>23.470199999999998</v>
      </c>
    </row>
    <row r="783" spans="1:6" hidden="1" x14ac:dyDescent="0.25">
      <c r="A783" t="s">
        <v>11</v>
      </c>
      <c r="B783" s="2">
        <v>42907</v>
      </c>
      <c r="C783">
        <v>2017</v>
      </c>
      <c r="E783" t="s">
        <v>6</v>
      </c>
      <c r="F783">
        <v>20.5625</v>
      </c>
    </row>
    <row r="784" spans="1:6" hidden="1" x14ac:dyDescent="0.25">
      <c r="A784" t="s">
        <v>11</v>
      </c>
      <c r="B784" s="2">
        <v>42907</v>
      </c>
      <c r="C784">
        <v>2017</v>
      </c>
      <c r="E784" t="s">
        <v>6</v>
      </c>
      <c r="F784">
        <v>21.905999999999999</v>
      </c>
    </row>
    <row r="785" spans="1:6" hidden="1" x14ac:dyDescent="0.25">
      <c r="A785" t="s">
        <v>11</v>
      </c>
      <c r="B785" s="2">
        <v>42908</v>
      </c>
      <c r="C785">
        <v>2017</v>
      </c>
      <c r="E785" t="s">
        <v>6</v>
      </c>
      <c r="F785">
        <v>23.157800000000002</v>
      </c>
    </row>
    <row r="786" spans="1:6" hidden="1" x14ac:dyDescent="0.25">
      <c r="A786" t="s">
        <v>12</v>
      </c>
      <c r="B786" s="2">
        <v>43116</v>
      </c>
      <c r="C786">
        <v>2018</v>
      </c>
      <c r="E786" t="s">
        <v>6</v>
      </c>
      <c r="F786">
        <v>4.8048000000000002</v>
      </c>
    </row>
    <row r="787" spans="1:6" hidden="1" x14ac:dyDescent="0.25">
      <c r="A787" t="s">
        <v>12</v>
      </c>
      <c r="B787" s="2">
        <v>43116</v>
      </c>
      <c r="C787">
        <v>2018</v>
      </c>
      <c r="E787" t="s">
        <v>6</v>
      </c>
      <c r="F787">
        <v>3.8827999999999996</v>
      </c>
    </row>
    <row r="788" spans="1:6" hidden="1" x14ac:dyDescent="0.25">
      <c r="A788" t="s">
        <v>12</v>
      </c>
      <c r="B788" s="2">
        <v>43151</v>
      </c>
      <c r="C788">
        <v>2018</v>
      </c>
      <c r="E788" t="s">
        <v>6</v>
      </c>
      <c r="F788">
        <v>10.344599999999998</v>
      </c>
    </row>
    <row r="789" spans="1:6" hidden="1" x14ac:dyDescent="0.25">
      <c r="A789" t="s">
        <v>12</v>
      </c>
      <c r="B789" s="2">
        <v>43151</v>
      </c>
      <c r="C789">
        <v>2018</v>
      </c>
      <c r="E789" t="s">
        <v>6</v>
      </c>
      <c r="F789">
        <v>9.0858000000000008</v>
      </c>
    </row>
    <row r="790" spans="1:6" hidden="1" x14ac:dyDescent="0.25">
      <c r="A790" t="s">
        <v>12</v>
      </c>
      <c r="B790" s="2">
        <v>43165</v>
      </c>
      <c r="C790">
        <v>2018</v>
      </c>
      <c r="E790" t="s">
        <v>6</v>
      </c>
      <c r="F790">
        <v>12.855700000000002</v>
      </c>
    </row>
    <row r="791" spans="1:6" hidden="1" x14ac:dyDescent="0.25">
      <c r="A791" t="s">
        <v>12</v>
      </c>
      <c r="B791" s="2">
        <v>43165</v>
      </c>
      <c r="C791">
        <v>2018</v>
      </c>
      <c r="E791" t="s">
        <v>6</v>
      </c>
      <c r="F791">
        <v>11.650799999999998</v>
      </c>
    </row>
    <row r="792" spans="1:6" hidden="1" x14ac:dyDescent="0.25">
      <c r="A792" t="s">
        <v>12</v>
      </c>
      <c r="B792" s="2">
        <v>43179</v>
      </c>
      <c r="C792">
        <v>2018</v>
      </c>
      <c r="E792" t="s">
        <v>6</v>
      </c>
      <c r="F792">
        <v>14.632400000000001</v>
      </c>
    </row>
    <row r="793" spans="1:6" hidden="1" x14ac:dyDescent="0.25">
      <c r="A793" t="s">
        <v>12</v>
      </c>
      <c r="B793" s="2">
        <v>43179</v>
      </c>
      <c r="C793">
        <v>2018</v>
      </c>
      <c r="E793" t="s">
        <v>6</v>
      </c>
      <c r="F793">
        <v>13.244699999999998</v>
      </c>
    </row>
    <row r="794" spans="1:6" hidden="1" x14ac:dyDescent="0.25">
      <c r="A794" t="s">
        <v>12</v>
      </c>
      <c r="B794" s="2">
        <v>43195</v>
      </c>
      <c r="C794">
        <v>2018</v>
      </c>
      <c r="E794" t="s">
        <v>6</v>
      </c>
      <c r="F794">
        <v>16.777199999999997</v>
      </c>
    </row>
    <row r="795" spans="1:6" hidden="1" x14ac:dyDescent="0.25">
      <c r="A795" t="s">
        <v>12</v>
      </c>
      <c r="B795" s="2">
        <v>43195</v>
      </c>
      <c r="C795">
        <v>2018</v>
      </c>
      <c r="E795" t="s">
        <v>6</v>
      </c>
      <c r="F795">
        <v>15.1228</v>
      </c>
    </row>
    <row r="796" spans="1:6" hidden="1" x14ac:dyDescent="0.25">
      <c r="A796" t="s">
        <v>12</v>
      </c>
      <c r="B796" s="2">
        <v>43201</v>
      </c>
      <c r="C796">
        <v>2018</v>
      </c>
      <c r="E796" t="s">
        <v>6</v>
      </c>
      <c r="F796">
        <v>17.513000000000002</v>
      </c>
    </row>
    <row r="797" spans="1:6" hidden="1" x14ac:dyDescent="0.25">
      <c r="A797" t="s">
        <v>12</v>
      </c>
      <c r="B797" s="2">
        <v>43201</v>
      </c>
      <c r="C797">
        <v>2018</v>
      </c>
      <c r="E797" t="s">
        <v>6</v>
      </c>
      <c r="F797">
        <v>15.6104</v>
      </c>
    </row>
    <row r="798" spans="1:6" hidden="1" x14ac:dyDescent="0.25">
      <c r="A798" t="s">
        <v>12</v>
      </c>
      <c r="B798" s="2">
        <v>43209</v>
      </c>
      <c r="C798">
        <v>2018</v>
      </c>
      <c r="E798" t="s">
        <v>6</v>
      </c>
      <c r="F798">
        <v>18.920000000000002</v>
      </c>
    </row>
    <row r="799" spans="1:6" hidden="1" x14ac:dyDescent="0.25">
      <c r="A799" t="s">
        <v>12</v>
      </c>
      <c r="B799" s="2">
        <v>43209</v>
      </c>
      <c r="C799">
        <v>2018</v>
      </c>
      <c r="E799" t="s">
        <v>6</v>
      </c>
      <c r="F799">
        <v>15.888</v>
      </c>
    </row>
    <row r="800" spans="1:6" hidden="1" x14ac:dyDescent="0.25">
      <c r="A800" t="s">
        <v>12</v>
      </c>
      <c r="B800" s="2">
        <v>43215</v>
      </c>
      <c r="C800">
        <v>2018</v>
      </c>
      <c r="E800" t="s">
        <v>6</v>
      </c>
      <c r="F800">
        <v>19.357200000000002</v>
      </c>
    </row>
    <row r="801" spans="1:8" hidden="1" x14ac:dyDescent="0.25">
      <c r="A801" t="s">
        <v>12</v>
      </c>
      <c r="B801" s="2">
        <v>43215</v>
      </c>
      <c r="C801">
        <v>2018</v>
      </c>
      <c r="E801" t="s">
        <v>6</v>
      </c>
      <c r="F801">
        <v>17.024000000000001</v>
      </c>
    </row>
    <row r="802" spans="1:8" hidden="1" x14ac:dyDescent="0.25">
      <c r="A802" t="s">
        <v>12</v>
      </c>
      <c r="B802" s="2">
        <v>43221</v>
      </c>
      <c r="C802">
        <v>2018</v>
      </c>
      <c r="E802" t="s">
        <v>6</v>
      </c>
      <c r="F802">
        <v>20.462399999999999</v>
      </c>
      <c r="G802">
        <v>19.440000000000001</v>
      </c>
      <c r="H802" t="s">
        <v>27</v>
      </c>
    </row>
    <row r="803" spans="1:8" hidden="1" x14ac:dyDescent="0.25">
      <c r="A803" t="s">
        <v>12</v>
      </c>
      <c r="B803" s="2">
        <v>43221</v>
      </c>
      <c r="C803">
        <v>2018</v>
      </c>
      <c r="E803" t="s">
        <v>6</v>
      </c>
      <c r="F803">
        <v>18.094000000000001</v>
      </c>
    </row>
    <row r="804" spans="1:8" hidden="1" x14ac:dyDescent="0.25">
      <c r="A804" t="s">
        <v>12</v>
      </c>
      <c r="B804" s="2">
        <v>43235</v>
      </c>
      <c r="C804">
        <v>2018</v>
      </c>
      <c r="E804" t="s">
        <v>6</v>
      </c>
      <c r="F804">
        <v>20.833099999999998</v>
      </c>
    </row>
    <row r="805" spans="1:8" hidden="1" x14ac:dyDescent="0.25">
      <c r="A805" t="s">
        <v>12</v>
      </c>
      <c r="B805" s="2">
        <v>43235</v>
      </c>
      <c r="C805">
        <v>2018</v>
      </c>
      <c r="E805" t="s">
        <v>6</v>
      </c>
      <c r="F805">
        <v>17.977800000000002</v>
      </c>
    </row>
    <row r="806" spans="1:8" hidden="1" x14ac:dyDescent="0.25">
      <c r="A806" t="s">
        <v>12</v>
      </c>
      <c r="B806" s="2">
        <v>43249</v>
      </c>
      <c r="C806">
        <v>2018</v>
      </c>
      <c r="E806" t="s">
        <v>6</v>
      </c>
      <c r="F806">
        <v>20.935199999999998</v>
      </c>
    </row>
    <row r="807" spans="1:8" hidden="1" x14ac:dyDescent="0.25">
      <c r="A807" t="s">
        <v>12</v>
      </c>
      <c r="B807" s="2">
        <v>43249</v>
      </c>
      <c r="C807">
        <v>2018</v>
      </c>
      <c r="E807" t="s">
        <v>6</v>
      </c>
      <c r="F807">
        <v>18.2515</v>
      </c>
    </row>
    <row r="808" spans="1:8" hidden="1" x14ac:dyDescent="0.25">
      <c r="A808" t="s">
        <v>12</v>
      </c>
      <c r="B808" s="2">
        <v>43116</v>
      </c>
      <c r="C808">
        <v>2018</v>
      </c>
      <c r="E808" t="s">
        <v>6</v>
      </c>
      <c r="F808">
        <v>4.3664999999999994</v>
      </c>
    </row>
    <row r="809" spans="1:8" hidden="1" x14ac:dyDescent="0.25">
      <c r="A809" t="s">
        <v>12</v>
      </c>
      <c r="B809" s="2">
        <v>43151</v>
      </c>
      <c r="C809">
        <v>2018</v>
      </c>
      <c r="E809" t="s">
        <v>6</v>
      </c>
      <c r="F809">
        <v>9.3225000000000016</v>
      </c>
    </row>
    <row r="810" spans="1:8" hidden="1" x14ac:dyDescent="0.25">
      <c r="A810" t="s">
        <v>12</v>
      </c>
      <c r="B810" s="2">
        <v>43165</v>
      </c>
      <c r="C810">
        <v>2018</v>
      </c>
      <c r="E810" t="s">
        <v>6</v>
      </c>
      <c r="F810">
        <v>12.8369</v>
      </c>
    </row>
    <row r="811" spans="1:8" hidden="1" x14ac:dyDescent="0.25">
      <c r="A811" t="s">
        <v>12</v>
      </c>
      <c r="B811" s="2">
        <v>43179</v>
      </c>
      <c r="C811">
        <v>2018</v>
      </c>
      <c r="E811" t="s">
        <v>6</v>
      </c>
      <c r="F811">
        <v>14.657400000000001</v>
      </c>
    </row>
    <row r="812" spans="1:8" hidden="1" x14ac:dyDescent="0.25">
      <c r="A812" t="s">
        <v>12</v>
      </c>
      <c r="B812" s="2">
        <v>43194</v>
      </c>
      <c r="C812">
        <v>2018</v>
      </c>
      <c r="E812" t="s">
        <v>6</v>
      </c>
      <c r="F812">
        <v>16.758600000000001</v>
      </c>
    </row>
    <row r="813" spans="1:8" hidden="1" x14ac:dyDescent="0.25">
      <c r="A813" t="s">
        <v>12</v>
      </c>
      <c r="B813" s="2">
        <v>43201</v>
      </c>
      <c r="C813">
        <v>2018</v>
      </c>
      <c r="E813" t="s">
        <v>6</v>
      </c>
      <c r="F813">
        <v>17.236800000000002</v>
      </c>
    </row>
    <row r="814" spans="1:8" hidden="1" x14ac:dyDescent="0.25">
      <c r="A814" t="s">
        <v>12</v>
      </c>
      <c r="B814" s="2">
        <v>43209</v>
      </c>
      <c r="C814">
        <v>2018</v>
      </c>
      <c r="E814" t="s">
        <v>6</v>
      </c>
      <c r="F814">
        <v>17.750700000000002</v>
      </c>
    </row>
    <row r="815" spans="1:8" hidden="1" x14ac:dyDescent="0.25">
      <c r="A815" t="s">
        <v>12</v>
      </c>
      <c r="B815" s="2">
        <v>43215</v>
      </c>
      <c r="C815">
        <v>2018</v>
      </c>
      <c r="E815" t="s">
        <v>6</v>
      </c>
      <c r="F815">
        <v>18.916800000000002</v>
      </c>
    </row>
    <row r="816" spans="1:8" hidden="1" x14ac:dyDescent="0.25">
      <c r="A816" t="s">
        <v>12</v>
      </c>
      <c r="B816" s="2">
        <v>43221</v>
      </c>
      <c r="C816">
        <v>2018</v>
      </c>
      <c r="E816" t="s">
        <v>6</v>
      </c>
      <c r="F816">
        <v>19.771000000000001</v>
      </c>
    </row>
    <row r="817" spans="1:6" hidden="1" x14ac:dyDescent="0.25">
      <c r="A817" t="s">
        <v>12</v>
      </c>
      <c r="B817" s="2">
        <v>43235</v>
      </c>
      <c r="C817">
        <v>2018</v>
      </c>
      <c r="E817" t="s">
        <v>6</v>
      </c>
      <c r="F817">
        <v>19.929600000000001</v>
      </c>
    </row>
    <row r="818" spans="1:6" hidden="1" x14ac:dyDescent="0.25">
      <c r="A818" t="s">
        <v>12</v>
      </c>
      <c r="B818" s="2">
        <v>43249</v>
      </c>
      <c r="C818">
        <v>2018</v>
      </c>
      <c r="E818" t="s">
        <v>6</v>
      </c>
      <c r="F818">
        <v>20.310400000000001</v>
      </c>
    </row>
    <row r="819" spans="1:6" hidden="1" x14ac:dyDescent="0.25">
      <c r="A819" t="s">
        <v>12</v>
      </c>
      <c r="B819" s="2">
        <v>43115</v>
      </c>
      <c r="C819">
        <v>2018</v>
      </c>
      <c r="E819" t="s">
        <v>6</v>
      </c>
      <c r="F819">
        <v>4.2911999999999999</v>
      </c>
    </row>
    <row r="820" spans="1:6" hidden="1" x14ac:dyDescent="0.25">
      <c r="A820" t="s">
        <v>12</v>
      </c>
      <c r="B820" s="2">
        <v>43115</v>
      </c>
      <c r="C820">
        <v>2018</v>
      </c>
      <c r="E820" t="s">
        <v>6</v>
      </c>
      <c r="F820">
        <v>5.2806000000000006</v>
      </c>
    </row>
    <row r="821" spans="1:6" hidden="1" x14ac:dyDescent="0.25">
      <c r="A821" t="s">
        <v>12</v>
      </c>
      <c r="B821" s="2">
        <v>43116</v>
      </c>
      <c r="C821">
        <v>2018</v>
      </c>
      <c r="E821" t="s">
        <v>6</v>
      </c>
      <c r="F821">
        <v>4.6694000000000004</v>
      </c>
    </row>
    <row r="822" spans="1:6" hidden="1" x14ac:dyDescent="0.25">
      <c r="A822" t="s">
        <v>12</v>
      </c>
      <c r="B822" s="2">
        <v>43116</v>
      </c>
      <c r="C822">
        <v>2018</v>
      </c>
      <c r="E822" t="s">
        <v>6</v>
      </c>
      <c r="F822">
        <v>5.0616000000000012</v>
      </c>
    </row>
    <row r="823" spans="1:6" hidden="1" x14ac:dyDescent="0.25">
      <c r="A823" t="s">
        <v>12</v>
      </c>
      <c r="B823" s="2">
        <v>43150</v>
      </c>
      <c r="C823">
        <v>2018</v>
      </c>
      <c r="E823" t="s">
        <v>6</v>
      </c>
      <c r="F823">
        <v>9.9429999999999996</v>
      </c>
    </row>
    <row r="824" spans="1:6" hidden="1" x14ac:dyDescent="0.25">
      <c r="A824" t="s">
        <v>12</v>
      </c>
      <c r="B824" s="2">
        <v>43150</v>
      </c>
      <c r="C824">
        <v>2018</v>
      </c>
      <c r="E824" t="s">
        <v>6</v>
      </c>
      <c r="F824">
        <v>10.384</v>
      </c>
    </row>
    <row r="825" spans="1:6" hidden="1" x14ac:dyDescent="0.25">
      <c r="A825" t="s">
        <v>12</v>
      </c>
      <c r="B825" s="2">
        <v>43151</v>
      </c>
      <c r="C825">
        <v>2018</v>
      </c>
      <c r="E825" t="s">
        <v>6</v>
      </c>
      <c r="F825">
        <v>8.9551999999999996</v>
      </c>
    </row>
    <row r="826" spans="1:6" hidden="1" x14ac:dyDescent="0.25">
      <c r="A826" t="s">
        <v>12</v>
      </c>
      <c r="B826" s="2">
        <v>43151</v>
      </c>
      <c r="C826">
        <v>2018</v>
      </c>
      <c r="E826" t="s">
        <v>6</v>
      </c>
      <c r="F826">
        <v>10.104000000000001</v>
      </c>
    </row>
    <row r="827" spans="1:6" hidden="1" x14ac:dyDescent="0.25">
      <c r="A827" t="s">
        <v>12</v>
      </c>
      <c r="B827" s="2">
        <v>43164</v>
      </c>
      <c r="C827">
        <v>2018</v>
      </c>
      <c r="E827" t="s">
        <v>6</v>
      </c>
      <c r="F827">
        <v>12.623800000000001</v>
      </c>
    </row>
    <row r="828" spans="1:6" hidden="1" x14ac:dyDescent="0.25">
      <c r="A828" t="s">
        <v>12</v>
      </c>
      <c r="B828" s="2">
        <v>43164</v>
      </c>
      <c r="C828">
        <v>2018</v>
      </c>
      <c r="E828" t="s">
        <v>6</v>
      </c>
      <c r="F828">
        <v>13.277000000000001</v>
      </c>
    </row>
    <row r="829" spans="1:6" hidden="1" x14ac:dyDescent="0.25">
      <c r="A829" t="s">
        <v>12</v>
      </c>
      <c r="B829" s="2">
        <v>43165</v>
      </c>
      <c r="C829">
        <v>2018</v>
      </c>
      <c r="E829" t="s">
        <v>6</v>
      </c>
      <c r="F829">
        <v>11.276800000000001</v>
      </c>
    </row>
    <row r="830" spans="1:6" hidden="1" x14ac:dyDescent="0.25">
      <c r="A830" t="s">
        <v>12</v>
      </c>
      <c r="B830" s="2">
        <v>43165</v>
      </c>
      <c r="C830">
        <v>2018</v>
      </c>
      <c r="E830" t="s">
        <v>6</v>
      </c>
      <c r="F830">
        <v>13.3527</v>
      </c>
    </row>
    <row r="831" spans="1:6" hidden="1" x14ac:dyDescent="0.25">
      <c r="A831" t="s">
        <v>12</v>
      </c>
      <c r="B831" s="2">
        <v>43178</v>
      </c>
      <c r="C831">
        <v>2018</v>
      </c>
      <c r="E831" t="s">
        <v>6</v>
      </c>
      <c r="F831">
        <v>14.0128</v>
      </c>
    </row>
    <row r="832" spans="1:6" hidden="1" x14ac:dyDescent="0.25">
      <c r="A832" t="s">
        <v>12</v>
      </c>
      <c r="B832" s="2">
        <v>43178</v>
      </c>
      <c r="C832">
        <v>2018</v>
      </c>
      <c r="E832" t="s">
        <v>6</v>
      </c>
      <c r="F832">
        <v>15.7628</v>
      </c>
    </row>
    <row r="833" spans="1:6" hidden="1" x14ac:dyDescent="0.25">
      <c r="A833" t="s">
        <v>12</v>
      </c>
      <c r="B833" s="2">
        <v>43179</v>
      </c>
      <c r="C833">
        <v>2018</v>
      </c>
      <c r="E833" t="s">
        <v>6</v>
      </c>
      <c r="F833">
        <v>13.127099999999999</v>
      </c>
    </row>
    <row r="834" spans="1:6" hidden="1" x14ac:dyDescent="0.25">
      <c r="A834" t="s">
        <v>12</v>
      </c>
      <c r="B834" s="2">
        <v>43179</v>
      </c>
      <c r="C834">
        <v>2018</v>
      </c>
      <c r="E834" t="s">
        <v>6</v>
      </c>
      <c r="F834">
        <v>14.7339</v>
      </c>
    </row>
    <row r="835" spans="1:6" hidden="1" x14ac:dyDescent="0.25">
      <c r="A835" t="s">
        <v>12</v>
      </c>
      <c r="B835" s="2">
        <v>43194</v>
      </c>
      <c r="C835">
        <v>2018</v>
      </c>
      <c r="E835" t="s">
        <v>6</v>
      </c>
      <c r="F835">
        <v>16.005600000000001</v>
      </c>
    </row>
    <row r="836" spans="1:6" hidden="1" x14ac:dyDescent="0.25">
      <c r="A836" t="s">
        <v>12</v>
      </c>
      <c r="B836" s="2">
        <v>43194</v>
      </c>
      <c r="C836">
        <v>2018</v>
      </c>
      <c r="E836" t="s">
        <v>6</v>
      </c>
      <c r="F836">
        <v>18.276600000000002</v>
      </c>
    </row>
    <row r="837" spans="1:6" hidden="1" x14ac:dyDescent="0.25">
      <c r="A837" t="s">
        <v>12</v>
      </c>
      <c r="B837" s="2">
        <v>43195</v>
      </c>
      <c r="C837">
        <v>2018</v>
      </c>
      <c r="E837" t="s">
        <v>6</v>
      </c>
      <c r="F837">
        <v>14.439400000000001</v>
      </c>
    </row>
    <row r="838" spans="1:6" hidden="1" x14ac:dyDescent="0.25">
      <c r="A838" t="s">
        <v>12</v>
      </c>
      <c r="B838" s="2">
        <v>43195</v>
      </c>
      <c r="C838">
        <v>2018</v>
      </c>
      <c r="E838" t="s">
        <v>6</v>
      </c>
      <c r="F838">
        <v>16.700600000000001</v>
      </c>
    </row>
    <row r="839" spans="1:6" hidden="1" x14ac:dyDescent="0.25">
      <c r="A839" t="s">
        <v>12</v>
      </c>
      <c r="B839" s="2">
        <v>43200</v>
      </c>
      <c r="C839">
        <v>2018</v>
      </c>
      <c r="E839" t="s">
        <v>6</v>
      </c>
      <c r="F839">
        <v>16.164400000000004</v>
      </c>
    </row>
    <row r="840" spans="1:6" hidden="1" x14ac:dyDescent="0.25">
      <c r="A840" t="s">
        <v>12</v>
      </c>
      <c r="B840" s="2">
        <v>43200</v>
      </c>
      <c r="C840">
        <v>2018</v>
      </c>
      <c r="E840" t="s">
        <v>6</v>
      </c>
      <c r="F840">
        <v>18.335199999999997</v>
      </c>
    </row>
    <row r="841" spans="1:6" hidden="1" x14ac:dyDescent="0.25">
      <c r="A841" t="s">
        <v>12</v>
      </c>
      <c r="B841" s="2">
        <v>43201</v>
      </c>
      <c r="C841">
        <v>2018</v>
      </c>
      <c r="E841" t="s">
        <v>6</v>
      </c>
      <c r="F841">
        <v>14.702199999999999</v>
      </c>
    </row>
    <row r="842" spans="1:6" hidden="1" x14ac:dyDescent="0.25">
      <c r="A842" t="s">
        <v>12</v>
      </c>
      <c r="B842" s="2">
        <v>43201</v>
      </c>
      <c r="C842">
        <v>2018</v>
      </c>
      <c r="E842" t="s">
        <v>6</v>
      </c>
      <c r="F842">
        <v>17.832200000000004</v>
      </c>
    </row>
    <row r="843" spans="1:6" hidden="1" x14ac:dyDescent="0.25">
      <c r="A843" t="s">
        <v>12</v>
      </c>
      <c r="B843" s="2">
        <v>43206</v>
      </c>
      <c r="C843">
        <v>2018</v>
      </c>
      <c r="E843" t="s">
        <v>6</v>
      </c>
      <c r="F843">
        <v>16.367999999999999</v>
      </c>
    </row>
    <row r="844" spans="1:6" hidden="1" x14ac:dyDescent="0.25">
      <c r="A844" t="s">
        <v>12</v>
      </c>
      <c r="B844" s="2">
        <v>43206</v>
      </c>
      <c r="C844">
        <v>2018</v>
      </c>
      <c r="E844" t="s">
        <v>6</v>
      </c>
      <c r="F844">
        <v>18.904</v>
      </c>
    </row>
    <row r="845" spans="1:6" hidden="1" x14ac:dyDescent="0.25">
      <c r="A845" t="s">
        <v>12</v>
      </c>
      <c r="B845" s="2">
        <v>43209</v>
      </c>
      <c r="C845">
        <v>2018</v>
      </c>
      <c r="E845" t="s">
        <v>6</v>
      </c>
      <c r="F845">
        <v>15.820200000000002</v>
      </c>
    </row>
    <row r="846" spans="1:6" hidden="1" x14ac:dyDescent="0.25">
      <c r="A846" t="s">
        <v>12</v>
      </c>
      <c r="B846" s="2">
        <v>43209</v>
      </c>
      <c r="C846">
        <v>2018</v>
      </c>
      <c r="E846" t="s">
        <v>6</v>
      </c>
      <c r="F846">
        <v>18.990400000000001</v>
      </c>
    </row>
    <row r="847" spans="1:6" hidden="1" x14ac:dyDescent="0.25">
      <c r="A847" t="s">
        <v>12</v>
      </c>
      <c r="B847" s="2">
        <v>43215</v>
      </c>
      <c r="C847">
        <v>2018</v>
      </c>
      <c r="E847" t="s">
        <v>6</v>
      </c>
      <c r="F847">
        <v>15.709200000000001</v>
      </c>
    </row>
    <row r="848" spans="1:6" hidden="1" x14ac:dyDescent="0.25">
      <c r="A848" t="s">
        <v>12</v>
      </c>
      <c r="B848" s="2">
        <v>43215</v>
      </c>
      <c r="C848">
        <v>2018</v>
      </c>
      <c r="E848" t="s">
        <v>6</v>
      </c>
      <c r="F848">
        <v>17.629200000000004</v>
      </c>
    </row>
    <row r="849" spans="1:6" hidden="1" x14ac:dyDescent="0.25">
      <c r="A849" t="s">
        <v>12</v>
      </c>
      <c r="B849" s="2">
        <v>43215</v>
      </c>
      <c r="C849">
        <v>2018</v>
      </c>
      <c r="E849" t="s">
        <v>6</v>
      </c>
      <c r="F849">
        <v>20.212200000000003</v>
      </c>
    </row>
    <row r="850" spans="1:6" hidden="1" x14ac:dyDescent="0.25">
      <c r="A850" t="s">
        <v>12</v>
      </c>
      <c r="B850" s="2">
        <v>43215</v>
      </c>
      <c r="C850">
        <v>2018</v>
      </c>
      <c r="E850" t="s">
        <v>6</v>
      </c>
      <c r="F850">
        <v>19.511100000000003</v>
      </c>
    </row>
    <row r="851" spans="1:6" hidden="1" x14ac:dyDescent="0.25">
      <c r="A851" t="s">
        <v>12</v>
      </c>
      <c r="B851" s="2">
        <v>43221</v>
      </c>
      <c r="C851">
        <v>2018</v>
      </c>
      <c r="E851" t="s">
        <v>6</v>
      </c>
      <c r="F851">
        <v>17.254300000000001</v>
      </c>
    </row>
    <row r="852" spans="1:6" hidden="1" x14ac:dyDescent="0.25">
      <c r="A852" t="s">
        <v>12</v>
      </c>
      <c r="B852" s="2">
        <v>43221</v>
      </c>
      <c r="C852">
        <v>2018</v>
      </c>
      <c r="E852" t="s">
        <v>6</v>
      </c>
      <c r="F852">
        <v>18.990400000000001</v>
      </c>
    </row>
    <row r="853" spans="1:6" hidden="1" x14ac:dyDescent="0.25">
      <c r="A853" t="s">
        <v>12</v>
      </c>
      <c r="B853" s="2">
        <v>43221</v>
      </c>
      <c r="C853">
        <v>2018</v>
      </c>
      <c r="E853" t="s">
        <v>6</v>
      </c>
      <c r="F853">
        <v>20.213000000000001</v>
      </c>
    </row>
    <row r="854" spans="1:6" hidden="1" x14ac:dyDescent="0.25">
      <c r="A854" t="s">
        <v>12</v>
      </c>
      <c r="B854" s="2">
        <v>43221</v>
      </c>
      <c r="C854">
        <v>2018</v>
      </c>
      <c r="E854" t="s">
        <v>6</v>
      </c>
      <c r="F854">
        <v>20.743199999999998</v>
      </c>
    </row>
    <row r="855" spans="1:6" hidden="1" x14ac:dyDescent="0.25">
      <c r="A855" t="s">
        <v>12</v>
      </c>
      <c r="B855" s="2">
        <v>43234</v>
      </c>
      <c r="C855">
        <v>2018</v>
      </c>
      <c r="E855" t="s">
        <v>6</v>
      </c>
      <c r="F855">
        <v>18.177</v>
      </c>
    </row>
    <row r="856" spans="1:6" hidden="1" x14ac:dyDescent="0.25">
      <c r="A856" t="s">
        <v>12</v>
      </c>
      <c r="B856" s="2">
        <v>43234</v>
      </c>
      <c r="C856">
        <v>2018</v>
      </c>
      <c r="E856" t="s">
        <v>6</v>
      </c>
      <c r="F856">
        <v>21.1936</v>
      </c>
    </row>
    <row r="857" spans="1:6" hidden="1" x14ac:dyDescent="0.25">
      <c r="A857" t="s">
        <v>12</v>
      </c>
      <c r="B857" s="2">
        <v>43235</v>
      </c>
      <c r="C857">
        <v>2018</v>
      </c>
      <c r="E857" t="s">
        <v>6</v>
      </c>
      <c r="F857">
        <v>17.12</v>
      </c>
    </row>
    <row r="858" spans="1:6" hidden="1" x14ac:dyDescent="0.25">
      <c r="A858" t="s">
        <v>12</v>
      </c>
      <c r="B858" s="2">
        <v>43235</v>
      </c>
      <c r="C858">
        <v>2018</v>
      </c>
      <c r="E858" t="s">
        <v>6</v>
      </c>
      <c r="F858">
        <v>20.638199999999998</v>
      </c>
    </row>
    <row r="859" spans="1:6" hidden="1" x14ac:dyDescent="0.25">
      <c r="A859" t="s">
        <v>12</v>
      </c>
      <c r="B859" s="2">
        <v>43248</v>
      </c>
      <c r="C859">
        <v>2018</v>
      </c>
      <c r="E859" t="s">
        <v>6</v>
      </c>
      <c r="F859">
        <v>19.418800000000001</v>
      </c>
    </row>
    <row r="860" spans="1:6" hidden="1" x14ac:dyDescent="0.25">
      <c r="A860" t="s">
        <v>12</v>
      </c>
      <c r="B860" s="2">
        <v>43248</v>
      </c>
      <c r="C860">
        <v>2018</v>
      </c>
      <c r="E860" t="s">
        <v>6</v>
      </c>
      <c r="F860">
        <v>21.730399999999996</v>
      </c>
    </row>
    <row r="861" spans="1:6" hidden="1" x14ac:dyDescent="0.25">
      <c r="A861" t="s">
        <v>12</v>
      </c>
      <c r="B861" s="2">
        <v>43249</v>
      </c>
      <c r="C861">
        <v>2018</v>
      </c>
      <c r="E861" t="s">
        <v>6</v>
      </c>
      <c r="F861">
        <v>17.313800000000001</v>
      </c>
    </row>
    <row r="862" spans="1:6" hidden="1" x14ac:dyDescent="0.25">
      <c r="A862" t="s">
        <v>12</v>
      </c>
      <c r="B862" s="2">
        <v>43249</v>
      </c>
      <c r="C862">
        <v>2018</v>
      </c>
      <c r="E862" t="s">
        <v>6</v>
      </c>
      <c r="F862">
        <v>21.0396</v>
      </c>
    </row>
    <row r="863" spans="1:6" hidden="1" x14ac:dyDescent="0.25">
      <c r="A863" t="s">
        <v>13</v>
      </c>
      <c r="B863" s="2">
        <v>43479</v>
      </c>
      <c r="C863">
        <v>2019</v>
      </c>
      <c r="E863" t="s">
        <v>6</v>
      </c>
      <c r="F863">
        <v>3.7132999999999998</v>
      </c>
    </row>
    <row r="864" spans="1:6" hidden="1" x14ac:dyDescent="0.25">
      <c r="A864" t="s">
        <v>13</v>
      </c>
      <c r="B864" s="2">
        <v>43515</v>
      </c>
      <c r="C864">
        <v>2019</v>
      </c>
      <c r="E864" t="s">
        <v>6</v>
      </c>
      <c r="F864">
        <v>9.0846</v>
      </c>
    </row>
    <row r="865" spans="1:8" hidden="1" x14ac:dyDescent="0.25">
      <c r="A865" t="s">
        <v>13</v>
      </c>
      <c r="B865" s="2">
        <v>43529</v>
      </c>
      <c r="C865">
        <v>2019</v>
      </c>
      <c r="E865" t="s">
        <v>6</v>
      </c>
      <c r="F865">
        <v>11.282700000000002</v>
      </c>
    </row>
    <row r="866" spans="1:8" hidden="1" x14ac:dyDescent="0.25">
      <c r="A866" t="s">
        <v>13</v>
      </c>
      <c r="B866" s="2">
        <v>43543</v>
      </c>
      <c r="C866">
        <v>2019</v>
      </c>
      <c r="E866" t="s">
        <v>6</v>
      </c>
      <c r="F866">
        <v>14.1492</v>
      </c>
    </row>
    <row r="867" spans="1:8" hidden="1" x14ac:dyDescent="0.25">
      <c r="A867" t="s">
        <v>13</v>
      </c>
      <c r="B867" s="2">
        <v>43557</v>
      </c>
      <c r="C867">
        <v>2019</v>
      </c>
      <c r="E867" t="s">
        <v>6</v>
      </c>
      <c r="F867">
        <v>15.68</v>
      </c>
    </row>
    <row r="868" spans="1:8" hidden="1" x14ac:dyDescent="0.25">
      <c r="A868" t="s">
        <v>13</v>
      </c>
      <c r="B868" s="2">
        <v>43564</v>
      </c>
      <c r="C868">
        <v>2019</v>
      </c>
      <c r="E868" t="s">
        <v>6</v>
      </c>
      <c r="F868">
        <v>16.533000000000001</v>
      </c>
    </row>
    <row r="869" spans="1:8" hidden="1" x14ac:dyDescent="0.25">
      <c r="A869" t="s">
        <v>13</v>
      </c>
      <c r="B869" s="2">
        <v>43570</v>
      </c>
      <c r="C869">
        <v>2019</v>
      </c>
      <c r="E869" t="s">
        <v>6</v>
      </c>
      <c r="F869">
        <v>17.297200000000004</v>
      </c>
    </row>
    <row r="870" spans="1:8" hidden="1" x14ac:dyDescent="0.25">
      <c r="A870" t="s">
        <v>13</v>
      </c>
      <c r="B870" s="2">
        <v>43577</v>
      </c>
      <c r="C870">
        <v>2019</v>
      </c>
      <c r="E870" t="s">
        <v>6</v>
      </c>
      <c r="F870">
        <v>16.7501</v>
      </c>
      <c r="G870">
        <v>16.809999999999999</v>
      </c>
      <c r="H870" t="s">
        <v>27</v>
      </c>
    </row>
    <row r="871" spans="1:8" hidden="1" x14ac:dyDescent="0.25">
      <c r="A871" t="s">
        <v>13</v>
      </c>
      <c r="B871" s="2">
        <v>43584</v>
      </c>
      <c r="C871">
        <v>2019</v>
      </c>
      <c r="E871" t="s">
        <v>6</v>
      </c>
      <c r="F871">
        <v>16.0398</v>
      </c>
    </row>
    <row r="872" spans="1:8" hidden="1" x14ac:dyDescent="0.25">
      <c r="A872" t="s">
        <v>13</v>
      </c>
      <c r="B872" s="2">
        <v>43613</v>
      </c>
      <c r="C872">
        <v>2019</v>
      </c>
      <c r="E872" t="s">
        <v>6</v>
      </c>
      <c r="F872">
        <v>18.956099999999999</v>
      </c>
    </row>
    <row r="873" spans="1:8" hidden="1" x14ac:dyDescent="0.25">
      <c r="A873" t="s">
        <v>13</v>
      </c>
      <c r="B873" s="2">
        <v>43479</v>
      </c>
      <c r="C873">
        <v>2019</v>
      </c>
      <c r="E873" t="s">
        <v>6</v>
      </c>
      <c r="F873">
        <v>4.1318000000000001</v>
      </c>
    </row>
    <row r="874" spans="1:8" hidden="1" x14ac:dyDescent="0.25">
      <c r="A874" t="s">
        <v>13</v>
      </c>
      <c r="B874" s="2">
        <v>43515</v>
      </c>
      <c r="C874">
        <v>2019</v>
      </c>
      <c r="E874" t="s">
        <v>6</v>
      </c>
      <c r="F874">
        <v>9.7136999999999993</v>
      </c>
    </row>
    <row r="875" spans="1:8" hidden="1" x14ac:dyDescent="0.25">
      <c r="A875" t="s">
        <v>13</v>
      </c>
      <c r="B875" s="2">
        <v>43529</v>
      </c>
      <c r="C875">
        <v>2019</v>
      </c>
      <c r="E875" t="s">
        <v>6</v>
      </c>
      <c r="F875">
        <v>12.059599999999998</v>
      </c>
    </row>
    <row r="876" spans="1:8" hidden="1" x14ac:dyDescent="0.25">
      <c r="A876" t="s">
        <v>13</v>
      </c>
      <c r="B876" s="2">
        <v>43543</v>
      </c>
      <c r="C876">
        <v>2019</v>
      </c>
      <c r="E876" t="s">
        <v>6</v>
      </c>
      <c r="F876">
        <v>14.828099999999999</v>
      </c>
    </row>
    <row r="877" spans="1:8" hidden="1" x14ac:dyDescent="0.25">
      <c r="A877" t="s">
        <v>13</v>
      </c>
      <c r="B877" s="2">
        <v>43557</v>
      </c>
      <c r="C877">
        <v>2019</v>
      </c>
      <c r="E877" t="s">
        <v>6</v>
      </c>
      <c r="F877">
        <v>17.16</v>
      </c>
    </row>
    <row r="878" spans="1:8" hidden="1" x14ac:dyDescent="0.25">
      <c r="A878" t="s">
        <v>13</v>
      </c>
      <c r="B878" s="2">
        <v>43564</v>
      </c>
      <c r="C878">
        <v>2019</v>
      </c>
      <c r="E878" t="s">
        <v>6</v>
      </c>
      <c r="F878">
        <v>17.0183</v>
      </c>
    </row>
    <row r="879" spans="1:8" hidden="1" x14ac:dyDescent="0.25">
      <c r="A879" t="s">
        <v>13</v>
      </c>
      <c r="B879" s="2">
        <v>43570</v>
      </c>
      <c r="C879">
        <v>2019</v>
      </c>
      <c r="E879" t="s">
        <v>6</v>
      </c>
      <c r="F879">
        <v>17.153000000000002</v>
      </c>
    </row>
    <row r="880" spans="1:8" hidden="1" x14ac:dyDescent="0.25">
      <c r="A880" t="s">
        <v>13</v>
      </c>
      <c r="B880" s="2">
        <v>43577</v>
      </c>
      <c r="C880">
        <v>2019</v>
      </c>
      <c r="E880" t="s">
        <v>6</v>
      </c>
      <c r="F880">
        <v>18.1996</v>
      </c>
    </row>
    <row r="881" spans="1:6" hidden="1" x14ac:dyDescent="0.25">
      <c r="A881" t="s">
        <v>13</v>
      </c>
      <c r="B881" s="2">
        <v>43584</v>
      </c>
      <c r="C881">
        <v>2019</v>
      </c>
      <c r="E881" t="s">
        <v>6</v>
      </c>
      <c r="F881">
        <v>16.344999999999999</v>
      </c>
    </row>
    <row r="882" spans="1:6" hidden="1" x14ac:dyDescent="0.25">
      <c r="A882" t="s">
        <v>13</v>
      </c>
      <c r="B882" s="2">
        <v>43613</v>
      </c>
      <c r="C882">
        <v>2019</v>
      </c>
      <c r="E882" t="s">
        <v>6</v>
      </c>
      <c r="F882">
        <v>20.093399999999999</v>
      </c>
    </row>
    <row r="883" spans="1:6" hidden="1" x14ac:dyDescent="0.25">
      <c r="A883" t="s">
        <v>13</v>
      </c>
      <c r="B883" s="2">
        <v>43479</v>
      </c>
      <c r="C883">
        <v>2019</v>
      </c>
      <c r="E883" t="s">
        <v>6</v>
      </c>
      <c r="F883">
        <v>4.6560000000000006</v>
      </c>
    </row>
    <row r="884" spans="1:6" hidden="1" x14ac:dyDescent="0.25">
      <c r="A884" t="s">
        <v>13</v>
      </c>
      <c r="B884" s="2">
        <v>43479</v>
      </c>
      <c r="C884">
        <v>2019</v>
      </c>
      <c r="E884" t="s">
        <v>6</v>
      </c>
      <c r="F884">
        <v>4.2772000000000006</v>
      </c>
    </row>
    <row r="885" spans="1:6" hidden="1" x14ac:dyDescent="0.25">
      <c r="A885" t="s">
        <v>13</v>
      </c>
      <c r="B885" s="2">
        <v>43479</v>
      </c>
      <c r="C885">
        <v>2019</v>
      </c>
      <c r="E885" t="s">
        <v>6</v>
      </c>
      <c r="F885">
        <v>4.8944000000000001</v>
      </c>
    </row>
    <row r="886" spans="1:6" hidden="1" x14ac:dyDescent="0.25">
      <c r="A886" t="s">
        <v>13</v>
      </c>
      <c r="B886" s="2">
        <v>43479</v>
      </c>
      <c r="C886">
        <v>2019</v>
      </c>
      <c r="E886" t="s">
        <v>6</v>
      </c>
      <c r="F886">
        <v>3.9389999999999996</v>
      </c>
    </row>
    <row r="887" spans="1:6" hidden="1" x14ac:dyDescent="0.25">
      <c r="A887" t="s">
        <v>13</v>
      </c>
      <c r="B887" s="2">
        <v>43514</v>
      </c>
      <c r="C887">
        <v>2019</v>
      </c>
      <c r="E887" t="s">
        <v>6</v>
      </c>
      <c r="F887">
        <v>10.8528</v>
      </c>
    </row>
    <row r="888" spans="1:6" hidden="1" x14ac:dyDescent="0.25">
      <c r="A888" t="s">
        <v>13</v>
      </c>
      <c r="B888" s="2">
        <v>43514</v>
      </c>
      <c r="C888">
        <v>2019</v>
      </c>
      <c r="E888" t="s">
        <v>6</v>
      </c>
      <c r="F888">
        <v>10.956800000000001</v>
      </c>
    </row>
    <row r="889" spans="1:6" hidden="1" x14ac:dyDescent="0.25">
      <c r="A889" t="s">
        <v>13</v>
      </c>
      <c r="B889" s="2">
        <v>43514</v>
      </c>
      <c r="C889">
        <v>2019</v>
      </c>
      <c r="E889" t="s">
        <v>6</v>
      </c>
      <c r="F889">
        <v>11.326199999999998</v>
      </c>
    </row>
    <row r="890" spans="1:6" hidden="1" x14ac:dyDescent="0.25">
      <c r="A890" t="s">
        <v>13</v>
      </c>
      <c r="B890" s="2">
        <v>43514</v>
      </c>
      <c r="C890">
        <v>2019</v>
      </c>
      <c r="E890" t="s">
        <v>6</v>
      </c>
      <c r="F890">
        <v>9.9293999999999993</v>
      </c>
    </row>
    <row r="891" spans="1:6" hidden="1" x14ac:dyDescent="0.25">
      <c r="A891" t="s">
        <v>13</v>
      </c>
      <c r="B891" s="2">
        <v>43528</v>
      </c>
      <c r="C891">
        <v>2019</v>
      </c>
      <c r="E891" t="s">
        <v>6</v>
      </c>
      <c r="F891">
        <v>13.165999999999999</v>
      </c>
    </row>
    <row r="892" spans="1:6" hidden="1" x14ac:dyDescent="0.25">
      <c r="A892" t="s">
        <v>13</v>
      </c>
      <c r="B892" s="2">
        <v>43528</v>
      </c>
      <c r="C892">
        <v>2019</v>
      </c>
      <c r="E892" t="s">
        <v>6</v>
      </c>
      <c r="F892">
        <v>10.804500000000001</v>
      </c>
    </row>
    <row r="893" spans="1:6" hidden="1" x14ac:dyDescent="0.25">
      <c r="A893" t="s">
        <v>13</v>
      </c>
      <c r="B893" s="2">
        <v>43529</v>
      </c>
      <c r="C893">
        <v>2019</v>
      </c>
      <c r="E893" t="s">
        <v>6</v>
      </c>
      <c r="F893">
        <v>12.7376</v>
      </c>
    </row>
    <row r="894" spans="1:6" hidden="1" x14ac:dyDescent="0.25">
      <c r="A894" t="s">
        <v>13</v>
      </c>
      <c r="B894" s="2">
        <v>43542</v>
      </c>
      <c r="C894">
        <v>2019</v>
      </c>
      <c r="E894" t="s">
        <v>6</v>
      </c>
      <c r="F894">
        <v>15.515600000000001</v>
      </c>
    </row>
    <row r="895" spans="1:6" hidden="1" x14ac:dyDescent="0.25">
      <c r="A895" t="s">
        <v>13</v>
      </c>
      <c r="B895" s="2">
        <v>43542</v>
      </c>
      <c r="C895">
        <v>2019</v>
      </c>
      <c r="E895" t="s">
        <v>6</v>
      </c>
      <c r="F895">
        <v>12.581800000000001</v>
      </c>
    </row>
    <row r="896" spans="1:6" hidden="1" x14ac:dyDescent="0.25">
      <c r="A896" t="s">
        <v>13</v>
      </c>
      <c r="B896" s="2">
        <v>43543</v>
      </c>
      <c r="C896">
        <v>2019</v>
      </c>
      <c r="E896" t="s">
        <v>6</v>
      </c>
      <c r="F896">
        <v>15.232000000000001</v>
      </c>
    </row>
    <row r="897" spans="1:6" hidden="1" x14ac:dyDescent="0.25">
      <c r="A897" t="s">
        <v>13</v>
      </c>
      <c r="B897" s="2">
        <v>43557</v>
      </c>
      <c r="C897">
        <v>2019</v>
      </c>
      <c r="E897" t="s">
        <v>6</v>
      </c>
      <c r="F897">
        <v>16.212700000000002</v>
      </c>
    </row>
    <row r="898" spans="1:6" hidden="1" x14ac:dyDescent="0.25">
      <c r="A898" t="s">
        <v>13</v>
      </c>
      <c r="B898" s="2">
        <v>43557</v>
      </c>
      <c r="C898">
        <v>2019</v>
      </c>
      <c r="E898" t="s">
        <v>6</v>
      </c>
      <c r="F898">
        <v>17.384</v>
      </c>
    </row>
    <row r="899" spans="1:6" hidden="1" x14ac:dyDescent="0.25">
      <c r="A899" t="s">
        <v>13</v>
      </c>
      <c r="B899" s="2">
        <v>43557</v>
      </c>
      <c r="C899">
        <v>2019</v>
      </c>
      <c r="E899" t="s">
        <v>6</v>
      </c>
      <c r="F899">
        <v>17.828400000000002</v>
      </c>
    </row>
    <row r="900" spans="1:6" hidden="1" x14ac:dyDescent="0.25">
      <c r="A900" t="s">
        <v>13</v>
      </c>
      <c r="B900" s="2">
        <v>43557</v>
      </c>
      <c r="C900">
        <v>2019</v>
      </c>
      <c r="E900" t="s">
        <v>6</v>
      </c>
      <c r="F900">
        <v>14.051499999999999</v>
      </c>
    </row>
    <row r="901" spans="1:6" hidden="1" x14ac:dyDescent="0.25">
      <c r="A901" t="s">
        <v>13</v>
      </c>
      <c r="B901" s="2">
        <v>43564</v>
      </c>
      <c r="C901">
        <v>2019</v>
      </c>
      <c r="E901" t="s">
        <v>6</v>
      </c>
      <c r="F901">
        <v>16.912500000000001</v>
      </c>
    </row>
    <row r="902" spans="1:6" hidden="1" x14ac:dyDescent="0.25">
      <c r="A902" t="s">
        <v>13</v>
      </c>
      <c r="B902" s="2">
        <v>43564</v>
      </c>
      <c r="C902">
        <v>2019</v>
      </c>
      <c r="E902" t="s">
        <v>6</v>
      </c>
      <c r="F902">
        <v>17.995200000000001</v>
      </c>
    </row>
    <row r="903" spans="1:6" hidden="1" x14ac:dyDescent="0.25">
      <c r="A903" t="s">
        <v>13</v>
      </c>
      <c r="B903" s="2">
        <v>43564</v>
      </c>
      <c r="C903">
        <v>2019</v>
      </c>
      <c r="E903" t="s">
        <v>6</v>
      </c>
      <c r="F903">
        <v>18.420999999999999</v>
      </c>
    </row>
    <row r="904" spans="1:6" hidden="1" x14ac:dyDescent="0.25">
      <c r="A904" t="s">
        <v>13</v>
      </c>
      <c r="B904" s="2">
        <v>43564</v>
      </c>
      <c r="C904">
        <v>2019</v>
      </c>
      <c r="E904" t="s">
        <v>6</v>
      </c>
      <c r="F904">
        <v>15.370899999999999</v>
      </c>
    </row>
    <row r="905" spans="1:6" hidden="1" x14ac:dyDescent="0.25">
      <c r="A905" t="s">
        <v>13</v>
      </c>
      <c r="B905" s="2">
        <v>43570</v>
      </c>
      <c r="C905">
        <v>2019</v>
      </c>
      <c r="E905" t="s">
        <v>6</v>
      </c>
      <c r="F905">
        <v>17.330400000000001</v>
      </c>
    </row>
    <row r="906" spans="1:6" hidden="1" x14ac:dyDescent="0.25">
      <c r="A906" t="s">
        <v>13</v>
      </c>
      <c r="B906" s="2">
        <v>43570</v>
      </c>
      <c r="C906">
        <v>2019</v>
      </c>
      <c r="E906" t="s">
        <v>6</v>
      </c>
      <c r="F906">
        <v>18.035999999999998</v>
      </c>
    </row>
    <row r="907" spans="1:6" hidden="1" x14ac:dyDescent="0.25">
      <c r="A907" t="s">
        <v>13</v>
      </c>
      <c r="B907" s="2">
        <v>43570</v>
      </c>
      <c r="C907">
        <v>2019</v>
      </c>
      <c r="E907" t="s">
        <v>6</v>
      </c>
      <c r="F907">
        <v>19.583600000000001</v>
      </c>
    </row>
    <row r="908" spans="1:6" hidden="1" x14ac:dyDescent="0.25">
      <c r="A908" t="s">
        <v>13</v>
      </c>
      <c r="B908" s="2">
        <v>43570</v>
      </c>
      <c r="C908">
        <v>2019</v>
      </c>
      <c r="E908" t="s">
        <v>6</v>
      </c>
      <c r="F908">
        <v>15.481599999999998</v>
      </c>
    </row>
    <row r="909" spans="1:6" hidden="1" x14ac:dyDescent="0.25">
      <c r="A909" t="s">
        <v>13</v>
      </c>
      <c r="B909" s="2">
        <v>43577</v>
      </c>
      <c r="C909">
        <v>2019</v>
      </c>
      <c r="E909" t="s">
        <v>6</v>
      </c>
      <c r="F909">
        <v>16.8264</v>
      </c>
    </row>
    <row r="910" spans="1:6" hidden="1" x14ac:dyDescent="0.25">
      <c r="A910" t="s">
        <v>13</v>
      </c>
      <c r="B910" s="2">
        <v>43577</v>
      </c>
      <c r="C910">
        <v>2019</v>
      </c>
      <c r="E910" t="s">
        <v>6</v>
      </c>
      <c r="F910">
        <v>18.564</v>
      </c>
    </row>
    <row r="911" spans="1:6" hidden="1" x14ac:dyDescent="0.25">
      <c r="A911" t="s">
        <v>13</v>
      </c>
      <c r="B911" s="2">
        <v>43577</v>
      </c>
      <c r="C911">
        <v>2019</v>
      </c>
      <c r="E911" t="s">
        <v>6</v>
      </c>
      <c r="F911">
        <v>18.948599999999999</v>
      </c>
    </row>
    <row r="912" spans="1:6" hidden="1" x14ac:dyDescent="0.25">
      <c r="A912" t="s">
        <v>13</v>
      </c>
      <c r="B912" s="2">
        <v>43577</v>
      </c>
      <c r="C912">
        <v>2019</v>
      </c>
      <c r="E912" t="s">
        <v>6</v>
      </c>
      <c r="F912">
        <v>15.484999999999999</v>
      </c>
    </row>
    <row r="913" spans="1:6" hidden="1" x14ac:dyDescent="0.25">
      <c r="A913" t="s">
        <v>13</v>
      </c>
      <c r="B913" s="2">
        <v>43584</v>
      </c>
      <c r="C913">
        <v>2019</v>
      </c>
      <c r="E913" t="s">
        <v>6</v>
      </c>
      <c r="F913">
        <v>15.664599999999998</v>
      </c>
    </row>
    <row r="914" spans="1:6" hidden="1" x14ac:dyDescent="0.25">
      <c r="A914" t="s">
        <v>13</v>
      </c>
      <c r="B914" s="2">
        <v>43584</v>
      </c>
      <c r="C914">
        <v>2019</v>
      </c>
      <c r="E914" t="s">
        <v>6</v>
      </c>
      <c r="F914">
        <v>16.6465</v>
      </c>
    </row>
    <row r="915" spans="1:6" hidden="1" x14ac:dyDescent="0.25">
      <c r="A915" t="s">
        <v>13</v>
      </c>
      <c r="B915" s="2">
        <v>43584</v>
      </c>
      <c r="C915">
        <v>2019</v>
      </c>
      <c r="E915" t="s">
        <v>6</v>
      </c>
      <c r="F915">
        <v>18.004799999999999</v>
      </c>
    </row>
    <row r="916" spans="1:6" hidden="1" x14ac:dyDescent="0.25">
      <c r="A916" t="s">
        <v>13</v>
      </c>
      <c r="B916" s="2">
        <v>43584</v>
      </c>
      <c r="C916">
        <v>2019</v>
      </c>
      <c r="E916" t="s">
        <v>6</v>
      </c>
      <c r="F916">
        <v>14.176400000000003</v>
      </c>
    </row>
    <row r="917" spans="1:6" hidden="1" x14ac:dyDescent="0.25">
      <c r="A917" t="s">
        <v>13</v>
      </c>
      <c r="B917" s="2">
        <v>43612</v>
      </c>
      <c r="C917">
        <v>2019</v>
      </c>
      <c r="E917" t="s">
        <v>6</v>
      </c>
      <c r="F917">
        <v>21.337800000000001</v>
      </c>
    </row>
    <row r="918" spans="1:6" hidden="1" x14ac:dyDescent="0.25">
      <c r="A918" t="s">
        <v>13</v>
      </c>
      <c r="B918" s="2">
        <v>43612</v>
      </c>
      <c r="C918">
        <v>2019</v>
      </c>
      <c r="E918" t="s">
        <v>6</v>
      </c>
      <c r="F918">
        <v>17.0625</v>
      </c>
    </row>
    <row r="919" spans="1:6" hidden="1" x14ac:dyDescent="0.25">
      <c r="A919" t="s">
        <v>13</v>
      </c>
      <c r="B919" s="2">
        <v>43613</v>
      </c>
      <c r="C919">
        <v>2019</v>
      </c>
      <c r="E919" t="s">
        <v>6</v>
      </c>
      <c r="F919">
        <v>18.391999999999999</v>
      </c>
    </row>
    <row r="920" spans="1:6" hidden="1" x14ac:dyDescent="0.25">
      <c r="A920" t="s">
        <v>13</v>
      </c>
      <c r="B920" s="2">
        <v>43613</v>
      </c>
      <c r="C920">
        <v>2019</v>
      </c>
      <c r="E920" t="s">
        <v>6</v>
      </c>
      <c r="F920">
        <v>20.178000000000001</v>
      </c>
    </row>
    <row r="921" spans="1:6" hidden="1" x14ac:dyDescent="0.25">
      <c r="A921" t="s">
        <v>14</v>
      </c>
      <c r="B921" s="2">
        <v>43850</v>
      </c>
      <c r="C921">
        <v>2020</v>
      </c>
      <c r="E921" t="s">
        <v>6</v>
      </c>
      <c r="F921">
        <v>4.7547000000000006</v>
      </c>
    </row>
    <row r="922" spans="1:6" hidden="1" x14ac:dyDescent="0.25">
      <c r="A922" t="s">
        <v>14</v>
      </c>
      <c r="B922" s="2">
        <v>43880</v>
      </c>
      <c r="C922">
        <v>2020</v>
      </c>
      <c r="E922" t="s">
        <v>6</v>
      </c>
      <c r="F922">
        <v>9.8704000000000001</v>
      </c>
    </row>
    <row r="923" spans="1:6" hidden="1" x14ac:dyDescent="0.25">
      <c r="A923" t="s">
        <v>14</v>
      </c>
      <c r="B923" s="2">
        <v>43892</v>
      </c>
      <c r="C923">
        <v>2020</v>
      </c>
      <c r="E923" t="s">
        <v>6</v>
      </c>
      <c r="F923">
        <v>10.906000000000001</v>
      </c>
    </row>
    <row r="924" spans="1:6" hidden="1" x14ac:dyDescent="0.25">
      <c r="A924" t="s">
        <v>14</v>
      </c>
      <c r="B924" s="2">
        <v>43906</v>
      </c>
      <c r="C924">
        <v>2020</v>
      </c>
      <c r="E924" t="s">
        <v>6</v>
      </c>
      <c r="F924">
        <v>13.64</v>
      </c>
    </row>
    <row r="925" spans="1:6" hidden="1" x14ac:dyDescent="0.25">
      <c r="A925" t="s">
        <v>14</v>
      </c>
      <c r="B925" s="2">
        <v>43950</v>
      </c>
      <c r="C925">
        <v>2020</v>
      </c>
      <c r="E925" t="s">
        <v>6</v>
      </c>
      <c r="F925">
        <v>18.305</v>
      </c>
    </row>
    <row r="926" spans="1:6" hidden="1" x14ac:dyDescent="0.25">
      <c r="A926" t="s">
        <v>14</v>
      </c>
      <c r="B926" s="2">
        <v>43963</v>
      </c>
      <c r="C926">
        <v>2020</v>
      </c>
      <c r="E926" t="s">
        <v>6</v>
      </c>
      <c r="F926">
        <v>18.266399999999997</v>
      </c>
    </row>
    <row r="927" spans="1:6" hidden="1" x14ac:dyDescent="0.25">
      <c r="A927" t="s">
        <v>14</v>
      </c>
      <c r="B927" s="2">
        <v>43977</v>
      </c>
      <c r="C927">
        <v>2020</v>
      </c>
      <c r="E927" t="s">
        <v>6</v>
      </c>
      <c r="F927">
        <v>17.912400000000002</v>
      </c>
    </row>
    <row r="928" spans="1:6" hidden="1" x14ac:dyDescent="0.25">
      <c r="A928" t="s">
        <v>14</v>
      </c>
      <c r="B928" s="2">
        <v>43851</v>
      </c>
      <c r="C928">
        <v>2020</v>
      </c>
      <c r="E928" t="s">
        <v>6</v>
      </c>
      <c r="F928">
        <v>5.3330999999999991</v>
      </c>
    </row>
    <row r="929" spans="1:8" hidden="1" x14ac:dyDescent="0.25">
      <c r="A929" t="s">
        <v>14</v>
      </c>
      <c r="B929" s="2">
        <v>43880</v>
      </c>
      <c r="C929">
        <v>2020</v>
      </c>
      <c r="E929" t="s">
        <v>6</v>
      </c>
      <c r="F929">
        <v>11.4168</v>
      </c>
    </row>
    <row r="930" spans="1:8" hidden="1" x14ac:dyDescent="0.25">
      <c r="A930" t="s">
        <v>14</v>
      </c>
      <c r="B930" s="2">
        <v>43894</v>
      </c>
      <c r="C930">
        <v>2020</v>
      </c>
      <c r="E930" t="s">
        <v>6</v>
      </c>
      <c r="F930">
        <v>12.3223</v>
      </c>
    </row>
    <row r="931" spans="1:8" hidden="1" x14ac:dyDescent="0.25">
      <c r="A931" t="s">
        <v>14</v>
      </c>
      <c r="B931" s="2">
        <v>43907</v>
      </c>
      <c r="C931">
        <v>2020</v>
      </c>
      <c r="E931" t="s">
        <v>6</v>
      </c>
      <c r="F931">
        <v>15.345000000000001</v>
      </c>
    </row>
    <row r="932" spans="1:8" hidden="1" x14ac:dyDescent="0.25">
      <c r="A932" t="s">
        <v>14</v>
      </c>
      <c r="B932" s="2">
        <v>43951</v>
      </c>
      <c r="C932">
        <v>2020</v>
      </c>
      <c r="E932" t="s">
        <v>6</v>
      </c>
      <c r="F932">
        <v>20.304000000000002</v>
      </c>
      <c r="G932">
        <v>20.09</v>
      </c>
      <c r="H932" t="s">
        <v>27</v>
      </c>
    </row>
    <row r="933" spans="1:8" hidden="1" x14ac:dyDescent="0.25">
      <c r="A933" t="s">
        <v>14</v>
      </c>
      <c r="B933" s="2">
        <v>43963</v>
      </c>
      <c r="C933">
        <v>2020</v>
      </c>
      <c r="E933" t="s">
        <v>6</v>
      </c>
      <c r="F933">
        <v>20.374199999999998</v>
      </c>
    </row>
    <row r="934" spans="1:8" hidden="1" x14ac:dyDescent="0.25">
      <c r="A934" t="s">
        <v>14</v>
      </c>
      <c r="B934" s="2">
        <v>43979</v>
      </c>
      <c r="C934">
        <v>2020</v>
      </c>
      <c r="E934" t="s">
        <v>6</v>
      </c>
      <c r="F934">
        <v>21.040500000000002</v>
      </c>
    </row>
    <row r="935" spans="1:8" hidden="1" x14ac:dyDescent="0.25">
      <c r="A935" t="s">
        <v>14</v>
      </c>
      <c r="B935" s="2">
        <v>43850</v>
      </c>
      <c r="C935">
        <v>2020</v>
      </c>
      <c r="E935" t="s">
        <v>6</v>
      </c>
      <c r="F935">
        <v>4.8761999999999999</v>
      </c>
    </row>
    <row r="936" spans="1:8" hidden="1" x14ac:dyDescent="0.25">
      <c r="A936" t="s">
        <v>14</v>
      </c>
      <c r="B936" s="2">
        <v>43850</v>
      </c>
      <c r="C936">
        <v>2020</v>
      </c>
      <c r="E936" t="s">
        <v>6</v>
      </c>
      <c r="F936">
        <v>6.0888</v>
      </c>
    </row>
    <row r="937" spans="1:8" hidden="1" x14ac:dyDescent="0.25">
      <c r="A937" t="s">
        <v>14</v>
      </c>
      <c r="B937" s="2">
        <v>43851</v>
      </c>
      <c r="C937">
        <v>2020</v>
      </c>
      <c r="E937" t="s">
        <v>6</v>
      </c>
      <c r="F937">
        <v>6.6393999999999993</v>
      </c>
    </row>
    <row r="938" spans="1:8" hidden="1" x14ac:dyDescent="0.25">
      <c r="A938" t="s">
        <v>14</v>
      </c>
      <c r="B938" s="2">
        <v>43878</v>
      </c>
      <c r="C938">
        <v>2020</v>
      </c>
      <c r="E938" t="s">
        <v>6</v>
      </c>
      <c r="F938">
        <v>10.094700000000001</v>
      </c>
    </row>
    <row r="939" spans="1:8" hidden="1" x14ac:dyDescent="0.25">
      <c r="A939" t="s">
        <v>14</v>
      </c>
      <c r="B939" s="2">
        <v>43878</v>
      </c>
      <c r="C939">
        <v>2020</v>
      </c>
      <c r="E939" t="s">
        <v>6</v>
      </c>
      <c r="F939">
        <v>11.238399999999999</v>
      </c>
    </row>
    <row r="940" spans="1:8" hidden="1" x14ac:dyDescent="0.25">
      <c r="A940" t="s">
        <v>14</v>
      </c>
      <c r="B940" s="2">
        <v>43880</v>
      </c>
      <c r="C940">
        <v>2020</v>
      </c>
      <c r="E940" t="s">
        <v>6</v>
      </c>
      <c r="F940">
        <v>11.596500000000001</v>
      </c>
    </row>
    <row r="941" spans="1:8" hidden="1" x14ac:dyDescent="0.25">
      <c r="A941" t="s">
        <v>14</v>
      </c>
      <c r="B941" s="2">
        <v>43892</v>
      </c>
      <c r="C941">
        <v>2020</v>
      </c>
      <c r="E941" t="s">
        <v>6</v>
      </c>
      <c r="F941">
        <v>11.636900000000001</v>
      </c>
    </row>
    <row r="942" spans="1:8" hidden="1" x14ac:dyDescent="0.25">
      <c r="A942" t="s">
        <v>14</v>
      </c>
      <c r="B942" s="2">
        <v>43892</v>
      </c>
      <c r="C942">
        <v>2020</v>
      </c>
      <c r="E942" t="s">
        <v>6</v>
      </c>
      <c r="F942">
        <v>14.870200000000001</v>
      </c>
    </row>
    <row r="943" spans="1:8" hidden="1" x14ac:dyDescent="0.25">
      <c r="A943" t="s">
        <v>14</v>
      </c>
      <c r="B943" s="2">
        <v>43894</v>
      </c>
      <c r="C943">
        <v>2020</v>
      </c>
      <c r="E943" t="s">
        <v>6</v>
      </c>
      <c r="F943">
        <v>13.32</v>
      </c>
    </row>
    <row r="944" spans="1:8" hidden="1" x14ac:dyDescent="0.25">
      <c r="A944" t="s">
        <v>14</v>
      </c>
      <c r="B944" s="2">
        <v>43906</v>
      </c>
      <c r="C944">
        <v>2020</v>
      </c>
      <c r="E944" t="s">
        <v>6</v>
      </c>
      <c r="F944">
        <v>13.488</v>
      </c>
    </row>
    <row r="945" spans="1:8" hidden="1" x14ac:dyDescent="0.25">
      <c r="A945" t="s">
        <v>14</v>
      </c>
      <c r="B945" s="2">
        <v>43906</v>
      </c>
      <c r="C945">
        <v>2020</v>
      </c>
      <c r="E945" t="s">
        <v>6</v>
      </c>
      <c r="F945">
        <v>17.408000000000001</v>
      </c>
    </row>
    <row r="946" spans="1:8" hidden="1" x14ac:dyDescent="0.25">
      <c r="A946" t="s">
        <v>14</v>
      </c>
      <c r="B946" s="2">
        <v>43907</v>
      </c>
      <c r="C946">
        <v>2020</v>
      </c>
      <c r="E946" t="s">
        <v>6</v>
      </c>
      <c r="F946">
        <v>15.384600000000001</v>
      </c>
    </row>
    <row r="947" spans="1:8" hidden="1" x14ac:dyDescent="0.25">
      <c r="A947" t="s">
        <v>14</v>
      </c>
      <c r="B947" s="2">
        <v>43950</v>
      </c>
      <c r="C947">
        <v>2020</v>
      </c>
      <c r="E947" t="s">
        <v>6</v>
      </c>
      <c r="F947">
        <v>17.500999999999998</v>
      </c>
    </row>
    <row r="948" spans="1:8" hidden="1" x14ac:dyDescent="0.25">
      <c r="A948" t="s">
        <v>14</v>
      </c>
      <c r="B948" s="2">
        <v>43950</v>
      </c>
      <c r="C948">
        <v>2020</v>
      </c>
      <c r="E948" t="s">
        <v>6</v>
      </c>
      <c r="F948">
        <v>22.477499999999999</v>
      </c>
    </row>
    <row r="949" spans="1:8" hidden="1" x14ac:dyDescent="0.25">
      <c r="A949" t="s">
        <v>14</v>
      </c>
      <c r="B949" s="2">
        <v>43950</v>
      </c>
      <c r="C949">
        <v>2020</v>
      </c>
      <c r="E949" t="s">
        <v>6</v>
      </c>
      <c r="F949">
        <v>19.583600000000001</v>
      </c>
    </row>
    <row r="950" spans="1:8" hidden="1" x14ac:dyDescent="0.25">
      <c r="A950" t="s">
        <v>14</v>
      </c>
      <c r="B950" s="2">
        <v>43963</v>
      </c>
      <c r="C950">
        <v>2020</v>
      </c>
      <c r="E950" t="s">
        <v>6</v>
      </c>
      <c r="F950">
        <v>23.190299999999997</v>
      </c>
    </row>
    <row r="951" spans="1:8" hidden="1" x14ac:dyDescent="0.25">
      <c r="A951" t="s">
        <v>14</v>
      </c>
      <c r="B951" s="2">
        <v>43964</v>
      </c>
      <c r="C951">
        <v>2020</v>
      </c>
      <c r="E951" t="s">
        <v>6</v>
      </c>
      <c r="F951">
        <v>18.668399999999998</v>
      </c>
    </row>
    <row r="952" spans="1:8" hidden="1" x14ac:dyDescent="0.25">
      <c r="A952" t="s">
        <v>14</v>
      </c>
      <c r="B952" s="2">
        <v>43964</v>
      </c>
      <c r="C952">
        <v>2020</v>
      </c>
      <c r="E952" t="s">
        <v>6</v>
      </c>
      <c r="F952">
        <v>21.14</v>
      </c>
    </row>
    <row r="953" spans="1:8" hidden="1" x14ac:dyDescent="0.25">
      <c r="A953" t="s">
        <v>14</v>
      </c>
      <c r="B953" s="2">
        <v>43978</v>
      </c>
      <c r="C953">
        <v>2020</v>
      </c>
      <c r="E953" t="s">
        <v>6</v>
      </c>
      <c r="F953">
        <v>17.422999999999998</v>
      </c>
    </row>
    <row r="954" spans="1:8" hidden="1" x14ac:dyDescent="0.25">
      <c r="A954" t="s">
        <v>14</v>
      </c>
      <c r="B954" s="2">
        <v>43978</v>
      </c>
      <c r="C954">
        <v>2020</v>
      </c>
      <c r="E954" t="s">
        <v>6</v>
      </c>
      <c r="F954">
        <v>21.057399999999998</v>
      </c>
    </row>
    <row r="955" spans="1:8" hidden="1" x14ac:dyDescent="0.25">
      <c r="A955" t="s">
        <v>19</v>
      </c>
      <c r="B955" s="2">
        <v>43850</v>
      </c>
      <c r="C955">
        <v>2020</v>
      </c>
      <c r="E955" t="s">
        <v>9</v>
      </c>
      <c r="F955">
        <v>6.0801999999999996</v>
      </c>
    </row>
    <row r="956" spans="1:8" hidden="1" x14ac:dyDescent="0.25">
      <c r="A956" t="s">
        <v>19</v>
      </c>
      <c r="B956" s="2">
        <v>43880</v>
      </c>
      <c r="C956">
        <v>2020</v>
      </c>
      <c r="E956" t="s">
        <v>9</v>
      </c>
      <c r="F956">
        <v>12.821400000000001</v>
      </c>
    </row>
    <row r="957" spans="1:8" hidden="1" x14ac:dyDescent="0.25">
      <c r="A957" t="s">
        <v>19</v>
      </c>
      <c r="B957" s="2">
        <v>43892</v>
      </c>
      <c r="C957">
        <v>2020</v>
      </c>
      <c r="E957" t="s">
        <v>9</v>
      </c>
      <c r="F957">
        <v>14.503500000000001</v>
      </c>
    </row>
    <row r="958" spans="1:8" hidden="1" x14ac:dyDescent="0.25">
      <c r="A958" t="s">
        <v>19</v>
      </c>
      <c r="B958" s="2">
        <v>43906</v>
      </c>
      <c r="C958">
        <v>2020</v>
      </c>
      <c r="E958" t="s">
        <v>9</v>
      </c>
      <c r="F958">
        <v>15.633099999999999</v>
      </c>
    </row>
    <row r="959" spans="1:8" hidden="1" x14ac:dyDescent="0.25">
      <c r="A959" t="s">
        <v>19</v>
      </c>
      <c r="B959" s="2">
        <v>43949</v>
      </c>
      <c r="C959">
        <v>2020</v>
      </c>
      <c r="E959" t="s">
        <v>9</v>
      </c>
      <c r="F959">
        <v>18.143800000000002</v>
      </c>
      <c r="G959">
        <f t="shared" ref="G959" si="9">F959</f>
        <v>18.143800000000002</v>
      </c>
      <c r="H959" t="s">
        <v>27</v>
      </c>
    </row>
    <row r="960" spans="1:8" hidden="1" x14ac:dyDescent="0.25">
      <c r="A960" t="s">
        <v>19</v>
      </c>
      <c r="B960" s="2">
        <v>43963</v>
      </c>
      <c r="C960">
        <v>2020</v>
      </c>
      <c r="E960" t="s">
        <v>9</v>
      </c>
      <c r="F960">
        <v>19.821999999999999</v>
      </c>
    </row>
    <row r="961" spans="1:8" hidden="1" x14ac:dyDescent="0.25">
      <c r="A961" t="s">
        <v>19</v>
      </c>
      <c r="B961" s="2">
        <v>43976</v>
      </c>
      <c r="C961">
        <v>2020</v>
      </c>
      <c r="E961" t="s">
        <v>9</v>
      </c>
      <c r="F961">
        <v>20.206400000000002</v>
      </c>
    </row>
    <row r="962" spans="1:8" hidden="1" x14ac:dyDescent="0.25">
      <c r="A962" t="s">
        <v>15</v>
      </c>
      <c r="B962" s="2">
        <v>44223</v>
      </c>
      <c r="C962">
        <v>2021</v>
      </c>
      <c r="E962" t="s">
        <v>6</v>
      </c>
      <c r="F962">
        <v>6.2172349019108983</v>
      </c>
    </row>
    <row r="963" spans="1:8" hidden="1" x14ac:dyDescent="0.25">
      <c r="A963" t="s">
        <v>15</v>
      </c>
      <c r="B963" s="2">
        <v>44244</v>
      </c>
      <c r="C963">
        <v>2021</v>
      </c>
      <c r="E963" t="s">
        <v>6</v>
      </c>
      <c r="F963">
        <v>8.8543295541579354</v>
      </c>
    </row>
    <row r="964" spans="1:8" hidden="1" x14ac:dyDescent="0.25">
      <c r="A964" t="s">
        <v>15</v>
      </c>
      <c r="B964" s="2">
        <v>44258</v>
      </c>
      <c r="C964">
        <v>2021</v>
      </c>
      <c r="E964" t="s">
        <v>6</v>
      </c>
      <c r="F964">
        <v>11.907888730774177</v>
      </c>
    </row>
    <row r="965" spans="1:8" hidden="1" x14ac:dyDescent="0.25">
      <c r="A965" t="s">
        <v>15</v>
      </c>
      <c r="B965" s="2">
        <v>44272</v>
      </c>
      <c r="C965">
        <v>2021</v>
      </c>
      <c r="E965" t="s">
        <v>6</v>
      </c>
      <c r="F965">
        <v>13.959946145677179</v>
      </c>
    </row>
    <row r="966" spans="1:8" hidden="1" x14ac:dyDescent="0.25">
      <c r="A966" t="s">
        <v>15</v>
      </c>
      <c r="B966" s="2">
        <v>44286</v>
      </c>
      <c r="C966">
        <v>2021</v>
      </c>
      <c r="E966" t="s">
        <v>6</v>
      </c>
      <c r="F966">
        <v>15.94766682715896</v>
      </c>
    </row>
    <row r="967" spans="1:8" hidden="1" x14ac:dyDescent="0.25">
      <c r="A967" t="s">
        <v>15</v>
      </c>
      <c r="B967" s="2">
        <v>44300</v>
      </c>
      <c r="C967">
        <v>2021</v>
      </c>
      <c r="E967" t="s">
        <v>6</v>
      </c>
      <c r="F967">
        <v>16.847079172988892</v>
      </c>
    </row>
    <row r="968" spans="1:8" hidden="1" x14ac:dyDescent="0.25">
      <c r="A968" t="s">
        <v>15</v>
      </c>
      <c r="B968" s="2">
        <v>44307</v>
      </c>
      <c r="C968">
        <v>2021</v>
      </c>
      <c r="E968" t="s">
        <v>6</v>
      </c>
      <c r="F968">
        <v>17.673615128971232</v>
      </c>
      <c r="G968">
        <v>18.37</v>
      </c>
      <c r="H968" t="s">
        <v>27</v>
      </c>
    </row>
    <row r="969" spans="1:8" hidden="1" x14ac:dyDescent="0.25">
      <c r="A969" t="s">
        <v>15</v>
      </c>
      <c r="B969" s="2">
        <v>44315</v>
      </c>
      <c r="C969">
        <v>2021</v>
      </c>
      <c r="E969" t="s">
        <v>6</v>
      </c>
      <c r="F969">
        <v>17.494817081223879</v>
      </c>
    </row>
    <row r="970" spans="1:8" hidden="1" x14ac:dyDescent="0.25">
      <c r="A970" t="s">
        <v>15</v>
      </c>
      <c r="B970" s="2">
        <v>44321</v>
      </c>
      <c r="C970">
        <v>2021</v>
      </c>
      <c r="E970" t="s">
        <v>6</v>
      </c>
      <c r="F970">
        <v>19.714894814967227</v>
      </c>
    </row>
    <row r="971" spans="1:8" hidden="1" x14ac:dyDescent="0.25">
      <c r="A971" t="s">
        <v>15</v>
      </c>
      <c r="B971" s="2">
        <v>44335</v>
      </c>
      <c r="C971">
        <v>2021</v>
      </c>
      <c r="E971" t="s">
        <v>6</v>
      </c>
      <c r="F971">
        <v>19.764897653038307</v>
      </c>
    </row>
    <row r="972" spans="1:8" hidden="1" x14ac:dyDescent="0.25">
      <c r="A972" t="s">
        <v>15</v>
      </c>
      <c r="B972" s="2">
        <v>44348</v>
      </c>
      <c r="C972">
        <v>2021</v>
      </c>
      <c r="E972" t="s">
        <v>6</v>
      </c>
      <c r="F972">
        <v>20.837102416927618</v>
      </c>
    </row>
    <row r="973" spans="1:8" hidden="1" x14ac:dyDescent="0.25">
      <c r="A973" t="s">
        <v>15</v>
      </c>
      <c r="B973" s="2">
        <v>44223</v>
      </c>
      <c r="C973">
        <v>2021</v>
      </c>
      <c r="E973" t="s">
        <v>6</v>
      </c>
      <c r="F973">
        <v>6.9319183664277553</v>
      </c>
    </row>
    <row r="974" spans="1:8" hidden="1" x14ac:dyDescent="0.25">
      <c r="A974" t="s">
        <v>15</v>
      </c>
      <c r="B974" s="2">
        <v>44258</v>
      </c>
      <c r="C974">
        <v>2021</v>
      </c>
      <c r="E974" t="s">
        <v>6</v>
      </c>
      <c r="F974">
        <v>13.780894783470638</v>
      </c>
    </row>
    <row r="975" spans="1:8" hidden="1" x14ac:dyDescent="0.25">
      <c r="A975" t="s">
        <v>15</v>
      </c>
      <c r="B975" s="2">
        <v>44272</v>
      </c>
      <c r="C975">
        <v>2021</v>
      </c>
      <c r="E975" t="s">
        <v>6</v>
      </c>
      <c r="F975">
        <v>16.191051188890199</v>
      </c>
    </row>
    <row r="976" spans="1:8" hidden="1" x14ac:dyDescent="0.25">
      <c r="A976" t="s">
        <v>15</v>
      </c>
      <c r="B976" s="2">
        <v>44286</v>
      </c>
      <c r="C976">
        <v>2021</v>
      </c>
      <c r="E976" t="s">
        <v>6</v>
      </c>
      <c r="F976">
        <v>17.405492056011052</v>
      </c>
    </row>
    <row r="977" spans="1:6" hidden="1" x14ac:dyDescent="0.25">
      <c r="A977" t="s">
        <v>15</v>
      </c>
      <c r="B977" s="2">
        <v>44300</v>
      </c>
      <c r="C977">
        <v>2021</v>
      </c>
      <c r="E977" t="s">
        <v>6</v>
      </c>
      <c r="F977">
        <v>18.476749288753865</v>
      </c>
    </row>
    <row r="978" spans="1:6" hidden="1" x14ac:dyDescent="0.25">
      <c r="A978" t="s">
        <v>15</v>
      </c>
      <c r="B978" s="2">
        <v>44307</v>
      </c>
      <c r="C978">
        <v>2021</v>
      </c>
      <c r="E978" t="s">
        <v>6</v>
      </c>
      <c r="F978">
        <v>18.760523213785294</v>
      </c>
    </row>
    <row r="979" spans="1:6" hidden="1" x14ac:dyDescent="0.25">
      <c r="A979" t="s">
        <v>15</v>
      </c>
      <c r="B979" s="2">
        <v>44315</v>
      </c>
      <c r="C979">
        <v>2021</v>
      </c>
      <c r="E979" t="s">
        <v>6</v>
      </c>
      <c r="F979">
        <v>19.48157763281246</v>
      </c>
    </row>
    <row r="980" spans="1:6" hidden="1" x14ac:dyDescent="0.25">
      <c r="A980" t="s">
        <v>15</v>
      </c>
      <c r="B980" s="2">
        <v>44321</v>
      </c>
      <c r="C980">
        <v>2021</v>
      </c>
      <c r="E980" t="s">
        <v>6</v>
      </c>
      <c r="F980">
        <v>17.781141937861513</v>
      </c>
    </row>
    <row r="981" spans="1:6" hidden="1" x14ac:dyDescent="0.25">
      <c r="A981" t="s">
        <v>15</v>
      </c>
      <c r="B981" s="2">
        <v>44335</v>
      </c>
      <c r="C981">
        <v>2021</v>
      </c>
      <c r="E981" t="s">
        <v>6</v>
      </c>
      <c r="F981">
        <v>20.557990280205107</v>
      </c>
    </row>
    <row r="982" spans="1:6" hidden="1" x14ac:dyDescent="0.25">
      <c r="A982" t="s">
        <v>15</v>
      </c>
      <c r="B982" s="2">
        <v>44348</v>
      </c>
      <c r="C982">
        <v>2021</v>
      </c>
      <c r="E982" t="s">
        <v>6</v>
      </c>
      <c r="F982">
        <v>19.39898301327348</v>
      </c>
    </row>
    <row r="983" spans="1:6" hidden="1" x14ac:dyDescent="0.25">
      <c r="A983" t="s">
        <v>15</v>
      </c>
      <c r="B983" s="2">
        <v>44223</v>
      </c>
      <c r="C983">
        <v>2021</v>
      </c>
      <c r="E983" t="s">
        <v>6</v>
      </c>
      <c r="F983">
        <v>6.9315123712321158</v>
      </c>
    </row>
    <row r="984" spans="1:6" hidden="1" x14ac:dyDescent="0.25">
      <c r="A984" t="s">
        <v>15</v>
      </c>
      <c r="B984" s="2">
        <v>44223</v>
      </c>
      <c r="C984">
        <v>2021</v>
      </c>
      <c r="E984" t="s">
        <v>6</v>
      </c>
      <c r="F984">
        <v>5.4313511084294808</v>
      </c>
    </row>
    <row r="985" spans="1:6" hidden="1" x14ac:dyDescent="0.25">
      <c r="A985" t="s">
        <v>15</v>
      </c>
      <c r="B985" s="2">
        <v>44224</v>
      </c>
      <c r="C985">
        <v>2021</v>
      </c>
      <c r="E985" t="s">
        <v>6</v>
      </c>
      <c r="F985">
        <v>5.7144543386675126</v>
      </c>
    </row>
    <row r="986" spans="1:6" hidden="1" x14ac:dyDescent="0.25">
      <c r="A986" t="s">
        <v>15</v>
      </c>
      <c r="B986" s="2">
        <v>44244</v>
      </c>
      <c r="C986">
        <v>2021</v>
      </c>
      <c r="E986" t="s">
        <v>6</v>
      </c>
      <c r="F986">
        <v>8.8291548744930903</v>
      </c>
    </row>
    <row r="987" spans="1:6" hidden="1" x14ac:dyDescent="0.25">
      <c r="A987" t="s">
        <v>15</v>
      </c>
      <c r="B987" s="2">
        <v>44245</v>
      </c>
      <c r="C987">
        <v>2021</v>
      </c>
      <c r="E987" t="s">
        <v>6</v>
      </c>
      <c r="F987">
        <v>8.3138487145662179</v>
      </c>
    </row>
    <row r="988" spans="1:6" hidden="1" x14ac:dyDescent="0.25">
      <c r="A988" t="s">
        <v>15</v>
      </c>
      <c r="B988" s="2">
        <v>44245</v>
      </c>
      <c r="C988">
        <v>2021</v>
      </c>
      <c r="E988" t="s">
        <v>6</v>
      </c>
      <c r="F988">
        <v>8.0472565935445601</v>
      </c>
    </row>
    <row r="989" spans="1:6" hidden="1" x14ac:dyDescent="0.25">
      <c r="A989" t="s">
        <v>15</v>
      </c>
      <c r="B989" s="2">
        <v>44258</v>
      </c>
      <c r="C989">
        <v>2021</v>
      </c>
      <c r="E989" t="s">
        <v>6</v>
      </c>
      <c r="F989">
        <v>11.28362013570101</v>
      </c>
    </row>
    <row r="990" spans="1:6" hidden="1" x14ac:dyDescent="0.25">
      <c r="A990" t="s">
        <v>15</v>
      </c>
      <c r="B990" s="2">
        <v>44258</v>
      </c>
      <c r="C990">
        <v>2021</v>
      </c>
      <c r="E990" t="s">
        <v>6</v>
      </c>
      <c r="F990">
        <v>12.996873220121543</v>
      </c>
    </row>
    <row r="991" spans="1:6" hidden="1" x14ac:dyDescent="0.25">
      <c r="A991" t="s">
        <v>15</v>
      </c>
      <c r="B991" s="2">
        <v>44258</v>
      </c>
      <c r="C991">
        <v>2021</v>
      </c>
      <c r="E991" t="s">
        <v>6</v>
      </c>
      <c r="F991">
        <v>11.020121811353031</v>
      </c>
    </row>
    <row r="992" spans="1:6" hidden="1" x14ac:dyDescent="0.25">
      <c r="A992" t="s">
        <v>15</v>
      </c>
      <c r="B992" s="2">
        <v>44272</v>
      </c>
      <c r="C992">
        <v>2021</v>
      </c>
      <c r="E992" t="s">
        <v>6</v>
      </c>
      <c r="F992">
        <v>13.065476193540855</v>
      </c>
    </row>
    <row r="993" spans="1:6" hidden="1" x14ac:dyDescent="0.25">
      <c r="A993" t="s">
        <v>15</v>
      </c>
      <c r="B993" s="2">
        <v>44272</v>
      </c>
      <c r="C993">
        <v>2021</v>
      </c>
      <c r="E993" t="s">
        <v>6</v>
      </c>
      <c r="F993">
        <v>15.870028059077221</v>
      </c>
    </row>
    <row r="994" spans="1:6" hidden="1" x14ac:dyDescent="0.25">
      <c r="A994" t="s">
        <v>15</v>
      </c>
      <c r="B994" s="2">
        <v>44272</v>
      </c>
      <c r="C994">
        <v>2021</v>
      </c>
      <c r="E994" t="s">
        <v>6</v>
      </c>
      <c r="F994">
        <v>14.223498689674621</v>
      </c>
    </row>
    <row r="995" spans="1:6" hidden="1" x14ac:dyDescent="0.25">
      <c r="A995" t="s">
        <v>15</v>
      </c>
      <c r="B995" s="2">
        <v>44286</v>
      </c>
      <c r="C995">
        <v>2021</v>
      </c>
      <c r="E995" t="s">
        <v>6</v>
      </c>
      <c r="F995">
        <v>17.699191578753037</v>
      </c>
    </row>
    <row r="996" spans="1:6" hidden="1" x14ac:dyDescent="0.25">
      <c r="A996" t="s">
        <v>15</v>
      </c>
      <c r="B996" s="2">
        <v>44287</v>
      </c>
      <c r="C996">
        <v>2021</v>
      </c>
      <c r="E996" t="s">
        <v>6</v>
      </c>
      <c r="F996">
        <v>15.108312942068499</v>
      </c>
    </row>
    <row r="997" spans="1:6" hidden="1" x14ac:dyDescent="0.25">
      <c r="A997" t="s">
        <v>15</v>
      </c>
      <c r="B997" s="2">
        <v>44287</v>
      </c>
      <c r="C997">
        <v>2021</v>
      </c>
      <c r="E997" t="s">
        <v>6</v>
      </c>
      <c r="F997">
        <v>15.438316897742517</v>
      </c>
    </row>
    <row r="998" spans="1:6" hidden="1" x14ac:dyDescent="0.25">
      <c r="A998" t="s">
        <v>15</v>
      </c>
      <c r="B998" s="2">
        <v>44300</v>
      </c>
      <c r="C998">
        <v>2021</v>
      </c>
      <c r="E998" t="s">
        <v>6</v>
      </c>
      <c r="F998">
        <v>18.205173511905102</v>
      </c>
    </row>
    <row r="999" spans="1:6" hidden="1" x14ac:dyDescent="0.25">
      <c r="A999" t="s">
        <v>15</v>
      </c>
      <c r="B999" s="2">
        <v>44301</v>
      </c>
      <c r="C999">
        <v>2021</v>
      </c>
      <c r="E999" t="s">
        <v>6</v>
      </c>
      <c r="F999">
        <v>17.222989608255027</v>
      </c>
    </row>
    <row r="1000" spans="1:6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v>16.211048258733999</v>
      </c>
    </row>
    <row r="1001" spans="1:6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v>16.707643098532472</v>
      </c>
    </row>
    <row r="1002" spans="1:6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v>19.537145853036414</v>
      </c>
    </row>
    <row r="1003" spans="1:6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v>17.291765167818632</v>
      </c>
    </row>
    <row r="1004" spans="1:6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v>19.369444542004405</v>
      </c>
    </row>
    <row r="1005" spans="1:6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v>17.499025054421459</v>
      </c>
    </row>
    <row r="1006" spans="1:6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v>17.650603109848099</v>
      </c>
    </row>
    <row r="1007" spans="1:6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v>20.26370901829625</v>
      </c>
    </row>
    <row r="1008" spans="1:6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v>17.354245507768088</v>
      </c>
    </row>
    <row r="1009" spans="1:8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v>18.87174342283873</v>
      </c>
    </row>
    <row r="1010" spans="1:8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v>22.047358999831484</v>
      </c>
    </row>
    <row r="1011" spans="1:8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v>17.740085747275025</v>
      </c>
    </row>
    <row r="1012" spans="1:8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v>20.371931094087373</v>
      </c>
    </row>
    <row r="1013" spans="1:8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v>21.524553643903822</v>
      </c>
    </row>
    <row r="1014" spans="1:8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v>18.5648614072737</v>
      </c>
    </row>
    <row r="1015" spans="1:8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v>19.349351733779123</v>
      </c>
    </row>
    <row r="1016" spans="1:8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v>6.7398628846985886</v>
      </c>
    </row>
    <row r="1017" spans="1:8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v>10.311391387844139</v>
      </c>
    </row>
    <row r="1018" spans="1:8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v>12.270177875075783</v>
      </c>
    </row>
    <row r="1019" spans="1:8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v>13.619012088702434</v>
      </c>
    </row>
    <row r="1020" spans="1:8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v>15.027232099000203</v>
      </c>
    </row>
    <row r="1021" spans="1:8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v>16.272488100957471</v>
      </c>
    </row>
    <row r="1022" spans="1:8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v>17.020663419496199</v>
      </c>
    </row>
    <row r="1023" spans="1:8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v>18.753000702450848</v>
      </c>
    </row>
    <row r="1024" spans="1:8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v>18.060959017147049</v>
      </c>
      <c r="G1024">
        <f t="shared" ref="G1024" si="10">F1024</f>
        <v>18.060959017147049</v>
      </c>
      <c r="H1024" t="s">
        <v>27</v>
      </c>
    </row>
    <row r="1025" spans="1:8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v>18.922415892599915</v>
      </c>
    </row>
    <row r="1026" spans="1:8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v>20.1101714011625</v>
      </c>
    </row>
    <row r="1027" spans="1:8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7.4897999999999998</v>
      </c>
    </row>
    <row r="1028" spans="1:8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v>10.318</v>
      </c>
    </row>
    <row r="1029" spans="1:8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v>12.741299999999999</v>
      </c>
    </row>
    <row r="1030" spans="1:8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v>10.8872</v>
      </c>
    </row>
    <row r="1031" spans="1:8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v>13.892000000000001</v>
      </c>
    </row>
    <row r="1032" spans="1:8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v>15.2</v>
      </c>
    </row>
    <row r="1033" spans="1:8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v>16.432000000000002</v>
      </c>
    </row>
    <row r="1034" spans="1:8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v>16.502500000000001</v>
      </c>
      <c r="G1034">
        <v>20.85</v>
      </c>
      <c r="H1034" t="s">
        <v>27</v>
      </c>
    </row>
    <row r="1035" spans="1:8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v>16.732200000000002</v>
      </c>
    </row>
    <row r="1036" spans="1:8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v>17.0655</v>
      </c>
    </row>
    <row r="1037" spans="1:8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v>17.685500000000001</v>
      </c>
    </row>
    <row r="1038" spans="1:8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v>9.6047999999999991</v>
      </c>
    </row>
    <row r="1039" spans="1:8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v>12.738</v>
      </c>
    </row>
    <row r="1040" spans="1:8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v>14.497</v>
      </c>
    </row>
    <row r="1041" spans="1:6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v>17.078399999999998</v>
      </c>
    </row>
    <row r="1042" spans="1:6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v>20.495999999999999</v>
      </c>
    </row>
    <row r="1043" spans="1:6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v>22.349699999999999</v>
      </c>
    </row>
    <row r="1044" spans="1:6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v>23.020800000000005</v>
      </c>
    </row>
    <row r="1045" spans="1:6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v>23.687999999999999</v>
      </c>
    </row>
    <row r="1046" spans="1:6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v>24.631799999999998</v>
      </c>
    </row>
    <row r="1047" spans="1:6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v>25.207600000000003</v>
      </c>
    </row>
    <row r="1048" spans="1:6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v>24.039699999999996</v>
      </c>
    </row>
    <row r="1049" spans="1:6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7.4561999999999991</v>
      </c>
    </row>
    <row r="1050" spans="1:6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v>11.081100000000001</v>
      </c>
    </row>
    <row r="1051" spans="1:6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v>12.922000000000001</v>
      </c>
    </row>
    <row r="1052" spans="1:6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v>16.5564</v>
      </c>
    </row>
    <row r="1053" spans="1:6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v>17.243100000000002</v>
      </c>
    </row>
    <row r="1054" spans="1:6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v>18.874200000000002</v>
      </c>
    </row>
    <row r="1055" spans="1:6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v>19.495000000000001</v>
      </c>
    </row>
    <row r="1056" spans="1:6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v>20.399199999999997</v>
      </c>
    </row>
    <row r="1057" spans="1:6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v>22.8123</v>
      </c>
    </row>
    <row r="1058" spans="1:6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v>22.352000000000004</v>
      </c>
    </row>
    <row r="1059" spans="1:6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v>22.697199999999999</v>
      </c>
    </row>
    <row r="1060" spans="1:6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v>6.96</v>
      </c>
    </row>
    <row r="1061" spans="1:6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v>9.7843999999999998</v>
      </c>
    </row>
    <row r="1062" spans="1:6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v>12.097799999999999</v>
      </c>
    </row>
    <row r="1063" spans="1:6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v>13.3996</v>
      </c>
    </row>
    <row r="1064" spans="1:6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v>18.352399999999999</v>
      </c>
    </row>
    <row r="1065" spans="1:6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v>17.783999999999999</v>
      </c>
    </row>
    <row r="1066" spans="1:6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v>17.6967</v>
      </c>
    </row>
    <row r="1067" spans="1:6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v>19.3248</v>
      </c>
    </row>
    <row r="1068" spans="1:6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v>20.511399999999998</v>
      </c>
    </row>
    <row r="1069" spans="1:6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v>20.461199999999998</v>
      </c>
    </row>
    <row r="1070" spans="1:6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v>21.339900000000004</v>
      </c>
    </row>
    <row r="1071" spans="1:6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v>8.0898000000000003</v>
      </c>
    </row>
    <row r="1072" spans="1:6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v>10.7502</v>
      </c>
    </row>
    <row r="1073" spans="1:6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v>13.171200000000001</v>
      </c>
    </row>
    <row r="1074" spans="1:6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v>12.583999999999998</v>
      </c>
    </row>
    <row r="1075" spans="1:6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v>16.5564</v>
      </c>
    </row>
    <row r="1076" spans="1:6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v>18.115200000000002</v>
      </c>
    </row>
    <row r="1077" spans="1:6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v>19.6692</v>
      </c>
    </row>
    <row r="1078" spans="1:6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v>20.550599999999999</v>
      </c>
    </row>
    <row r="1079" spans="1:6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v>19.724599999999999</v>
      </c>
    </row>
    <row r="1080" spans="1:6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v>21.819800000000001</v>
      </c>
    </row>
    <row r="1081" spans="1:6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v>22.72</v>
      </c>
    </row>
    <row r="1082" spans="1:6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v>6.507200000000001</v>
      </c>
    </row>
    <row r="1083" spans="1:6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v>9.6515999999999984</v>
      </c>
    </row>
    <row r="1084" spans="1:6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v>12.1128</v>
      </c>
    </row>
    <row r="1085" spans="1:6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v>16.083900000000003</v>
      </c>
    </row>
    <row r="1086" spans="1:6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v>13.984200000000001</v>
      </c>
    </row>
    <row r="1087" spans="1:6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v>17.474599999999999</v>
      </c>
    </row>
    <row r="1088" spans="1:6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v>18.167499999999997</v>
      </c>
    </row>
    <row r="1089" spans="1:8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v>18.589999999999996</v>
      </c>
    </row>
    <row r="1090" spans="1:8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v>19.700099999999999</v>
      </c>
    </row>
    <row r="1091" spans="1:8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v>20.844000000000001</v>
      </c>
      <c r="G1091">
        <v>21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v>21.191399999999998</v>
      </c>
    </row>
    <row r="1093" spans="1:8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v>6.3356000000000003</v>
      </c>
    </row>
    <row r="1094" spans="1:8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v>9.4124999999999996</v>
      </c>
    </row>
    <row r="1095" spans="1:8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v>11.8299</v>
      </c>
    </row>
    <row r="1096" spans="1:8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v>14.16</v>
      </c>
    </row>
    <row r="1097" spans="1:8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v>15.593</v>
      </c>
    </row>
    <row r="1098" spans="1:8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v>16.170999999999999</v>
      </c>
    </row>
    <row r="1099" spans="1:8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v>18.248999999999999</v>
      </c>
    </row>
    <row r="1100" spans="1:8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v>18.7944</v>
      </c>
      <c r="G1100">
        <v>20.87</v>
      </c>
      <c r="H1100" t="s">
        <v>27</v>
      </c>
    </row>
    <row r="1101" spans="1:8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v>19.488899999999997</v>
      </c>
    </row>
    <row r="1102" spans="1:8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v>20.195999999999998</v>
      </c>
    </row>
    <row r="1103" spans="1:8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v>19.545300000000001</v>
      </c>
    </row>
    <row r="1104" spans="1:8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v>7.68</v>
      </c>
    </row>
    <row r="1105" spans="1:6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v>11.2468</v>
      </c>
    </row>
    <row r="1106" spans="1:6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v>14.643999999999998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v>18.2835</v>
      </c>
    </row>
    <row r="1108" spans="1:6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v>20.590500000000002</v>
      </c>
    </row>
    <row r="1109" spans="1:6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v>22.845600000000001</v>
      </c>
    </row>
    <row r="1110" spans="1:6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v>23.795200000000001</v>
      </c>
    </row>
    <row r="1111" spans="1:6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v>24.320799999999998</v>
      </c>
    </row>
    <row r="1112" spans="1:6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v>24.446999999999999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v>24.847199999999997</v>
      </c>
    </row>
    <row r="1114" spans="1:6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v>22.531999999999996</v>
      </c>
    </row>
    <row r="1115" spans="1:6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v>7.3137999999999996</v>
      </c>
    </row>
    <row r="1116" spans="1:6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v>11.023599999999998</v>
      </c>
    </row>
    <row r="1117" spans="1:6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v>13.492799999999999</v>
      </c>
    </row>
    <row r="1118" spans="1:6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v>16.840599999999998</v>
      </c>
    </row>
    <row r="1119" spans="1:6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v>19.481999999999999</v>
      </c>
    </row>
    <row r="1120" spans="1:6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v>22.633600000000001</v>
      </c>
    </row>
    <row r="1121" spans="1:6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v>24.105599999999999</v>
      </c>
    </row>
    <row r="1122" spans="1:6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v>25.936899999999994</v>
      </c>
    </row>
    <row r="1123" spans="1:6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v>24.915800000000001</v>
      </c>
    </row>
    <row r="1124" spans="1:6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v>24.590499999999999</v>
      </c>
    </row>
    <row r="1125" spans="1:6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v>25.136999999999997</v>
      </c>
    </row>
    <row r="1126" spans="1:6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v>5.7330000000000005</v>
      </c>
    </row>
    <row r="1127" spans="1:6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v>8.2151000000000014</v>
      </c>
    </row>
    <row r="1128" spans="1:6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v>10.610999999999999</v>
      </c>
    </row>
    <row r="1129" spans="1:6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v>13.234500000000001</v>
      </c>
    </row>
    <row r="1130" spans="1:6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v>15.264000000000001</v>
      </c>
    </row>
    <row r="1131" spans="1:6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v>16.933800000000002</v>
      </c>
    </row>
    <row r="1132" spans="1:6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v>18.791999999999998</v>
      </c>
    </row>
    <row r="1133" spans="1:6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v>19.670000000000002</v>
      </c>
    </row>
    <row r="1134" spans="1:6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v>20.914999999999999</v>
      </c>
    </row>
    <row r="1135" spans="1:6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v>20.790399999999998</v>
      </c>
    </row>
    <row r="1136" spans="1:6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v>20.262799999999999</v>
      </c>
    </row>
    <row r="1137" spans="1:6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v>5.0961999999999996</v>
      </c>
    </row>
    <row r="1138" spans="1:6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v>7.1189999999999998</v>
      </c>
    </row>
    <row r="1139" spans="1:6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v>9.0643999999999991</v>
      </c>
    </row>
    <row r="1140" spans="1:6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v>11.168299999999999</v>
      </c>
    </row>
    <row r="1141" spans="1:6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v>12.615</v>
      </c>
    </row>
    <row r="1142" spans="1:6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v>13.9345</v>
      </c>
    </row>
    <row r="1143" spans="1:6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v>15.344000000000001</v>
      </c>
    </row>
    <row r="1144" spans="1:6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v>15.1944</v>
      </c>
    </row>
    <row r="1145" spans="1:6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v>15.061199999999999</v>
      </c>
    </row>
    <row r="1146" spans="1:6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v>15.968</v>
      </c>
    </row>
    <row r="1147" spans="1:6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v>18.631999999999998</v>
      </c>
    </row>
    <row r="1148" spans="1:6" hidden="1" x14ac:dyDescent="0.25">
      <c r="A1148" t="s">
        <v>22</v>
      </c>
      <c r="B1148" s="2">
        <v>44949</v>
      </c>
      <c r="C1148">
        <v>2023</v>
      </c>
      <c r="E1148" t="s">
        <v>9</v>
      </c>
      <c r="F1148">
        <v>6.8713999999999995</v>
      </c>
    </row>
    <row r="1149" spans="1:6" hidden="1" x14ac:dyDescent="0.25">
      <c r="A1149" t="s">
        <v>22</v>
      </c>
      <c r="B1149" s="2">
        <v>44971</v>
      </c>
      <c r="C1149">
        <v>2023</v>
      </c>
      <c r="E1149" t="s">
        <v>9</v>
      </c>
      <c r="F1149">
        <v>11.225600000000002</v>
      </c>
    </row>
    <row r="1150" spans="1:6" hidden="1" x14ac:dyDescent="0.25">
      <c r="A1150" t="s">
        <v>22</v>
      </c>
      <c r="B1150" s="2">
        <v>44987</v>
      </c>
      <c r="C1150">
        <v>2023</v>
      </c>
      <c r="E1150" t="s">
        <v>9</v>
      </c>
      <c r="F1150">
        <v>15.862</v>
      </c>
    </row>
    <row r="1151" spans="1:6" hidden="1" x14ac:dyDescent="0.25">
      <c r="A1151" t="s">
        <v>22</v>
      </c>
      <c r="B1151" s="2">
        <v>44998</v>
      </c>
      <c r="C1151">
        <v>2023</v>
      </c>
      <c r="E1151" t="s">
        <v>9</v>
      </c>
      <c r="F1151">
        <v>16.912800000000001</v>
      </c>
    </row>
    <row r="1152" spans="1:6" hidden="1" x14ac:dyDescent="0.25">
      <c r="A1152" t="s">
        <v>22</v>
      </c>
      <c r="B1152" s="2">
        <v>45014</v>
      </c>
      <c r="C1152">
        <v>2023</v>
      </c>
      <c r="E1152" t="s">
        <v>9</v>
      </c>
      <c r="F1152">
        <v>20.674400000000002</v>
      </c>
    </row>
    <row r="1153" spans="1:8" hidden="1" x14ac:dyDescent="0.25">
      <c r="A1153" t="s">
        <v>22</v>
      </c>
      <c r="B1153" s="2">
        <v>45027</v>
      </c>
      <c r="C1153">
        <v>2023</v>
      </c>
      <c r="E1153" t="s">
        <v>9</v>
      </c>
      <c r="F1153">
        <v>22.05</v>
      </c>
    </row>
    <row r="1154" spans="1:8" hidden="1" x14ac:dyDescent="0.25">
      <c r="A1154" t="s">
        <v>22</v>
      </c>
      <c r="B1154" s="2">
        <v>45040</v>
      </c>
      <c r="C1154">
        <v>2023</v>
      </c>
      <c r="E1154" t="s">
        <v>9</v>
      </c>
      <c r="F1154">
        <v>23.294399999999996</v>
      </c>
    </row>
    <row r="1155" spans="1:8" hidden="1" x14ac:dyDescent="0.25">
      <c r="A1155" t="s">
        <v>22</v>
      </c>
      <c r="B1155" s="2">
        <v>45047</v>
      </c>
      <c r="C1155">
        <v>2023</v>
      </c>
      <c r="E1155" t="s">
        <v>9</v>
      </c>
      <c r="F1155">
        <v>23.439500000000002</v>
      </c>
    </row>
    <row r="1156" spans="1:8" hidden="1" x14ac:dyDescent="0.25">
      <c r="A1156" t="s">
        <v>22</v>
      </c>
      <c r="B1156" s="2">
        <v>45062</v>
      </c>
      <c r="C1156">
        <v>2023</v>
      </c>
      <c r="E1156" t="s">
        <v>9</v>
      </c>
      <c r="F1156">
        <v>24.252000000000002</v>
      </c>
      <c r="G1156">
        <f t="shared" ref="G1156" si="11">F1156</f>
        <v>24.252000000000002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E1157" t="s">
        <v>9</v>
      </c>
      <c r="F1157">
        <v>24.935600000000001</v>
      </c>
    </row>
    <row r="1158" spans="1:8" hidden="1" x14ac:dyDescent="0.25">
      <c r="A1158" t="s">
        <v>22</v>
      </c>
      <c r="B1158" s="2">
        <v>45083</v>
      </c>
      <c r="C1158">
        <v>2023</v>
      </c>
      <c r="E1158" t="s">
        <v>9</v>
      </c>
      <c r="F1158">
        <v>24.414500000000004</v>
      </c>
    </row>
    <row r="1159" spans="1:8" x14ac:dyDescent="0.25">
      <c r="A1159" t="s">
        <v>18</v>
      </c>
      <c r="B1159" s="2">
        <v>45316</v>
      </c>
      <c r="C1159">
        <v>2024</v>
      </c>
      <c r="E1159" t="s">
        <v>6</v>
      </c>
      <c r="F1159">
        <v>5.22</v>
      </c>
    </row>
    <row r="1160" spans="1:8" x14ac:dyDescent="0.25">
      <c r="A1160" t="s">
        <v>18</v>
      </c>
      <c r="B1160" s="2">
        <v>45337</v>
      </c>
      <c r="C1160">
        <v>2024</v>
      </c>
      <c r="E1160" t="s">
        <v>6</v>
      </c>
      <c r="F1160">
        <v>8.4240000000000013</v>
      </c>
    </row>
    <row r="1161" spans="1:8" x14ac:dyDescent="0.25">
      <c r="A1161" t="s">
        <v>18</v>
      </c>
      <c r="B1161" s="2">
        <v>45350</v>
      </c>
      <c r="C1161">
        <v>2024</v>
      </c>
      <c r="E1161" t="s">
        <v>6</v>
      </c>
      <c r="F1161">
        <v>10.503</v>
      </c>
    </row>
    <row r="1162" spans="1:8" x14ac:dyDescent="0.25">
      <c r="A1162" t="s">
        <v>18</v>
      </c>
      <c r="B1162" s="2">
        <v>45364</v>
      </c>
      <c r="C1162">
        <v>2024</v>
      </c>
      <c r="E1162" t="s">
        <v>6</v>
      </c>
      <c r="F1162">
        <v>12.1472</v>
      </c>
    </row>
    <row r="1163" spans="1:8" x14ac:dyDescent="0.25">
      <c r="A1163" t="s">
        <v>18</v>
      </c>
      <c r="B1163" s="2">
        <v>45378</v>
      </c>
      <c r="C1163">
        <v>2024</v>
      </c>
      <c r="E1163" t="s">
        <v>6</v>
      </c>
      <c r="F1163">
        <v>13.311000000000002</v>
      </c>
    </row>
    <row r="1164" spans="1:8" x14ac:dyDescent="0.25">
      <c r="A1164" t="s">
        <v>18</v>
      </c>
      <c r="B1164" s="2">
        <v>45390</v>
      </c>
      <c r="C1164">
        <v>2024</v>
      </c>
      <c r="E1164" t="s">
        <v>6</v>
      </c>
      <c r="F1164">
        <v>12.973500000000001</v>
      </c>
      <c r="G1164">
        <v>15.73</v>
      </c>
      <c r="H1164" t="s">
        <v>27</v>
      </c>
    </row>
    <row r="1165" spans="1:8" x14ac:dyDescent="0.25">
      <c r="A1165" t="s">
        <v>18</v>
      </c>
      <c r="B1165" s="2">
        <v>45404</v>
      </c>
      <c r="C1165">
        <v>2024</v>
      </c>
      <c r="E1165" t="s">
        <v>6</v>
      </c>
      <c r="F1165">
        <v>14.267999999999999</v>
      </c>
    </row>
    <row r="1166" spans="1:8" x14ac:dyDescent="0.25">
      <c r="A1166" t="s">
        <v>18</v>
      </c>
      <c r="B1166" s="2">
        <v>45414</v>
      </c>
      <c r="C1166">
        <v>2024</v>
      </c>
      <c r="E1166" t="s">
        <v>6</v>
      </c>
      <c r="F1166">
        <v>15.624000000000001</v>
      </c>
    </row>
    <row r="1167" spans="1:8" x14ac:dyDescent="0.25">
      <c r="A1167" t="s">
        <v>18</v>
      </c>
      <c r="B1167" s="2">
        <v>45425</v>
      </c>
      <c r="C1167">
        <v>2024</v>
      </c>
      <c r="E1167" t="s">
        <v>6</v>
      </c>
      <c r="F1167">
        <v>15.652000000000001</v>
      </c>
    </row>
    <row r="1168" spans="1:8" x14ac:dyDescent="0.25">
      <c r="A1168" t="s">
        <v>18</v>
      </c>
      <c r="B1168" s="2">
        <v>45439</v>
      </c>
      <c r="C1168">
        <v>2024</v>
      </c>
      <c r="E1168" t="s">
        <v>6</v>
      </c>
      <c r="F1168">
        <v>14.858400000000001</v>
      </c>
    </row>
    <row r="1169" spans="1:6" x14ac:dyDescent="0.25">
      <c r="A1169" t="s">
        <v>18</v>
      </c>
      <c r="B1169" s="2">
        <v>45454</v>
      </c>
      <c r="C1169">
        <v>2024</v>
      </c>
      <c r="E1169" t="s">
        <v>6</v>
      </c>
      <c r="F1169">
        <v>14.500800000000002</v>
      </c>
    </row>
    <row r="1170" spans="1:6" x14ac:dyDescent="0.25">
      <c r="A1170" t="s">
        <v>18</v>
      </c>
      <c r="B1170" s="2">
        <v>45314</v>
      </c>
      <c r="C1170">
        <v>2024</v>
      </c>
      <c r="E1170" t="s">
        <v>6</v>
      </c>
      <c r="F1170">
        <v>5.7376000000000014</v>
      </c>
    </row>
    <row r="1171" spans="1:6" x14ac:dyDescent="0.25">
      <c r="A1171" t="s">
        <v>18</v>
      </c>
      <c r="B1171" s="2">
        <v>45337</v>
      </c>
      <c r="C1171">
        <v>2024</v>
      </c>
      <c r="E1171" t="s">
        <v>6</v>
      </c>
      <c r="F1171">
        <v>10.566399999999998</v>
      </c>
    </row>
    <row r="1172" spans="1:6" x14ac:dyDescent="0.25">
      <c r="A1172" t="s">
        <v>18</v>
      </c>
      <c r="B1172" s="2">
        <v>45348</v>
      </c>
      <c r="C1172">
        <v>2024</v>
      </c>
      <c r="E1172" t="s">
        <v>6</v>
      </c>
      <c r="F1172">
        <v>11.4376</v>
      </c>
    </row>
    <row r="1173" spans="1:6" x14ac:dyDescent="0.25">
      <c r="A1173" t="s">
        <v>18</v>
      </c>
      <c r="B1173" s="2">
        <v>45365</v>
      </c>
      <c r="C1173">
        <v>2024</v>
      </c>
      <c r="E1173" t="s">
        <v>6</v>
      </c>
      <c r="F1173">
        <v>14.351400000000002</v>
      </c>
    </row>
    <row r="1174" spans="1:6" x14ac:dyDescent="0.25">
      <c r="A1174" t="s">
        <v>18</v>
      </c>
      <c r="B1174" s="2">
        <v>45379</v>
      </c>
      <c r="C1174">
        <v>2024</v>
      </c>
      <c r="E1174" t="s">
        <v>6</v>
      </c>
      <c r="F1174">
        <v>16.467200000000002</v>
      </c>
    </row>
    <row r="1175" spans="1:6" x14ac:dyDescent="0.25">
      <c r="A1175" t="s">
        <v>18</v>
      </c>
      <c r="B1175" s="2">
        <v>45393</v>
      </c>
      <c r="C1175">
        <v>2024</v>
      </c>
      <c r="E1175" t="s">
        <v>6</v>
      </c>
      <c r="F1175">
        <v>17.629000000000001</v>
      </c>
    </row>
    <row r="1176" spans="1:6" x14ac:dyDescent="0.25">
      <c r="A1176" t="s">
        <v>18</v>
      </c>
      <c r="B1176" s="2">
        <v>45407</v>
      </c>
      <c r="C1176">
        <v>2024</v>
      </c>
      <c r="E1176" t="s">
        <v>6</v>
      </c>
      <c r="F1176">
        <v>18.948599999999999</v>
      </c>
    </row>
    <row r="1177" spans="1:6" x14ac:dyDescent="0.25">
      <c r="A1177" t="s">
        <v>18</v>
      </c>
      <c r="B1177" s="2">
        <v>45414</v>
      </c>
      <c r="C1177">
        <v>2024</v>
      </c>
      <c r="E1177" t="s">
        <v>6</v>
      </c>
      <c r="F1177">
        <v>20.6096</v>
      </c>
    </row>
    <row r="1178" spans="1:6" x14ac:dyDescent="0.25">
      <c r="A1178" t="s">
        <v>18</v>
      </c>
      <c r="B1178" s="2">
        <v>45425</v>
      </c>
      <c r="C1178">
        <v>2024</v>
      </c>
      <c r="E1178" t="s">
        <v>6</v>
      </c>
      <c r="F1178">
        <v>20.810399999999994</v>
      </c>
    </row>
    <row r="1179" spans="1:6" x14ac:dyDescent="0.25">
      <c r="A1179" t="s">
        <v>18</v>
      </c>
      <c r="B1179" s="2">
        <v>45441</v>
      </c>
      <c r="C1179">
        <v>2024</v>
      </c>
      <c r="E1179" t="s">
        <v>6</v>
      </c>
      <c r="F1179">
        <v>20.833099999999998</v>
      </c>
    </row>
    <row r="1180" spans="1:6" x14ac:dyDescent="0.25">
      <c r="A1180" t="s">
        <v>18</v>
      </c>
      <c r="B1180" s="2">
        <v>45453</v>
      </c>
      <c r="C1180">
        <v>2024</v>
      </c>
      <c r="E1180" t="s">
        <v>6</v>
      </c>
      <c r="F1180">
        <v>20.495499999999996</v>
      </c>
    </row>
    <row r="1181" spans="1:6" x14ac:dyDescent="0.25">
      <c r="A1181" t="s">
        <v>18</v>
      </c>
      <c r="B1181" s="2">
        <v>45314</v>
      </c>
      <c r="C1181">
        <v>2024</v>
      </c>
      <c r="E1181" t="s">
        <v>6</v>
      </c>
      <c r="F1181">
        <v>4.9717000000000002</v>
      </c>
    </row>
    <row r="1182" spans="1:6" x14ac:dyDescent="0.25">
      <c r="A1182" t="s">
        <v>18</v>
      </c>
      <c r="B1182" s="2">
        <v>45336</v>
      </c>
      <c r="C1182">
        <v>2024</v>
      </c>
      <c r="E1182" t="s">
        <v>6</v>
      </c>
      <c r="F1182">
        <v>7.9373000000000005</v>
      </c>
    </row>
    <row r="1183" spans="1:6" x14ac:dyDescent="0.25">
      <c r="A1183" t="s">
        <v>18</v>
      </c>
      <c r="B1183" s="2">
        <v>45348</v>
      </c>
      <c r="C1183">
        <v>2024</v>
      </c>
      <c r="E1183" t="s">
        <v>6</v>
      </c>
      <c r="F1183">
        <v>10.111500000000001</v>
      </c>
    </row>
    <row r="1184" spans="1:6" x14ac:dyDescent="0.25">
      <c r="A1184" t="s">
        <v>18</v>
      </c>
      <c r="B1184" s="2">
        <v>45365</v>
      </c>
      <c r="C1184">
        <v>2024</v>
      </c>
      <c r="E1184" t="s">
        <v>6</v>
      </c>
      <c r="F1184">
        <v>12.935199999999998</v>
      </c>
    </row>
    <row r="1185" spans="1:6" x14ac:dyDescent="0.25">
      <c r="A1185" t="s">
        <v>18</v>
      </c>
      <c r="B1185" s="2">
        <v>45379</v>
      </c>
      <c r="C1185">
        <v>2024</v>
      </c>
      <c r="E1185" t="s">
        <v>6</v>
      </c>
      <c r="F1185">
        <v>14.8748</v>
      </c>
    </row>
    <row r="1186" spans="1:6" x14ac:dyDescent="0.25">
      <c r="A1186" t="s">
        <v>18</v>
      </c>
      <c r="B1186" s="2">
        <v>45390</v>
      </c>
      <c r="C1186">
        <v>2024</v>
      </c>
      <c r="E1186" t="s">
        <v>6</v>
      </c>
      <c r="F1186">
        <v>15.4224</v>
      </c>
    </row>
    <row r="1187" spans="1:6" x14ac:dyDescent="0.25">
      <c r="A1187" t="s">
        <v>18</v>
      </c>
      <c r="B1187" s="2">
        <v>45404</v>
      </c>
      <c r="C1187">
        <v>2024</v>
      </c>
      <c r="E1187" t="s">
        <v>6</v>
      </c>
      <c r="F1187">
        <v>16.8904</v>
      </c>
    </row>
    <row r="1188" spans="1:6" x14ac:dyDescent="0.25">
      <c r="A1188" t="s">
        <v>18</v>
      </c>
      <c r="B1188" s="2">
        <v>45413</v>
      </c>
      <c r="C1188">
        <v>2024</v>
      </c>
      <c r="E1188" t="s">
        <v>6</v>
      </c>
      <c r="F1188">
        <v>18.000899999999998</v>
      </c>
    </row>
    <row r="1189" spans="1:6" x14ac:dyDescent="0.25">
      <c r="A1189" t="s">
        <v>18</v>
      </c>
      <c r="B1189" s="2">
        <v>45425</v>
      </c>
      <c r="C1189">
        <v>2024</v>
      </c>
      <c r="E1189" t="s">
        <v>6</v>
      </c>
      <c r="F1189">
        <v>19.007199999999997</v>
      </c>
    </row>
    <row r="1190" spans="1:6" x14ac:dyDescent="0.25">
      <c r="A1190" t="s">
        <v>18</v>
      </c>
      <c r="B1190" s="2">
        <v>45441</v>
      </c>
      <c r="C1190">
        <v>2024</v>
      </c>
      <c r="E1190" t="s">
        <v>6</v>
      </c>
      <c r="F1190">
        <v>17.756799999999998</v>
      </c>
    </row>
    <row r="1191" spans="1:6" x14ac:dyDescent="0.25">
      <c r="A1191" t="s">
        <v>18</v>
      </c>
      <c r="B1191" s="2">
        <v>45453</v>
      </c>
      <c r="C1191">
        <v>2024</v>
      </c>
      <c r="E1191" t="s">
        <v>6</v>
      </c>
      <c r="F1191">
        <v>17.963999999999999</v>
      </c>
    </row>
    <row r="1192" spans="1:6" x14ac:dyDescent="0.25">
      <c r="A1192" t="s">
        <v>18</v>
      </c>
      <c r="B1192" s="2">
        <v>45316</v>
      </c>
      <c r="C1192">
        <v>2024</v>
      </c>
      <c r="E1192" t="s">
        <v>6</v>
      </c>
      <c r="F1192">
        <v>4.739300000000001</v>
      </c>
    </row>
    <row r="1193" spans="1:6" x14ac:dyDescent="0.25">
      <c r="A1193" t="s">
        <v>18</v>
      </c>
      <c r="B1193" s="2">
        <v>45337</v>
      </c>
      <c r="C1193">
        <v>2024</v>
      </c>
      <c r="E1193" t="s">
        <v>6</v>
      </c>
      <c r="F1193">
        <v>8.3186999999999998</v>
      </c>
    </row>
    <row r="1194" spans="1:6" x14ac:dyDescent="0.25">
      <c r="A1194" t="s">
        <v>18</v>
      </c>
      <c r="B1194" s="2">
        <v>45350</v>
      </c>
      <c r="C1194">
        <v>2024</v>
      </c>
      <c r="E1194" t="s">
        <v>6</v>
      </c>
      <c r="F1194">
        <v>10.472000000000001</v>
      </c>
    </row>
    <row r="1195" spans="1:6" x14ac:dyDescent="0.25">
      <c r="A1195" t="s">
        <v>18</v>
      </c>
      <c r="B1195" s="2">
        <v>45364</v>
      </c>
      <c r="C1195">
        <v>2024</v>
      </c>
      <c r="E1195" t="s">
        <v>6</v>
      </c>
      <c r="F1195">
        <v>12.465</v>
      </c>
    </row>
    <row r="1196" spans="1:6" x14ac:dyDescent="0.25">
      <c r="A1196" t="s">
        <v>18</v>
      </c>
      <c r="B1196" s="2">
        <v>45378</v>
      </c>
      <c r="C1196">
        <v>2024</v>
      </c>
      <c r="E1196" t="s">
        <v>6</v>
      </c>
      <c r="F1196">
        <v>13.880699999999999</v>
      </c>
    </row>
    <row r="1197" spans="1:6" x14ac:dyDescent="0.25">
      <c r="A1197" t="s">
        <v>18</v>
      </c>
      <c r="B1197" s="2">
        <v>45393</v>
      </c>
      <c r="C1197">
        <v>2024</v>
      </c>
      <c r="E1197" t="s">
        <v>6</v>
      </c>
      <c r="F1197">
        <v>14.1158</v>
      </c>
    </row>
    <row r="1198" spans="1:6" x14ac:dyDescent="0.25">
      <c r="A1198" t="s">
        <v>18</v>
      </c>
      <c r="B1198" s="2">
        <v>45404</v>
      </c>
      <c r="C1198">
        <v>2024</v>
      </c>
      <c r="E1198" t="s">
        <v>6</v>
      </c>
      <c r="F1198">
        <v>14.5962</v>
      </c>
    </row>
    <row r="1199" spans="1:6" x14ac:dyDescent="0.25">
      <c r="A1199" t="s">
        <v>18</v>
      </c>
      <c r="B1199" s="2">
        <v>45414</v>
      </c>
      <c r="C1199">
        <v>2024</v>
      </c>
      <c r="E1199" t="s">
        <v>6</v>
      </c>
      <c r="F1199">
        <v>17.0487</v>
      </c>
    </row>
    <row r="1200" spans="1:6" x14ac:dyDescent="0.25">
      <c r="A1200" t="s">
        <v>18</v>
      </c>
      <c r="B1200" s="2">
        <v>45425</v>
      </c>
      <c r="C1200">
        <v>2024</v>
      </c>
      <c r="E1200" t="s">
        <v>6</v>
      </c>
      <c r="F1200">
        <v>17.490300000000001</v>
      </c>
    </row>
    <row r="1201" spans="1:6" x14ac:dyDescent="0.25">
      <c r="A1201" t="s">
        <v>18</v>
      </c>
      <c r="B1201" s="2">
        <v>45441</v>
      </c>
      <c r="C1201">
        <v>2024</v>
      </c>
      <c r="E1201" t="s">
        <v>6</v>
      </c>
      <c r="F1201">
        <v>17.7531</v>
      </c>
    </row>
    <row r="1202" spans="1:6" x14ac:dyDescent="0.25">
      <c r="A1202" t="s">
        <v>18</v>
      </c>
      <c r="B1202" s="2">
        <v>45453</v>
      </c>
      <c r="C1202">
        <v>2024</v>
      </c>
      <c r="E1202" t="s">
        <v>6</v>
      </c>
      <c r="F1202">
        <v>17.337200000000003</v>
      </c>
    </row>
    <row r="1203" spans="1:6" x14ac:dyDescent="0.25">
      <c r="A1203" t="s">
        <v>18</v>
      </c>
      <c r="B1203" s="2">
        <v>45316</v>
      </c>
      <c r="C1203">
        <v>2024</v>
      </c>
      <c r="E1203" t="s">
        <v>6</v>
      </c>
      <c r="F1203">
        <v>5.6027999999999993</v>
      </c>
    </row>
    <row r="1204" spans="1:6" x14ac:dyDescent="0.25">
      <c r="A1204" t="s">
        <v>18</v>
      </c>
      <c r="B1204" s="2">
        <v>45337</v>
      </c>
      <c r="C1204">
        <v>2024</v>
      </c>
      <c r="E1204" t="s">
        <v>6</v>
      </c>
      <c r="F1204">
        <v>8.3005999999999993</v>
      </c>
    </row>
    <row r="1205" spans="1:6" x14ac:dyDescent="0.25">
      <c r="A1205" t="s">
        <v>18</v>
      </c>
      <c r="B1205" s="2">
        <v>45350</v>
      </c>
      <c r="C1205">
        <v>2024</v>
      </c>
      <c r="E1205" t="s">
        <v>6</v>
      </c>
      <c r="F1205">
        <v>11.6775</v>
      </c>
    </row>
    <row r="1206" spans="1:6" x14ac:dyDescent="0.25">
      <c r="A1206" t="s">
        <v>18</v>
      </c>
      <c r="B1206" s="2">
        <v>45364</v>
      </c>
      <c r="C1206">
        <v>2024</v>
      </c>
      <c r="E1206" t="s">
        <v>6</v>
      </c>
      <c r="F1206">
        <v>13.23</v>
      </c>
    </row>
    <row r="1207" spans="1:6" x14ac:dyDescent="0.25">
      <c r="A1207" t="s">
        <v>18</v>
      </c>
      <c r="B1207" s="2">
        <v>45378</v>
      </c>
      <c r="C1207">
        <v>2024</v>
      </c>
      <c r="E1207" t="s">
        <v>6</v>
      </c>
      <c r="F1207">
        <v>15.4488</v>
      </c>
    </row>
    <row r="1208" spans="1:6" x14ac:dyDescent="0.25">
      <c r="A1208" t="s">
        <v>18</v>
      </c>
      <c r="B1208" s="2">
        <v>45390</v>
      </c>
      <c r="C1208">
        <v>2024</v>
      </c>
      <c r="E1208" t="s">
        <v>6</v>
      </c>
      <c r="F1208">
        <v>16.945499999999999</v>
      </c>
    </row>
    <row r="1209" spans="1:6" x14ac:dyDescent="0.25">
      <c r="A1209" t="s">
        <v>18</v>
      </c>
      <c r="B1209" s="2">
        <v>45407</v>
      </c>
      <c r="C1209">
        <v>2024</v>
      </c>
      <c r="E1209" t="s">
        <v>6</v>
      </c>
      <c r="F1209">
        <v>16.8795</v>
      </c>
    </row>
    <row r="1210" spans="1:6" x14ac:dyDescent="0.25">
      <c r="A1210" t="s">
        <v>18</v>
      </c>
      <c r="B1210" s="2">
        <v>45413</v>
      </c>
      <c r="C1210">
        <v>2024</v>
      </c>
      <c r="E1210" t="s">
        <v>6</v>
      </c>
      <c r="F1210">
        <v>17.455200000000001</v>
      </c>
    </row>
    <row r="1211" spans="1:6" x14ac:dyDescent="0.25">
      <c r="A1211" t="s">
        <v>18</v>
      </c>
      <c r="B1211" s="2">
        <v>45425</v>
      </c>
      <c r="C1211">
        <v>2024</v>
      </c>
      <c r="E1211" t="s">
        <v>6</v>
      </c>
      <c r="F1211">
        <v>17.835600000000003</v>
      </c>
    </row>
    <row r="1212" spans="1:6" x14ac:dyDescent="0.25">
      <c r="A1212" t="s">
        <v>18</v>
      </c>
      <c r="B1212" s="2">
        <v>45439</v>
      </c>
      <c r="C1212">
        <v>2024</v>
      </c>
      <c r="E1212" t="s">
        <v>6</v>
      </c>
      <c r="F1212">
        <v>15.45</v>
      </c>
    </row>
    <row r="1213" spans="1:6" x14ac:dyDescent="0.25">
      <c r="A1213" t="s">
        <v>18</v>
      </c>
      <c r="B1213" s="2">
        <v>45454</v>
      </c>
      <c r="C1213">
        <v>2024</v>
      </c>
      <c r="E1213" t="s">
        <v>6</v>
      </c>
      <c r="F1213">
        <v>17.71</v>
      </c>
    </row>
    <row r="1214" spans="1:6" hidden="1" x14ac:dyDescent="0.25">
      <c r="A1214" t="s">
        <v>23</v>
      </c>
      <c r="B1214" s="2">
        <v>45315</v>
      </c>
      <c r="C1214">
        <v>2024</v>
      </c>
      <c r="E1214" t="s">
        <v>9</v>
      </c>
      <c r="F1214">
        <v>6.6825000000000001</v>
      </c>
    </row>
    <row r="1215" spans="1:6" hidden="1" x14ac:dyDescent="0.25">
      <c r="A1215" t="s">
        <v>23</v>
      </c>
      <c r="B1215" s="2">
        <v>45335</v>
      </c>
      <c r="C1215">
        <v>2024</v>
      </c>
      <c r="E1215" t="s">
        <v>9</v>
      </c>
      <c r="F1215">
        <v>10.244200000000001</v>
      </c>
    </row>
    <row r="1216" spans="1:6" hidden="1" x14ac:dyDescent="0.25">
      <c r="A1216" t="s">
        <v>23</v>
      </c>
      <c r="B1216" s="2">
        <v>45349</v>
      </c>
      <c r="C1216">
        <v>2024</v>
      </c>
      <c r="E1216" t="s">
        <v>9</v>
      </c>
      <c r="F1216">
        <v>12.918300000000002</v>
      </c>
    </row>
    <row r="1217" spans="1:8" hidden="1" x14ac:dyDescent="0.25">
      <c r="A1217" t="s">
        <v>23</v>
      </c>
      <c r="B1217" s="2">
        <v>45363</v>
      </c>
      <c r="C1217">
        <v>2024</v>
      </c>
      <c r="E1217" t="s">
        <v>9</v>
      </c>
      <c r="F1217">
        <v>14.815999999999999</v>
      </c>
    </row>
    <row r="1218" spans="1:8" hidden="1" x14ac:dyDescent="0.25">
      <c r="A1218" t="s">
        <v>23</v>
      </c>
      <c r="B1218" s="2">
        <v>45378</v>
      </c>
      <c r="C1218">
        <v>2024</v>
      </c>
      <c r="E1218" t="s">
        <v>9</v>
      </c>
      <c r="F1218">
        <v>16.666599999999999</v>
      </c>
    </row>
    <row r="1219" spans="1:8" hidden="1" x14ac:dyDescent="0.25">
      <c r="A1219" t="s">
        <v>23</v>
      </c>
      <c r="B1219" s="2">
        <v>45390</v>
      </c>
      <c r="C1219">
        <v>2024</v>
      </c>
      <c r="E1219" t="s">
        <v>9</v>
      </c>
      <c r="F1219">
        <v>17.594999999999999</v>
      </c>
    </row>
    <row r="1220" spans="1:8" hidden="1" x14ac:dyDescent="0.25">
      <c r="A1220" t="s">
        <v>23</v>
      </c>
      <c r="B1220" s="2">
        <v>45406</v>
      </c>
      <c r="C1220">
        <v>2024</v>
      </c>
      <c r="E1220" t="s">
        <v>9</v>
      </c>
      <c r="F1220">
        <v>19.6874</v>
      </c>
      <c r="G1220">
        <v>17.62</v>
      </c>
      <c r="H1220" t="s">
        <v>27</v>
      </c>
    </row>
    <row r="1221" spans="1:8" hidden="1" x14ac:dyDescent="0.25">
      <c r="A1221" t="s">
        <v>23</v>
      </c>
      <c r="B1221" s="2">
        <v>45412</v>
      </c>
      <c r="C1221">
        <v>2024</v>
      </c>
      <c r="E1221" t="s">
        <v>9</v>
      </c>
      <c r="F1221">
        <v>15.558299999999999</v>
      </c>
    </row>
    <row r="1222" spans="1:8" hidden="1" x14ac:dyDescent="0.25">
      <c r="A1222" t="s">
        <v>23</v>
      </c>
      <c r="B1222" s="2">
        <v>45427</v>
      </c>
      <c r="C1222">
        <v>2024</v>
      </c>
      <c r="E1222" t="s">
        <v>9</v>
      </c>
      <c r="F1222">
        <v>18.902399999999997</v>
      </c>
    </row>
    <row r="1223" spans="1:8" hidden="1" x14ac:dyDescent="0.25">
      <c r="A1223" t="s">
        <v>23</v>
      </c>
      <c r="B1223" s="2">
        <v>45441</v>
      </c>
      <c r="C1223">
        <v>2024</v>
      </c>
      <c r="E1223" t="s">
        <v>9</v>
      </c>
      <c r="F1223">
        <v>17.7288</v>
      </c>
    </row>
    <row r="1224" spans="1:8" hidden="1" x14ac:dyDescent="0.25">
      <c r="A1224" t="s">
        <v>23</v>
      </c>
      <c r="B1224" s="2">
        <v>45454</v>
      </c>
      <c r="C1224">
        <v>2024</v>
      </c>
      <c r="E1224" t="s">
        <v>9</v>
      </c>
      <c r="F1224">
        <v>18.723399999999998</v>
      </c>
    </row>
  </sheetData>
  <autoFilter ref="A1:A1224" xr:uid="{3C95387D-0458-4499-B052-84055CDD2D26}">
    <filterColumn colId="0">
      <filters>
        <filter val="TP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sheetPr filterMode="1"/>
  <dimension ref="A1:H1228"/>
  <sheetViews>
    <sheetView tabSelected="1" zoomScale="60" zoomScaleNormal="60" workbookViewId="0">
      <selection activeCell="H1178" sqref="H1178"/>
    </sheetView>
  </sheetViews>
  <sheetFormatPr defaultRowHeight="15" x14ac:dyDescent="0.25"/>
  <cols>
    <col min="1" max="1" width="44.425781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6" width="41.42578125" customWidth="1"/>
    <col min="7" max="7" width="60.28515625" customWidth="1"/>
    <col min="8" max="8" width="57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f>(SingleBerryDW!F2/SingleBerryFW!F2)*100</f>
        <v>11.399999999999999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f>(SingleBerryDW!F3/SingleBerryFW!F3)*100</f>
        <v>13.4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f>(SingleBerryDW!F4/SingleBerryFW!F4)*100</f>
        <v>11.699999999999998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f>(SingleBerryDW!F5/SingleBerryFW!F5)*100</f>
        <v>12.4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f>(SingleBerryDW!F6/SingleBerryFW!F6)*100</f>
        <v>15.100000000000001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f>(SingleBerryDW!F7/SingleBerryFW!F7)*100</f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f>(SingleBerryDW!F8/SingleBerryFW!F8)*100</f>
        <v>16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f>(SingleBerryDW!F9/SingleBerryFW!F9)*100</f>
        <v>16.100000000000001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f>(SingleBerryDW!F10/SingleBerryFW!F10)*100</f>
        <v>15.8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f>(SingleBerryDW!F11/SingleBerryFW!F11)*100</f>
        <v>15.5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f>(SingleBerryDW!F12/SingleBerryFW!F12)*100</f>
        <v>16.3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f>(SingleBerryDW!F13/SingleBerryFW!F13)*100</f>
        <v>9.4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f>(SingleBerryDW!F14/SingleBerryFW!F14)*100</f>
        <v>12.5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f>(SingleBerryDW!F15/SingleBerryFW!F15)*100</f>
        <v>14.099999999999998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f>(SingleBerryDW!F16/SingleBerryFW!F16)*100</f>
        <v>15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f>(SingleBerryDW!F17/SingleBerryFW!F17)*100</f>
        <v>15.5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f>(SingleBerryDW!F18/SingleBerryFW!F18)*100</f>
        <v>15.7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f>(SingleBerryDW!F19/SingleBerryFW!F19)*100</f>
        <v>16.5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f>(SingleBerryDW!F20/SingleBerryFW!F20)*100</f>
        <v>16.400000000000002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f>(SingleBerryDW!F21/SingleBerryFW!F21)*100</f>
        <v>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f>(SingleBerryDW!F22/SingleBerryFW!F22)*100</f>
        <v>17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f>(SingleBerryDW!F23/SingleBerryFW!F23)*100</f>
        <v>17.100000000000001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f>(SingleBerryDW!F24/SingleBerryFW!F24)*100</f>
        <v>9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f>(SingleBerryDW!F25/SingleBerryFW!F25)*100</f>
        <v>12.000000000000002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f>(SingleBerryDW!F26/SingleBerryFW!F26)*100</f>
        <v>13.5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f>(SingleBerryDW!F27/SingleBerryFW!F27)*100</f>
        <v>14.6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f>(SingleBerryDW!F28/SingleBerryFW!F28)*100</f>
        <v>15.300000000000002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f>(SingleBerryDW!F29/SingleBerryFW!F29)*100</f>
        <v>15.5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f>(SingleBerryDW!F30/SingleBerryFW!F30)*100</f>
        <v>16.399999999999999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f>(SingleBerryDW!F31/SingleBerryFW!F31)*100</f>
        <v>16.8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f>(SingleBerryDW!F32/SingleBerryFW!F32)*100</f>
        <v>17.200000000000003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f>(SingleBerryDW!F33/SingleBerryFW!F33)*100</f>
        <v>15.1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f>(SingleBerryDW!F34/SingleBerryFW!F34)*100</f>
        <v>17.100000000000001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f>(SingleBerryDW!F35/SingleBerryFW!F35)*100</f>
        <v>11.6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f>(SingleBerryDW!F36/SingleBerryFW!F36)*100</f>
        <v>13.200000000000001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f>(SingleBerryDW!F37/SingleBerryFW!F37)*100</f>
        <v>13.3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f>(SingleBerryDW!F38/SingleBerryFW!F38)*100</f>
        <v>14.399999999999999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f>(SingleBerryDW!F39/SingleBerryFW!F39)*100</f>
        <v>16.799999999999997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f>(SingleBerryDW!F40/SingleBerryFW!F40)*100</f>
        <v>17.100000000000001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f>(SingleBerryDW!F41/SingleBerryFW!F41)*100</f>
        <v>17.600000000000001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f>(SingleBerryDW!F42/SingleBerryFW!F42)*100</f>
        <v>18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f>(SingleBerryDW!F43/SingleBerryFW!F43)*100</f>
        <v>18.3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f>(SingleBerryDW!F44/SingleBerryFW!F44)*100</f>
        <v>18.7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f>(SingleBerryDW!F45/SingleBerryFW!F45)*100</f>
        <v>17.899999999999995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f>(SingleBerryDW!F46/SingleBerryFW!F46)*100</f>
        <v>9.6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f>(SingleBerryDW!F47/SingleBerryFW!F47)*100</f>
        <v>12.4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f>(SingleBerryDW!F48/SingleBerryFW!F48)*100</f>
        <v>13.999999999999998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f>(SingleBerryDW!F49/SingleBerryFW!F49)*100</f>
        <v>15.299999999999999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f>(SingleBerryDW!F50/SingleBerryFW!F50)*100</f>
        <v>15.900000000000002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f>(SingleBerryDW!F51/SingleBerryFW!F51)*100</f>
        <v>16.7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f>(SingleBerryDW!F52/SingleBerryFW!F52)*100</f>
        <v>17.600000000000001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f>(SingleBerryDW!F53/SingleBerryFW!F53)*100</f>
        <v>17.2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f>(SingleBerryDW!F54/SingleBerryFW!F54)*100</f>
        <v>17.399999999999999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f>(SingleBerryDW!F55/SingleBerryFW!F55)*100</f>
        <v>17.399999999999995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f>(SingleBerryDW!F56/SingleBerryFW!F56)*100</f>
        <v>17.2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f>(SingleBerryDW!F57/SingleBerryFW!F57)*100</f>
        <v>10.199999999999999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f>(SingleBerryDW!F58/SingleBerryFW!F58)*100</f>
        <v>12.9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f>(SingleBerryDW!F59/SingleBerryFW!F59)*100</f>
        <v>14.200000000000001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f>(SingleBerryDW!F60/SingleBerryFW!F60)*100</f>
        <v>16.2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f>(SingleBerryDW!F61/SingleBerryFW!F61)*100</f>
        <v>16.100000000000001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f>(SingleBerryDW!F62/SingleBerryFW!F62)*100</f>
        <v>16.600000000000001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f>(SingleBerryDW!F63/SingleBerryFW!F63)*100</f>
        <v>17.5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f>(SingleBerryDW!F64/SingleBerryFW!F64)*100</f>
        <v>17.2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f>(SingleBerryDW!F65/SingleBerryFW!F65)*100</f>
        <v>18.899999999999999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f>(SingleBerryDW!F66/SingleBerryFW!F66)*100</f>
        <v>17.600000000000001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f>(SingleBerryDW!F67/SingleBerryFW!F67)*100</f>
        <v>17.899999999999999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f>(SingleBerryDW!F68/SingleBerryFW!F68)*100</f>
        <v>9.6999999999999993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f>(SingleBerryDW!F69/SingleBerryFW!F69)*100</f>
        <v>12.699999999999998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f>(SingleBerryDW!F70/SingleBerryFW!F70)*100</f>
        <v>14.399999999999999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f>(SingleBerryDW!F71/SingleBerryFW!F71)*100</f>
        <v>16.100000000000001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f>(SingleBerryDW!F72/SingleBerryFW!F72)*100</f>
        <v>17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f>(SingleBerryDW!F73/SingleBerryFW!F73)*100</f>
        <v>17.600000000000001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f>(SingleBerryDW!F74/SingleBerryFW!F74)*100</f>
        <v>18.600000000000001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f>(SingleBerryDW!F75/SingleBerryFW!F75)*100</f>
        <v>18.699999999999996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f>(SingleBerryDW!F76/SingleBerryFW!F76)*100</f>
        <v>18.2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f>(SingleBerryDW!F77/SingleBerryFW!F77)*100</f>
        <v>18.7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f>(SingleBerryDW!F78/SingleBerryFW!F78)*100</f>
        <v>18.899999999999999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f>(SingleBerryDW!F79/SingleBerryFW!F79)*100</f>
        <v>8.8000000000000025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f>(SingleBerryDW!F80/SingleBerryFW!F80)*100</f>
        <v>12.699999999999998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f>(SingleBerryDW!F81/SingleBerryFW!F81)*100</f>
        <v>13.600000000000001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f>(SingleBerryDW!F82/SingleBerryFW!F82)*100</f>
        <v>15.300000000000002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f>(SingleBerryDW!F83/SingleBerryFW!F83)*100</f>
        <v>16.600000000000001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f>(SingleBerryDW!F84/SingleBerryFW!F84)*100</f>
        <v>17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f>(SingleBerryDW!F85/SingleBerryFW!F85)*100</f>
        <v>17.399999999999999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f>(SingleBerryDW!F86/SingleBerryFW!F86)*100</f>
        <v>17.600000000000001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f>(SingleBerryDW!F87/SingleBerryFW!F87)*100</f>
        <v>18.399999999999999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f>(SingleBerryDW!F88/SingleBerryFW!F88)*100</f>
        <v>18.099999999999998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f>(SingleBerryDW!F89/SingleBerryFW!F89)*100</f>
        <v>17.899999999999995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f>(SingleBerryDW!F90/SingleBerryFW!F90)*100</f>
        <v>10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f>(SingleBerryDW!F91/SingleBerryFW!F91)*100</f>
        <v>12.2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f>(SingleBerryDW!F92/SingleBerryFW!F92)*100</f>
        <v>14.099999999999998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f>(SingleBerryDW!F93/SingleBerryFW!F93)*100</f>
        <v>13.899999999999999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f>(SingleBerryDW!F94/SingleBerryFW!F94)*100</f>
        <v>17.2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f>(SingleBerryDW!F95/SingleBerryFW!F95)*100</f>
        <v>15.6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f>(SingleBerryDW!F96/SingleBerryFW!F96)*100</f>
        <v>15.9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f>(SingleBerryDW!F97/SingleBerryFW!F97)*100</f>
        <v>17.599999999999998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f>(SingleBerryDW!F98/SingleBerryFW!F98)*100</f>
        <v>18.199999999999996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f>(SingleBerryDW!F99/SingleBerryFW!F99)*100</f>
        <v>17.7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f>(SingleBerryDW!F100/SingleBerryFW!F100)*100</f>
        <v>18.100000000000001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f>(SingleBerryDW!F101/SingleBerryFW!F101)*100</f>
        <v>9.0000000000000018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f>(SingleBerryDW!F102/SingleBerryFW!F102)*100</f>
        <v>11.300000000000002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f>(SingleBerryDW!F103/SingleBerryFW!F103)*100</f>
        <v>13.5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f>(SingleBerryDW!F104/SingleBerryFW!F104)*100</f>
        <v>15.299999999999999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f>(SingleBerryDW!F105/SingleBerryFW!F105)*100</f>
        <v>16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f>(SingleBerryDW!F106/SingleBerryFW!F106)*100</f>
        <v>16.7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f>(SingleBerryDW!F107/SingleBerryFW!F107)*100</f>
        <v>17.399999999999999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f>(SingleBerryDW!F108/SingleBerryFW!F108)*100</f>
        <v>17.5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f>(SingleBerryDW!F109/SingleBerryFW!F109)*100</f>
        <v>17.8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f>(SingleBerryDW!F110/SingleBerryFW!F110)*100</f>
        <v>17.8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f>(SingleBerryDW!F111/SingleBerryFW!F111)*100</f>
        <v>17.899999999999999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f>(SingleBerryDW!F112/SingleBerryFW!F112)*100</f>
        <v>8.3000000000000007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f>(SingleBerryDW!F113/SingleBerryFW!F113)*100</f>
        <v>11.9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f>(SingleBerryDW!F114/SingleBerryFW!F114)*100</f>
        <v>13.5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f>(SingleBerryDW!F115/SingleBerryFW!F115)*100</f>
        <v>15.2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f>(SingleBerryDW!F116/SingleBerryFW!F116)*100</f>
        <v>16.400000000000002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f>(SingleBerryDW!F117/SingleBerryFW!F117)*100</f>
        <v>16.8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f>(SingleBerryDW!F118/SingleBerryFW!F118)*100</f>
        <v>17.2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f>(SingleBerryDW!F119/SingleBerryFW!F119)*100</f>
        <v>17.699999999999996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f>(SingleBerryDW!F120/SingleBerryFW!F120)*100</f>
        <v>18.399999999999999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f>(SingleBerryDW!F121/SingleBerryFW!F121)*100</f>
        <v>17.899999999999995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f>(SingleBerryDW!F122/SingleBerryFW!F122)*100</f>
        <v>18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f>(SingleBerryDW!F123/SingleBerryFW!F123)*100</f>
        <v>9.7000000000000011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f>(SingleBerryDW!F124/SingleBerryFW!F124)*100</f>
        <v>11.4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f>(SingleBerryDW!F125/SingleBerryFW!F125)*100</f>
        <v>12.8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f>(SingleBerryDW!F126/SingleBerryFW!F126)*100</f>
        <v>12.099999999999998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f>(SingleBerryDW!F127/SingleBerryFW!F127)*100</f>
        <v>14.6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f>(SingleBerryDW!F128/SingleBerryFW!F128)*100</f>
        <v>14.400000000000002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f>(SingleBerryDW!F129/SingleBerryFW!F129)*100</f>
        <v>14.799999999999999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f>(SingleBerryDW!F130/SingleBerryFW!F130)*100</f>
        <v>14.7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f>(SingleBerryDW!F131/SingleBerryFW!F131)*100</f>
        <v>14.6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f>(SingleBerryDW!F132/SingleBerryFW!F132)*100</f>
        <v>15.8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f>(SingleBerryDW!F133/SingleBerryFW!F133)*100</f>
        <v>16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f>(SingleBerryDW!F134/SingleBerryFW!F134)*100</f>
        <v>8.2999999999999989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f>(SingleBerryDW!F135/SingleBerryFW!F135)*100</f>
        <v>10.5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f>(SingleBerryDW!F136/SingleBerryFW!F136)*100</f>
        <v>12.4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f>(SingleBerryDW!F137/SingleBerryFW!F137)*100</f>
        <v>14.299999999999999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f>(SingleBerryDW!F138/SingleBerryFW!F138)*100</f>
        <v>15.000000000000002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f>(SingleBerryDW!F139/SingleBerryFW!F139)*100</f>
        <v>15.5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f>(SingleBerryDW!F140/SingleBerryFW!F140)*100</f>
        <v>16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f>(SingleBerryDW!F141/SingleBerryFW!F141)*100</f>
        <v>15.6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f>(SingleBerryDW!F142/SingleBerryFW!F142)*100</f>
        <v>15.4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f>(SingleBerryDW!F143/SingleBerryFW!F143)*100</f>
        <v>16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f>(SingleBerryDW!F144/SingleBerryFW!F144)*100</f>
        <v>17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f>(SingleBerryDW!F145/SingleBerryFW!F145)*100</f>
        <v>8.3000000000000025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f>(SingleBerryDW!F146/SingleBerryFW!F146)*100</f>
        <v>11.700000000000001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f>(SingleBerryDW!F147/SingleBerryFW!F147)*100</f>
        <v>13.600000000000001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f>(SingleBerryDW!F148/SingleBerryFW!F148)*100</f>
        <v>15.000000000000002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f>(SingleBerryDW!F149/SingleBerryFW!F149)*100</f>
        <v>15.9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f>(SingleBerryDW!F150/SingleBerryFW!F150)*100</f>
        <v>16.3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f>(SingleBerryDW!F151/SingleBerryFW!F151)*100</f>
        <v>16.2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f>(SingleBerryDW!F152/SingleBerryFW!F152)*100</f>
        <v>17.099999999999998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f>(SingleBerryDW!F153/SingleBerryFW!F153)*100</f>
        <v>17.3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f>(SingleBerryDW!F154/SingleBerryFW!F154)*100</f>
        <v>17.7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f>(SingleBerryDW!F155/SingleBerryFW!F155)*100</f>
        <v>17.8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f>(SingleBerryDW!F156/SingleBerryFW!F156)*100</f>
        <v>8.6999999999999975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f>(SingleBerryDW!F157/SingleBerryFW!F157)*100</f>
        <v>12.1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f>(SingleBerryDW!F158/SingleBerryFW!F158)*100</f>
        <v>13.5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f>(SingleBerryDW!F159/SingleBerryFW!F159)*100</f>
        <v>14.7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f>(SingleBerryDW!F160/SingleBerryFW!F160)*100</f>
        <v>15.7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f>(SingleBerryDW!F161/SingleBerryFW!F161)*100</f>
        <v>16.499999999999996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f>(SingleBerryDW!F162/SingleBerryFW!F162)*100</f>
        <v>16.5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f>(SingleBerryDW!F163/SingleBerryFW!F163)*100</f>
        <v>16.8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f>(SingleBerryDW!F164/SingleBerryFW!F164)*100</f>
        <v>17.8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f>(SingleBerryDW!F165/SingleBerryFW!F165)*100</f>
        <v>15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f>(SingleBerryDW!F166/SingleBerryFW!F166)*100</f>
        <v>17.5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f>(SingleBerryDW!F167/SingleBerryFW!F167)*100</f>
        <v>7.3999999999999995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f>(SingleBerryDW!F168/SingleBerryFW!F168)*100</f>
        <v>6.8999999999999995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f>(SingleBerryDW!F169/SingleBerryFW!F169)*100</f>
        <v>11.8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f>(SingleBerryDW!F170/SingleBerryFW!F170)*100</f>
        <v>11.899999999999999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f>(SingleBerryDW!F171/SingleBerryFW!F171)*100</f>
        <v>13.399999999999999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f>(SingleBerryDW!F172/SingleBerryFW!F172)*100</f>
        <v>13.600000000000001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f>(SingleBerryDW!F173/SingleBerryFW!F173)*100</f>
        <v>14.299999999999999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f>(SingleBerryDW!F174/SingleBerryFW!F174)*100</f>
        <v>14.899999999999999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f>(SingleBerryDW!F175/SingleBerryFW!F175)*100</f>
        <v>14.500000000000002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f>(SingleBerryDW!F176/SingleBerryFW!F176)*100</f>
        <v>15.299999999999999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f>(SingleBerryDW!F177/SingleBerryFW!F177)*100</f>
        <v>15.300000000000002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f>(SingleBerryDW!F178/SingleBerryFW!F178)*100</f>
        <v>15.2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f>(SingleBerryDW!F179/SingleBerryFW!F179)*100</f>
        <v>15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f>(SingleBerryDW!F180/SingleBerryFW!F180)*100</f>
        <v>15.599999999999998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f>(SingleBerryDW!F181/SingleBerryFW!F181)*100</f>
        <v>15.5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f>(SingleBerryDW!F182/SingleBerryFW!F182)*100</f>
        <v>15.6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f>(SingleBerryDW!F183/SingleBerryFW!F183)*100</f>
        <v>15.7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f>(SingleBerryDW!F184/SingleBerryFW!F184)*100</f>
        <v>16.5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f>(SingleBerryDW!F185/SingleBerryFW!F185)*100</f>
        <v>15.800000000000002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f>(SingleBerryDW!F186/SingleBerryFW!F186)*100</f>
        <v>16.600000000000001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f>(SingleBerryDW!F187/SingleBerryFW!F187)*100</f>
        <v>15.900000000000002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f>(SingleBerryDW!F188/SingleBerryFW!F188)*100</f>
        <v>16.600000000000001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f>(SingleBerryDW!F189/SingleBerryFW!F189)*100</f>
        <v>16.899999999999999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f>(SingleBerryDW!F190/SingleBerryFW!F190)*100</f>
        <v>17.100000000000005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f>(SingleBerryDW!F191/SingleBerryFW!F191)*100</f>
        <v>8.6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f>(SingleBerryDW!F192/SingleBerryFW!F192)*100</f>
        <v>7.1999999999999993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f>(SingleBerryDW!F193/SingleBerryFW!F193)*100</f>
        <v>12.8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f>(SingleBerryDW!F194/SingleBerryFW!F194)*100</f>
        <v>11.4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f>(SingleBerryDW!F195/SingleBerryFW!F195)*100</f>
        <v>14.299999999999999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f>(SingleBerryDW!F196/SingleBerryFW!F196)*100</f>
        <v>12.7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f>(SingleBerryDW!F197/SingleBerryFW!F197)*100</f>
        <v>14.7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f>(SingleBerryDW!F198/SingleBerryFW!F198)*100</f>
        <v>13.700000000000001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f>(SingleBerryDW!F199/SingleBerryFW!F199)*100</f>
        <v>15.300000000000002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f>(SingleBerryDW!F200/SingleBerryFW!F200)*100</f>
        <v>14.400000000000002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f>(SingleBerryDW!F201/SingleBerryFW!F201)*100</f>
        <v>14.900000000000002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f>(SingleBerryDW!F202/SingleBerryFW!F202)*100</f>
        <v>14.2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f>(SingleBerryDW!F203/SingleBerryFW!F203)*100</f>
        <v>15.7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f>(SingleBerryDW!F204/SingleBerryFW!F204)*100</f>
        <v>14.900000000000002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f>(SingleBerryDW!F205/SingleBerryFW!F205)*100</f>
        <v>15.1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f>(SingleBerryDW!F206/SingleBerryFW!F206)*100</f>
        <v>15.9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f>(SingleBerryDW!F207/SingleBerryFW!F207)*100</f>
        <v>16.100000000000001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f>(SingleBerryDW!F208/SingleBerryFW!F208)*100</f>
        <v>15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f>(SingleBerryDW!F209/SingleBerryFW!F209)*100</f>
        <v>16.8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f>(SingleBerryDW!F210/SingleBerryFW!F210)*100</f>
        <v>16.2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f>(SingleBerryDW!F211/SingleBerryFW!F211)*100</f>
        <v>16.900000000000002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f>(SingleBerryDW!F212/SingleBerryFW!F212)*100</f>
        <v>16.3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f>(SingleBerryDW!F213/SingleBerryFW!F213)*100</f>
        <v>17.100000000000005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f>(SingleBerryDW!F214/SingleBerryFW!F214)*100</f>
        <v>16.5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f>(SingleBerryDW!F215/SingleBerryFW!F215)*100</f>
        <v>17.3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f>(SingleBerryDW!F216/SingleBerryFW!F216)*100</f>
        <v>16.400000000000002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f>(SingleBerryDW!F217/SingleBerryFW!F217)*100</f>
        <v>7.7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f>(SingleBerryDW!F218/SingleBerryFW!F218)*100</f>
        <v>6.7999999999999989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f>(SingleBerryDW!F219/SingleBerryFW!F219)*100</f>
        <v>12.599999999999998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f>(SingleBerryDW!F220/SingleBerryFW!F220)*100</f>
        <v>11.4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f>(SingleBerryDW!F221/SingleBerryFW!F221)*100</f>
        <v>14.3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f>(SingleBerryDW!F222/SingleBerryFW!F222)*100</f>
        <v>13.299999999999997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f>(SingleBerryDW!F223/SingleBerryFW!F223)*100</f>
        <v>15.7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f>(SingleBerryDW!F224/SingleBerryFW!F224)*100</f>
        <v>14.7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f>(SingleBerryDW!F225/SingleBerryFW!F225)*100</f>
        <v>16.399999999999999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f>(SingleBerryDW!F226/SingleBerryFW!F226)*100</f>
        <v>15.4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f>(SingleBerryDW!F227/SingleBerryFW!F227)*100</f>
        <v>16.600000000000001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f>(SingleBerryDW!F228/SingleBerryFW!F228)*100</f>
        <v>15.8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f>(SingleBerryDW!F229/SingleBerryFW!F229)*100</f>
        <v>17.200000000000003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f>(SingleBerryDW!F230/SingleBerryFW!F230)*100</f>
        <v>16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f>(SingleBerryDW!F231/SingleBerryFW!F231)*100</f>
        <v>17.100000000000001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f>(SingleBerryDW!F232/SingleBerryFW!F232)*100</f>
        <v>16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f>(SingleBerryDW!F233/SingleBerryFW!F233)*100</f>
        <v>17.399999999999999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f>(SingleBerryDW!F234/SingleBerryFW!F234)*100</f>
        <v>16.600000000000001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f>(SingleBerryDW!F235/SingleBerryFW!F235)*100</f>
        <v>18.099999999999998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f>(SingleBerryDW!F236/SingleBerryFW!F236)*100</f>
        <v>16.600000000000005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f>(SingleBerryDW!F237/SingleBerryFW!F237)*100</f>
        <v>18.299999999999997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f>(SingleBerryDW!F238/SingleBerryFW!F238)*100</f>
        <v>17.299999999999997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f>(SingleBerryDW!F239/SingleBerryFW!F239)*100</f>
        <v>7.1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f>(SingleBerryDW!F240/SingleBerryFW!F240)*100</f>
        <v>12.6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f>(SingleBerryDW!F241/SingleBerryFW!F241)*100</f>
        <v>14.3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f>(SingleBerryDW!F242/SingleBerryFW!F242)*100</f>
        <v>15.6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f>(SingleBerryDW!F243/SingleBerryFW!F243)*100</f>
        <v>16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f>(SingleBerryDW!F244/SingleBerryFW!F244)*100</f>
        <v>16.5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f>(SingleBerryDW!F245/SingleBerryFW!F245)*100</f>
        <v>16.600000000000005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f>(SingleBerryDW!F246/SingleBerryFW!F246)*100</f>
        <v>16.7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f>(SingleBerryDW!F247/SingleBerryFW!F247)*100</f>
        <v>17.100000000000001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f>(SingleBerryDW!F248/SingleBerryFW!F248)*100</f>
        <v>17.899999999999999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f>(SingleBerryDW!F249/SingleBerryFW!F249)*100</f>
        <v>8.1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f>(SingleBerryDW!F250/SingleBerryFW!F250)*100</f>
        <v>12.400000000000002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f>(SingleBerryDW!F251/SingleBerryFW!F251)*100</f>
        <v>13.999999999999998</v>
      </c>
    </row>
    <row r="252" spans="1:6" hidden="1" x14ac:dyDescent="0.25">
      <c r="A252" t="s">
        <v>7</v>
      </c>
      <c r="B252" s="2">
        <v>43906</v>
      </c>
      <c r="C252">
        <f t="shared" ref="C252:C315" si="3">YEAR(B252)</f>
        <v>2020</v>
      </c>
      <c r="E252" t="s">
        <v>6</v>
      </c>
      <c r="F252">
        <f>(SingleBerryDW!F252/SingleBerryFW!F252)*100</f>
        <v>15.5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f>(SingleBerryDW!F253/SingleBerryFW!F253)*100</f>
        <v>17.5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f>(SingleBerryDW!F254/SingleBerryFW!F254)*100</f>
        <v>17.699999999999996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f>(SingleBerryDW!F255/SingleBerryFW!F255)*100</f>
        <v>17.700000000000003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f>(SingleBerryDW!F256/SingleBerryFW!F256)*100</f>
        <v>8.8219087849999998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f>(SingleBerryDW!F257/SingleBerryFW!F257)*100</f>
        <v>11.326228609999999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f>(SingleBerryDW!F258/SingleBerryFW!F258)*100</f>
        <v>13.338020979999998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f>(SingleBerryDW!F259/SingleBerryFW!F259)*100</f>
        <v>14.397584729999998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f>(SingleBerryDW!F260/SingleBerryFW!F260)*100</f>
        <v>15.18128198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f>(SingleBerryDW!F261/SingleBerryFW!F261)*100</f>
        <v>15.203008900000004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f>(SingleBerryDW!F262/SingleBerryFW!F262)*100</f>
        <v>15.654528790000002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f>(SingleBerryDW!F263/SingleBerryFW!F263)*100</f>
        <v>15.291157419999998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f>(SingleBerryDW!F264/SingleBerryFW!F264)*100</f>
        <v>16.521215380000001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f>(SingleBerryDW!F265/SingleBerryFW!F265)*100</f>
        <v>16.493120660000002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f>(SingleBerryDW!F266/SingleBerryFW!F266)*100</f>
        <v>17.19554462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f>(SingleBerryDW!F267/SingleBerryFW!F267)*100</f>
        <v>7.2000000000000011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f>(SingleBerryDW!F268/SingleBerryFW!F268)*100</f>
        <v>12.7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f>(SingleBerryDW!F269/SingleBerryFW!F269)*100</f>
        <v>14.400000000000002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f>(SingleBerryDW!F270/SingleBerryFW!F270)*100</f>
        <v>15.4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f>(SingleBerryDW!F271/SingleBerryFW!F271)*100</f>
        <v>16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f>(SingleBerryDW!F272/SingleBerryFW!F272)*100</f>
        <v>16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f>(SingleBerryDW!F273/SingleBerryFW!F273)*100</f>
        <v>16.5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f>(SingleBerryDW!F274/SingleBerryFW!F274)*100</f>
        <v>16.600000000000001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f>(SingleBerryDW!F275/SingleBerryFW!F275)*100</f>
        <v>16.8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f>(SingleBerryDW!F276/SingleBerryFW!F276)*100</f>
        <v>17.700000000000003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f>(SingleBerryDW!F277/SingleBerryFW!F277)*100</f>
        <v>17.899999999999995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f>(SingleBerryDW!F278/SingleBerryFW!F278)*100</f>
        <v>17.899999999999999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f>(SingleBerryDW!F279/SingleBerryFW!F279)*100</f>
        <v>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f>(SingleBerryDW!F280/SingleBerryFW!F280)*100</f>
        <v>12.4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f>(SingleBerryDW!F281/SingleBerryFW!F281)*100</f>
        <v>14.6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f>(SingleBerryDW!F282/SingleBerryFW!F282)*100</f>
        <v>15.5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f>(SingleBerryDW!F283/SingleBerryFW!F283)*100</f>
        <v>15.9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f>(SingleBerryDW!F284/SingleBerryFW!F284)*100</f>
        <v>16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f>(SingleBerryDW!F285/SingleBerryFW!F285)*100</f>
        <v>16.7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f>(SingleBerryDW!F286/SingleBerryFW!F286)*100</f>
        <v>16.900000000000002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f>(SingleBerryDW!F287/SingleBerryFW!F287)*100</f>
        <v>17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f>(SingleBerryDW!F288/SingleBerryFW!F288)*100</f>
        <v>17.7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f>(SingleBerryDW!F289/SingleBerryFW!F289)*100</f>
        <v>17.7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f>(SingleBerryDW!F290/SingleBerryFW!F290)*100</f>
        <v>18.100000000000001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f>(SingleBerryDW!F291/SingleBerryFW!F291)*100</f>
        <v>17.899999999999999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f>(SingleBerryDW!F292/SingleBerryFW!F292)*100</f>
        <v>7.1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f>(SingleBerryDW!F293/SingleBerryFW!F293)*100</f>
        <v>11.300000000000002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f>(SingleBerryDW!F294/SingleBerryFW!F294)*100</f>
        <v>13.699999999999998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f>(SingleBerryDW!F295/SingleBerryFW!F295)*100</f>
        <v>15.300000000000002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f>(SingleBerryDW!F296/SingleBerryFW!F296)*100</f>
        <v>15.9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f>(SingleBerryDW!F297/SingleBerryFW!F297)*100</f>
        <v>16.2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f>(SingleBerryDW!F298/SingleBerryFW!F298)*100</f>
        <v>16.3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f>(SingleBerryDW!F299/SingleBerryFW!F299)*100</f>
        <v>16.800000000000004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f>(SingleBerryDW!F300/SingleBerryFW!F300)*100</f>
        <v>17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f>(SingleBerryDW!F301/SingleBerryFW!F301)*100</f>
        <v>17.3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f>(SingleBerryDW!F302/SingleBerryFW!F302)*100</f>
        <v>17.599999999999998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f>(SingleBerryDW!F303/SingleBerryFW!F303)*100</f>
        <v>7.3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f>(SingleBerryDW!F304/SingleBerryFW!F304)*100</f>
        <v>12.9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f>(SingleBerryDW!F305/SingleBerryFW!F305)*100</f>
        <v>14.6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f>(SingleBerryDW!F306/SingleBerryFW!F306)*100</f>
        <v>16.100000000000001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f>(SingleBerryDW!F307/SingleBerryFW!F307)*100</f>
        <v>16.5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f>(SingleBerryDW!F308/SingleBerryFW!F308)*100</f>
        <v>16.899999999999999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f>(SingleBerryDW!F309/SingleBerryFW!F309)*100</f>
        <v>17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f>(SingleBerryDW!F310/SingleBerryFW!F310)*100</f>
        <v>17.299999999999997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f>(SingleBerryDW!F311/SingleBerryFW!F311)*100</f>
        <v>17.5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f>(SingleBerryDW!F312/SingleBerryFW!F312)*100</f>
        <v>18.3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f>(SingleBerryDW!F313/SingleBerryFW!F313)*100</f>
        <v>8.6999999999999993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f>(SingleBerryDW!F314/SingleBerryFW!F314)*100</f>
        <v>13.4</v>
      </c>
    </row>
    <row r="315" spans="1:6" hidden="1" x14ac:dyDescent="0.25">
      <c r="A315" t="s">
        <v>7</v>
      </c>
      <c r="B315" s="2">
        <v>43894</v>
      </c>
      <c r="C315">
        <f t="shared" si="3"/>
        <v>2020</v>
      </c>
      <c r="E315" t="s">
        <v>6</v>
      </c>
      <c r="F315">
        <f>(SingleBerryDW!F315/SingleBerryFW!F315)*100</f>
        <v>14.899999999999999</v>
      </c>
    </row>
    <row r="316" spans="1:6" hidden="1" x14ac:dyDescent="0.25">
      <c r="A316" t="s">
        <v>7</v>
      </c>
      <c r="B316" s="2">
        <v>43907</v>
      </c>
      <c r="C316">
        <f t="shared" ref="C316:C379" si="4">YEAR(B316)</f>
        <v>2020</v>
      </c>
      <c r="E316" t="s">
        <v>6</v>
      </c>
      <c r="F316">
        <f>(SingleBerryDW!F316/SingleBerryFW!F316)*100</f>
        <v>16.5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f>(SingleBerryDW!F317/SingleBerryFW!F317)*100</f>
        <v>18.800000000000004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f>(SingleBerryDW!F318/SingleBerryFW!F318)*100</f>
        <v>18.899999999999999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f>(SingleBerryDW!F319/SingleBerryFW!F319)*100</f>
        <v>19.5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f>(SingleBerryDW!F320/SingleBerryFW!F320)*100</f>
        <v>10.179676189999999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f>(SingleBerryDW!F321/SingleBerryFW!F321)*100</f>
        <v>15.628000080000001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f>(SingleBerryDW!F322/SingleBerryFW!F322)*100</f>
        <v>16.63794643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f>(SingleBerryDW!F323/SingleBerryFW!F323)*100</f>
        <v>17.359527880000002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f>(SingleBerryDW!F324/SingleBerryFW!F324)*100</f>
        <v>17.60640596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f>(SingleBerryDW!F325/SingleBerryFW!F325)*100</f>
        <v>17.904109959999996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f>(SingleBerryDW!F326/SingleBerryFW!F326)*100</f>
        <v>18.175619019999996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f>(SingleBerryDW!F327/SingleBerryFW!F327)*100</f>
        <v>18.282530170000001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f>(SingleBerryDW!F328/SingleBerryFW!F328)*100</f>
        <v>18.609304609999999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f>(SingleBerryDW!F329/SingleBerryFW!F329)*100</f>
        <v>18.614446149999999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f>(SingleBerryDW!F330/SingleBerryFW!F330)*100</f>
        <v>7.7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f>(SingleBerryDW!F331/SingleBerryFW!F331)*100</f>
        <v>7.1999999999999993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f>(SingleBerryDW!F332/SingleBerryFW!F332)*100</f>
        <v>7.3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f>(SingleBerryDW!F333/SingleBerryFW!F333)*100</f>
        <v>7.8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f>(SingleBerryDW!F334/SingleBerryFW!F334)*100</f>
        <v>13.3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f>(SingleBerryDW!F335/SingleBerryFW!F335)*100</f>
        <v>12.7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f>(SingleBerryDW!F336/SingleBerryFW!F336)*100</f>
        <v>11.600000000000001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f>(SingleBerryDW!F337/SingleBerryFW!F337)*100</f>
        <v>11.800000000000002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f>(SingleBerryDW!F338/SingleBerryFW!F338)*100</f>
        <v>13.600000000000001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f>(SingleBerryDW!F339/SingleBerryFW!F339)*100</f>
        <v>15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f>(SingleBerryDW!F340/SingleBerryFW!F340)*100</f>
        <v>14.2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f>(SingleBerryDW!F341/SingleBerryFW!F341)*100</f>
        <v>13.100000000000001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f>(SingleBerryDW!F342/SingleBerryFW!F342)*100</f>
        <v>15.800000000000002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f>(SingleBerryDW!F343/SingleBerryFW!F343)*100</f>
        <v>15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f>(SingleBerryDW!F344/SingleBerryFW!F344)*100</f>
        <v>14.099999999999998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f>(SingleBerryDW!F345/SingleBerryFW!F345)*100</f>
        <v>14.499999999999998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f>(SingleBerryDW!F346/SingleBerryFW!F346)*100</f>
        <v>16.7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f>(SingleBerryDW!F347/SingleBerryFW!F347)*100</f>
        <v>15.400000000000002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f>(SingleBerryDW!F348/SingleBerryFW!F348)*100</f>
        <v>15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f>(SingleBerryDW!F349/SingleBerryFW!F349)*100</f>
        <v>15.2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f>(SingleBerryDW!F350/SingleBerryFW!F350)*100</f>
        <v>15.400000000000002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f>(SingleBerryDW!F351/SingleBerryFW!F351)*100</f>
        <v>16.5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f>(SingleBerryDW!F352/SingleBerryFW!F352)*100</f>
        <v>15.7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f>(SingleBerryDW!F353/SingleBerryFW!F353)*100</f>
        <v>15.2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f>(SingleBerryDW!F354/SingleBerryFW!F354)*100</f>
        <v>16.900000000000002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f>(SingleBerryDW!F355/SingleBerryFW!F355)*100</f>
        <v>15.7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f>(SingleBerryDW!F356/SingleBerryFW!F356)*100</f>
        <v>15.5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f>(SingleBerryDW!F357/SingleBerryFW!F357)*100</f>
        <v>15.1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f>(SingleBerryDW!F358/SingleBerryFW!F358)*100</f>
        <v>17.399999999999999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f>(SingleBerryDW!F359/SingleBerryFW!F359)*100</f>
        <v>16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f>(SingleBerryDW!F360/SingleBerryFW!F360)*100</f>
        <v>15.7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f>(SingleBerryDW!F361/SingleBerryFW!F361)*100</f>
        <v>15.699999999999998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f>(SingleBerryDW!F362/SingleBerryFW!F362)*100</f>
        <v>16.100000000000001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f>(SingleBerryDW!F363/SingleBerryFW!F363)*100</f>
        <v>17.200000000000003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f>(SingleBerryDW!F364/SingleBerryFW!F364)*100</f>
        <v>16.100000000000001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f>(SingleBerryDW!F365/SingleBerryFW!F365)*100</f>
        <v>16.2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f>(SingleBerryDW!F366/SingleBerryFW!F366)*100</f>
        <v>17.5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f>(SingleBerryDW!F367/SingleBerryFW!F367)*100</f>
        <v>17.100000000000001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f>(SingleBerryDW!F368/SingleBerryFW!F368)*100</f>
        <v>16.399999999999999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f>(SingleBerryDW!F369/SingleBerryFW!F369)*100</f>
        <v>16.8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f>(SingleBerryDW!F370/SingleBerryFW!F370)*100</f>
        <v>17.099999999999998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f>(SingleBerryDW!F371/SingleBerryFW!F371)*100</f>
        <v>18.000000000000004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f>(SingleBerryDW!F372/SingleBerryFW!F372)*100</f>
        <v>17.099999999999998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f>(SingleBerryDW!F373/SingleBerryFW!F373)*100</f>
        <v>16.8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f>(SingleBerryDW!F374/SingleBerryFW!F374)*100</f>
        <v>16.800000000000004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f>(SingleBerryDW!F375/SingleBerryFW!F375)*100</f>
        <v>18.000000000000004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f>(SingleBerryDW!F376/SingleBerryFW!F376)*100</f>
        <v>17.3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f>(SingleBerryDW!F377/SingleBerryFW!F377)*100</f>
        <v>8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f>(SingleBerryDW!F378/SingleBerryFW!F378)*100</f>
        <v>7.8</v>
      </c>
    </row>
    <row r="379" spans="1:6" hidden="1" x14ac:dyDescent="0.25">
      <c r="A379" t="s">
        <v>7</v>
      </c>
      <c r="B379" s="2">
        <v>42753</v>
      </c>
      <c r="C379">
        <f t="shared" si="4"/>
        <v>2017</v>
      </c>
      <c r="E379" t="s">
        <v>6</v>
      </c>
      <c r="F379">
        <f>(SingleBerryDW!F379/SingleBerryFW!F379)*100</f>
        <v>8.1</v>
      </c>
    </row>
    <row r="380" spans="1:6" hidden="1" x14ac:dyDescent="0.25">
      <c r="A380" t="s">
        <v>7</v>
      </c>
      <c r="B380" s="2">
        <v>42753</v>
      </c>
      <c r="C380">
        <f t="shared" ref="C380:C443" si="5">YEAR(B380)</f>
        <v>2017</v>
      </c>
      <c r="E380" t="s">
        <v>6</v>
      </c>
      <c r="F380">
        <f>(SingleBerryDW!F380/SingleBerryFW!F380)*100</f>
        <v>8.5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f>(SingleBerryDW!F381/SingleBerryFW!F381)*100</f>
        <v>13.100000000000001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f>(SingleBerryDW!F382/SingleBerryFW!F382)*100</f>
        <v>13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f>(SingleBerryDW!F383/SingleBerryFW!F383)*100</f>
        <v>12.400000000000002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f>(SingleBerryDW!F384/SingleBerryFW!F384)*100</f>
        <v>12.999999999999998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f>(SingleBerryDW!F385/SingleBerryFW!F385)*100</f>
        <v>14.400000000000002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f>(SingleBerryDW!F386/SingleBerryFW!F386)*100</f>
        <v>14.899999999999999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f>(SingleBerryDW!F387/SingleBerryFW!F387)*100</f>
        <v>15.1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f>(SingleBerryDW!F388/SingleBerryFW!F388)*100</f>
        <v>14.7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f>(SingleBerryDW!F389/SingleBerryFW!F389)*100</f>
        <v>15.6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f>(SingleBerryDW!F390/SingleBerryFW!F390)*100</f>
        <v>15.599999999999998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f>(SingleBerryDW!F391/SingleBerryFW!F391)*100</f>
        <v>14.899999999999999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f>(SingleBerryDW!F392/SingleBerryFW!F392)*100</f>
        <v>15.699999999999998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f>(SingleBerryDW!F393/SingleBerryFW!F393)*100</f>
        <v>16.100000000000001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f>(SingleBerryDW!F394/SingleBerryFW!F394)*100</f>
        <v>16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f>(SingleBerryDW!F395/SingleBerryFW!F395)*100</f>
        <v>15.400000000000002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f>(SingleBerryDW!F396/SingleBerryFW!F396)*100</f>
        <v>16.2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f>(SingleBerryDW!F397/SingleBerryFW!F397)*100</f>
        <v>16.100000000000001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f>(SingleBerryDW!F398/SingleBerryFW!F398)*100</f>
        <v>16.100000000000001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f>(SingleBerryDW!F399/SingleBerryFW!F399)*100</f>
        <v>15.400000000000002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f>(SingleBerryDW!F400/SingleBerryFW!F400)*100</f>
        <v>16.100000000000001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f>(SingleBerryDW!F401/SingleBerryFW!F401)*100</f>
        <v>16.100000000000001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f>(SingleBerryDW!F402/SingleBerryFW!F402)*100</f>
        <v>16.3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f>(SingleBerryDW!F403/SingleBerryFW!F403)*100</f>
        <v>15.5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f>(SingleBerryDW!F404/SingleBerryFW!F404)*100</f>
        <v>16.799999999999997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f>(SingleBerryDW!F405/SingleBerryFW!F405)*100</f>
        <v>16.7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f>(SingleBerryDW!F406/SingleBerryFW!F406)*100</f>
        <v>16.2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f>(SingleBerryDW!F407/SingleBerryFW!F407)*100</f>
        <v>17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f>(SingleBerryDW!F408/SingleBerryFW!F408)*100</f>
        <v>17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f>(SingleBerryDW!F409/SingleBerryFW!F409)*100</f>
        <v>17.2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f>(SingleBerryDW!F410/SingleBerryFW!F410)*100</f>
        <v>16.399999999999999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f>(SingleBerryDW!F411/SingleBerryFW!F411)*100</f>
        <v>16.800000000000004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f>(SingleBerryDW!F412/SingleBerryFW!F412)*100</f>
        <v>17.199999999999996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f>(SingleBerryDW!F413/SingleBerryFW!F413)*100</f>
        <v>17.699999999999996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f>(SingleBerryDW!F414/SingleBerryFW!F414)*100</f>
        <v>17.2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f>(SingleBerryDW!F415/SingleBerryFW!F415)*100</f>
        <v>16.7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f>(SingleBerryDW!F416/SingleBerryFW!F416)*100</f>
        <v>17.600000000000001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f>(SingleBerryDW!F417/SingleBerryFW!F417)*100</f>
        <v>18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f>(SingleBerryDW!F418/SingleBerryFW!F418)*100</f>
        <v>17.399999999999999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f>(SingleBerryDW!F419/SingleBerryFW!F419)*100</f>
        <v>16.899999999999999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f>(SingleBerryDW!F420/SingleBerryFW!F420)*100</f>
        <v>18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f>(SingleBerryDW!F421/SingleBerryFW!F421)*100</f>
        <v>17.899999999999999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f>(SingleBerryDW!F422/SingleBerryFW!F422)*100</f>
        <v>17.8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f>(SingleBerryDW!F423/SingleBerryFW!F423)*100</f>
        <v>17.7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f>(SingleBerryDW!F424/SingleBerryFW!F424)*100</f>
        <v>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f>(SingleBerryDW!F425/SingleBerryFW!F425)*100</f>
        <v>18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f>(SingleBerryDW!F426/SingleBerryFW!F426)*100</f>
        <v>17.8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f>(SingleBerryDW!F427/SingleBerryFW!F427)*100</f>
        <v>7.1999999999999993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f>(SingleBerryDW!F428/SingleBerryFW!F428)*100</f>
        <v>7.8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f>(SingleBerryDW!F429/SingleBerryFW!F429)*100</f>
        <v>7.4000000000000012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f>(SingleBerryDW!F430/SingleBerryFW!F430)*100</f>
        <v>7.4000000000000012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f>(SingleBerryDW!F431/SingleBerryFW!F431)*100</f>
        <v>12.2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f>(SingleBerryDW!F432/SingleBerryFW!F432)*100</f>
        <v>11.8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f>(SingleBerryDW!F433/SingleBerryFW!F433)*100</f>
        <v>11.6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f>(SingleBerryDW!F434/SingleBerryFW!F434)*100</f>
        <v>12.000000000000002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f>(SingleBerryDW!F435/SingleBerryFW!F435)*100</f>
        <v>14.200000000000001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f>(SingleBerryDW!F436/SingleBerryFW!F436)*100</f>
        <v>14.200000000000001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f>(SingleBerryDW!F437/SingleBerryFW!F437)*100</f>
        <v>12.800000000000002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f>(SingleBerryDW!F438/SingleBerryFW!F438)*100</f>
        <v>14.100000000000001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f>(SingleBerryDW!F439/SingleBerryFW!F439)*100</f>
        <v>15.1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f>(SingleBerryDW!F440/SingleBerryFW!F440)*100</f>
        <v>15.7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f>(SingleBerryDW!F441/SingleBerryFW!F441)*100</f>
        <v>14.099999999999998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f>(SingleBerryDW!F442/SingleBerryFW!F442)*100</f>
        <v>15.299999999999999</v>
      </c>
    </row>
    <row r="443" spans="1:6" hidden="1" x14ac:dyDescent="0.25">
      <c r="A443" t="s">
        <v>7</v>
      </c>
      <c r="B443" s="2">
        <v>43194</v>
      </c>
      <c r="C443">
        <f t="shared" si="5"/>
        <v>2018</v>
      </c>
      <c r="E443" t="s">
        <v>6</v>
      </c>
      <c r="F443">
        <f>(SingleBerryDW!F443/SingleBerryFW!F443)*100</f>
        <v>15.600000000000003</v>
      </c>
    </row>
    <row r="444" spans="1:6" hidden="1" x14ac:dyDescent="0.25">
      <c r="A444" t="s">
        <v>7</v>
      </c>
      <c r="B444" s="2">
        <v>43194</v>
      </c>
      <c r="C444">
        <f t="shared" ref="C444:C507" si="6">YEAR(B444)</f>
        <v>2018</v>
      </c>
      <c r="E444" t="s">
        <v>6</v>
      </c>
      <c r="F444">
        <f>(SingleBerryDW!F444/SingleBerryFW!F444)*100</f>
        <v>16.600000000000005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f>(SingleBerryDW!F445/SingleBerryFW!F445)*100</f>
        <v>14.6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f>(SingleBerryDW!F446/SingleBerryFW!F446)*100</f>
        <v>15.8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f>(SingleBerryDW!F447/SingleBerryFW!F447)*100</f>
        <v>16.100000000000001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f>(SingleBerryDW!F448/SingleBerryFW!F448)*100</f>
        <v>16.399999999999999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f>(SingleBerryDW!F449/SingleBerryFW!F449)*100</f>
        <v>14.6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f>(SingleBerryDW!F450/SingleBerryFW!F450)*100</f>
        <v>16.300000000000004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f>(SingleBerryDW!F451/SingleBerryFW!F451)*100</f>
        <v>16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f>(SingleBerryDW!F452/SingleBerryFW!F452)*100</f>
        <v>17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f>(SingleBerryDW!F453/SingleBerryFW!F453)*100</f>
        <v>15.299999999999999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f>(SingleBerryDW!F454/SingleBerryFW!F454)*100</f>
        <v>16.600000000000001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f>(SingleBerryDW!F455/SingleBerryFW!F455)*100</f>
        <v>15.6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f>(SingleBerryDW!F456/SingleBerryFW!F456)*100</f>
        <v>16.600000000000005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f>(SingleBerryDW!F457/SingleBerryFW!F457)*100</f>
        <v>17.100000000000001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f>(SingleBerryDW!F458/SingleBerryFW!F458)*100</f>
        <v>17.100000000000005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f>(SingleBerryDW!F459/SingleBerryFW!F459)*100</f>
        <v>15.7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f>(SingleBerryDW!F460/SingleBerryFW!F460)*100</f>
        <v>16.600000000000001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f>(SingleBerryDW!F461/SingleBerryFW!F461)*100</f>
        <v>17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f>(SingleBerryDW!F462/SingleBerryFW!F462)*100</f>
        <v>17.2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f>(SingleBerryDW!F463/SingleBerryFW!F463)*100</f>
        <v>16.600000000000001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f>(SingleBerryDW!F464/SingleBerryFW!F464)*100</f>
        <v>17.899999999999999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f>(SingleBerryDW!F465/SingleBerryFW!F465)*100</f>
        <v>16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f>(SingleBerryDW!F466/SingleBerryFW!F466)*100</f>
        <v>17.7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f>(SingleBerryDW!F467/SingleBerryFW!F467)*100</f>
        <v>17.2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f>(SingleBerryDW!F468/SingleBerryFW!F468)*100</f>
        <v>18.399999999999999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f>(SingleBerryDW!F469/SingleBerryFW!F469)*100</f>
        <v>16.600000000000001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f>(SingleBerryDW!F470/SingleBerryFW!F470)*100</f>
        <v>17.8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f>(SingleBerryDW!F471/SingleBerryFW!F471)*100</f>
        <v>8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f>(SingleBerryDW!F472/SingleBerryFW!F472)*100</f>
        <v>7.4000000000000012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f>(SingleBerryDW!F473/SingleBerryFW!F473)*100</f>
        <v>7.6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f>(SingleBerryDW!F474/SingleBerryFW!F474)*100</f>
        <v>7.7999999999999989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f>(SingleBerryDW!F475/SingleBerryFW!F475)*100</f>
        <v>13.3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f>(SingleBerryDW!F476/SingleBerryFW!F476)*100</f>
        <v>12.800000000000002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f>(SingleBerryDW!F477/SingleBerryFW!F477)*100</f>
        <v>12.899999999999997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f>(SingleBerryDW!F478/SingleBerryFW!F478)*100</f>
        <v>13.4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f>(SingleBerryDW!F479/SingleBerryFW!F479)*100</f>
        <v>14.499999999999998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f>(SingleBerryDW!F480/SingleBerryFW!F480)*100</f>
        <v>14.700000000000003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f>(SingleBerryDW!F481/SingleBerryFW!F481)*100</f>
        <v>15.200000000000003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f>(SingleBerryDW!F482/SingleBerryFW!F482)*100</f>
        <v>15.8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f>(SingleBerryDW!F483/SingleBerryFW!F483)*100</f>
        <v>15.4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f>(SingleBerryDW!F484/SingleBerryFW!F484)*100</f>
        <v>16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f>(SingleBerryDW!F485/SingleBerryFW!F485)*100</f>
        <v>16.100000000000001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f>(SingleBerryDW!F486/SingleBerryFW!F486)*100</f>
        <v>16.400000000000002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f>(SingleBerryDW!F487/SingleBerryFW!F487)*100</f>
        <v>16.600000000000001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f>(SingleBerryDW!F488/SingleBerryFW!F488)*100</f>
        <v>15.7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f>(SingleBerryDW!F489/SingleBerryFW!F489)*100</f>
        <v>16.5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f>(SingleBerryDW!F490/SingleBerryFW!F490)*100</f>
        <v>16.3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f>(SingleBerryDW!F491/SingleBerryFW!F491)*100</f>
        <v>16.899999999999999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f>(SingleBerryDW!F492/SingleBerryFW!F492)*100</f>
        <v>16.3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f>(SingleBerryDW!F493/SingleBerryFW!F493)*100</f>
        <v>16.600000000000001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f>(SingleBerryDW!F494/SingleBerryFW!F494)*100</f>
        <v>16.7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f>(SingleBerryDW!F495/SingleBerryFW!F495)*100</f>
        <v>17.299999999999997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f>(SingleBerryDW!F496/SingleBerryFW!F496)*100</f>
        <v>16.399999999999999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f>(SingleBerryDW!F497/SingleBerryFW!F497)*100</f>
        <v>16.400000000000002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f>(SingleBerryDW!F498/SingleBerryFW!F498)*100</f>
        <v>16.8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f>(SingleBerryDW!F499/SingleBerryFW!F499)*100</f>
        <v>17.399999999999999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f>(SingleBerryDW!F500/SingleBerryFW!F500)*100</f>
        <v>16.3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f>(SingleBerryDW!F501/SingleBerryFW!F501)*100</f>
        <v>16.7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f>(SingleBerryDW!F502/SingleBerryFW!F502)*100</f>
        <v>16.899999999999999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f>(SingleBerryDW!F503/SingleBerryFW!F503)*100</f>
        <v>17.599999999999998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f>(SingleBerryDW!F504/SingleBerryFW!F504)*100</f>
        <v>16.600000000000001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f>(SingleBerryDW!F505/SingleBerryFW!F505)*100</f>
        <v>18.3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f>(SingleBerryDW!F506/SingleBerryFW!F506)*100</f>
        <v>17.5</v>
      </c>
    </row>
    <row r="507" spans="1:6" hidden="1" x14ac:dyDescent="0.25">
      <c r="A507" t="s">
        <v>7</v>
      </c>
      <c r="B507" s="2">
        <v>43613</v>
      </c>
      <c r="C507">
        <f t="shared" si="6"/>
        <v>2019</v>
      </c>
      <c r="E507" t="s">
        <v>6</v>
      </c>
      <c r="F507">
        <f>(SingleBerryDW!F507/SingleBerryFW!F507)*100</f>
        <v>17.599999999999998</v>
      </c>
    </row>
    <row r="508" spans="1:6" hidden="1" x14ac:dyDescent="0.25">
      <c r="A508" t="s">
        <v>7</v>
      </c>
      <c r="B508" s="2">
        <v>43613</v>
      </c>
      <c r="C508">
        <f t="shared" ref="C508:C571" si="7">YEAR(B508)</f>
        <v>2019</v>
      </c>
      <c r="E508" t="s">
        <v>6</v>
      </c>
      <c r="F508">
        <f>(SingleBerryDW!F508/SingleBerryFW!F508)*100</f>
        <v>17.700000000000003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f>(SingleBerryDW!F509/SingleBerryFW!F509)*100</f>
        <v>8.6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f>(SingleBerryDW!F510/SingleBerryFW!F510)*100</f>
        <v>8.6000000000000014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f>(SingleBerryDW!F511/SingleBerryFW!F511)*100</f>
        <v>8.9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f>(SingleBerryDW!F512/SingleBerryFW!F512)*100</f>
        <v>13.3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f>(SingleBerryDW!F513/SingleBerryFW!F513)*100</f>
        <v>12.799999999999997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f>(SingleBerryDW!F514/SingleBerryFW!F514)*100</f>
        <v>13.5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f>(SingleBerryDW!F515/SingleBerryFW!F515)*100</f>
        <v>14.900000000000002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f>(SingleBerryDW!F516/SingleBerryFW!F516)*100</f>
        <v>14.900000000000002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f>(SingleBerryDW!F517/SingleBerryFW!F517)*100</f>
        <v>14.400000000000002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f>(SingleBerryDW!F518/SingleBerryFW!F518)*100</f>
        <v>16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f>(SingleBerryDW!F519/SingleBerryFW!F519)*100</f>
        <v>16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f>(SingleBerryDW!F520/SingleBerryFW!F520)*100</f>
        <v>15.4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f>(SingleBerryDW!F521/SingleBerryFW!F521)*100</f>
        <v>18.5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f>(SingleBerryDW!F522/SingleBerryFW!F522)*100</f>
        <v>18.5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f>(SingleBerryDW!F523/SingleBerryFW!F523)*100</f>
        <v>17.299999999999997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f>(SingleBerryDW!F524/SingleBerryFW!F524)*100</f>
        <v>18.899999999999999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f>(SingleBerryDW!F525/SingleBerryFW!F525)*100</f>
        <v>18.8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f>(SingleBerryDW!F526/SingleBerryFW!F526)*100</f>
        <v>17.5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f>(SingleBerryDW!F527/SingleBerryFW!F527)*100</f>
        <v>18.999999999999996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f>(SingleBerryDW!F528/SingleBerryFW!F528)*100</f>
        <v>18.199999999999996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f>(SingleBerryDW!F529/SingleBerryFW!F529)*100</f>
        <v>10.13879683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f>(SingleBerryDW!F530/SingleBerryFW!F530)*100</f>
        <v>8.9871780220000002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f>(SingleBerryDW!F531/SingleBerryFW!F531)*100</f>
        <v>9.5918194680000006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f>(SingleBerryDW!F532/SingleBerryFW!F532)*100</f>
        <v>12.588401129999999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f>(SingleBerryDW!F533/SingleBerryFW!F533)*100</f>
        <v>12.309720889999999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f>(SingleBerryDW!F534/SingleBerryFW!F534)*100</f>
        <v>11.80923168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f>(SingleBerryDW!F535/SingleBerryFW!F535)*100</f>
        <v>14.489709960000003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f>(SingleBerryDW!F536/SingleBerryFW!F536)*100</f>
        <v>15.025325560000002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f>(SingleBerryDW!F537/SingleBerryFW!F537)*100</f>
        <v>14.567588619999999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f>(SingleBerryDW!F538/SingleBerryFW!F538)*100</f>
        <v>15.51031553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f>(SingleBerryDW!F539/SingleBerryFW!F539)*100</f>
        <v>16.65752165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f>(SingleBerryDW!F540/SingleBerryFW!F540)*100</f>
        <v>16.516183529999999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f>(SingleBerryDW!F541/SingleBerryFW!F541)*100</f>
        <v>17.496831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f>(SingleBerryDW!F542/SingleBerryFW!F542)*100</f>
        <v>16.263976929999998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f>(SingleBerryDW!F543/SingleBerryFW!F543)*100</f>
        <v>16.644487419999997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f>(SingleBerryDW!F544/SingleBerryFW!F544)*100</f>
        <v>17.395084430000001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f>(SingleBerryDW!F545/SingleBerryFW!F545)*100</f>
        <v>17.0100801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f>(SingleBerryDW!F546/SingleBerryFW!F546)*100</f>
        <v>16.621431399999999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f>(SingleBerryDW!F547/SingleBerryFW!F547)*100</f>
        <v>17.17040458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f>(SingleBerryDW!F548/SingleBerryFW!F548)*100</f>
        <v>17.699558069999998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f>(SingleBerryDW!F549/SingleBerryFW!F549)*100</f>
        <v>17.108626829999999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f>(SingleBerryDW!F550/SingleBerryFW!F550)*100</f>
        <v>17.549679300000001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f>(SingleBerryDW!F551/SingleBerryFW!F551)*100</f>
        <v>17.88764406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f>(SingleBerryDW!F552/SingleBerryFW!F552)*100</f>
        <v>17.83926323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f>(SingleBerryDW!F553/SingleBerryFW!F553)*100</f>
        <v>18.53625375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f>(SingleBerryDW!F554/SingleBerryFW!F554)*100</f>
        <v>17.838277249999997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f>(SingleBerryDW!F555/SingleBerryFW!F555)*100</f>
        <v>18.04045911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f>(SingleBerryDW!F556/SingleBerryFW!F556)*100</f>
        <v>19.368199059999995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f>(SingleBerryDW!F557/SingleBerryFW!F557)*100</f>
        <v>18.251158749999998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f>(SingleBerryDW!F558/SingleBerryFW!F558)*100</f>
        <v>18.661880759999999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f>(SingleBerryDW!F559/SingleBerryFW!F559)*100</f>
        <v>18.629489569999997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f>(SingleBerryDW!F560/SingleBerryFW!F560)*100</f>
        <v>18.968877419999998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f>(SingleBerryDW!F561/SingleBerryFW!F561)*100</f>
        <v>18.861529709999999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f>(SingleBerryDW!F562/SingleBerryFW!F562)*100</f>
        <v>10.1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f>(SingleBerryDW!F563/SingleBerryFW!F563)*100</f>
        <v>15.300000000000002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f>(SingleBerryDW!F564/SingleBerryFW!F564)*100</f>
        <v>16.5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f>(SingleBerryDW!F565/SingleBerryFW!F565)*100</f>
        <v>16.100000000000001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f>(SingleBerryDW!F566/SingleBerryFW!F566)*100</f>
        <v>16.600000000000005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f>(SingleBerryDW!F567/SingleBerryFW!F567)*100</f>
        <v>17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f>(SingleBerryDW!F568/SingleBerryFW!F568)*100</f>
        <v>17.3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f>(SingleBerryDW!F569/SingleBerryFW!F569)*100</f>
        <v>10.189048139999999</v>
      </c>
    </row>
    <row r="570" spans="1:6" hidden="1" x14ac:dyDescent="0.25">
      <c r="A570" t="s">
        <v>8</v>
      </c>
      <c r="B570" s="2">
        <v>44245</v>
      </c>
      <c r="C570">
        <f t="shared" si="7"/>
        <v>2021</v>
      </c>
      <c r="E570" t="s">
        <v>9</v>
      </c>
      <c r="F570">
        <f>(SingleBerryDW!F570/SingleBerryFW!F570)*100</f>
        <v>13.187815029999999</v>
      </c>
    </row>
    <row r="571" spans="1:6" hidden="1" x14ac:dyDescent="0.25">
      <c r="A571" t="s">
        <v>8</v>
      </c>
      <c r="B571" s="2">
        <v>44256</v>
      </c>
      <c r="C571">
        <f t="shared" si="7"/>
        <v>2021</v>
      </c>
      <c r="E571" t="s">
        <v>9</v>
      </c>
      <c r="F571">
        <f>(SingleBerryDW!F571/SingleBerryFW!F571)*100</f>
        <v>14.327754919999999</v>
      </c>
    </row>
    <row r="572" spans="1:6" hidden="1" x14ac:dyDescent="0.25">
      <c r="A572" t="s">
        <v>8</v>
      </c>
      <c r="B572" s="2">
        <v>44271</v>
      </c>
      <c r="C572">
        <f t="shared" ref="C572:C612" si="8">YEAR(B572)</f>
        <v>2021</v>
      </c>
      <c r="E572" t="s">
        <v>9</v>
      </c>
      <c r="F572">
        <f>(SingleBerryDW!F572/SingleBerryFW!F572)*100</f>
        <v>14.806242410000001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f>(SingleBerryDW!F573/SingleBerryFW!F573)*100</f>
        <v>15.547038700000002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f>(SingleBerryDW!F574/SingleBerryFW!F574)*100</f>
        <v>15.93281812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f>(SingleBerryDW!F575/SingleBerryFW!F575)*100</f>
        <v>15.991152989999998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f>(SingleBerryDW!F576/SingleBerryFW!F576)*100</f>
        <v>16.40011294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f>(SingleBerryDW!F577/SingleBerryFW!F577)*100</f>
        <v>16.644749740000002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f>(SingleBerryDW!F578/SingleBerryFW!F578)*100</f>
        <v>17.180538370000001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f>(SingleBerryDW!F579/SingleBerryFW!F579)*100</f>
        <v>17.54431529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f>(SingleBerryDW!F580/SingleBerryFW!F580)*100</f>
        <v>9.8000000000000007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f>(SingleBerryDW!F581/SingleBerryFW!F581)*100</f>
        <v>12.6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f>(SingleBerryDW!F582/SingleBerryFW!F582)*100</f>
        <v>14.7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f>(SingleBerryDW!F583/SingleBerryFW!F583)*100</f>
        <v>16.100000000000001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f>(SingleBerryDW!F584/SingleBerryFW!F584)*100</f>
        <v>15.299999999999999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f>(SingleBerryDW!F585/SingleBerryFW!F585)*100</f>
        <v>16.899999999999999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f>(SingleBerryDW!F586/SingleBerryFW!F586)*100</f>
        <v>16.899999999999999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f>(SingleBerryDW!F587/SingleBerryFW!F587)*100</f>
        <v>16.899999999999995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f>(SingleBerryDW!F588/SingleBerryFW!F588)*100</f>
        <v>17.7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f>(SingleBerryDW!F589/SingleBerryFW!F589)*100</f>
        <v>18.000000000000004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f>(SingleBerryDW!F590/SingleBerryFW!F590)*100</f>
        <v>18.3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f>(SingleBerryDW!F591/SingleBerryFW!F591)*100</f>
        <v>9.4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f>(SingleBerryDW!F592/SingleBerryFW!F592)*100</f>
        <v>12.8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f>(SingleBerryDW!F593/SingleBerryFW!F593)*100</f>
        <v>15.4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f>(SingleBerryDW!F594/SingleBerryFW!F594)*100</f>
        <v>16.2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f>(SingleBerryDW!F595/SingleBerryFW!F595)*100</f>
        <v>17.200000000000003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f>(SingleBerryDW!F596/SingleBerryFW!F596)*100</f>
        <v>18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f>(SingleBerryDW!F597/SingleBerryFW!F597)*100</f>
        <v>18.399999999999999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f>(SingleBerryDW!F598/SingleBerryFW!F598)*100</f>
        <v>18.500000000000004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f>(SingleBerryDW!F599/SingleBerryFW!F599)*100</f>
        <v>18.800000000000004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f>(SingleBerryDW!F600/SingleBerryFW!F600)*100</f>
        <v>19.300000000000004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f>(SingleBerryDW!F601/SingleBerryFW!F601)*100</f>
        <v>19.300000000000004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f>(SingleBerryDW!F602/SingleBerryFW!F602)*100</f>
        <v>9.9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f>(SingleBerryDW!F603/SingleBerryFW!F603)*100</f>
        <v>13.100000000000001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f>(SingleBerryDW!F604/SingleBerryFW!F604)*100</f>
        <v>14.900000000000002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f>(SingleBerryDW!F605/SingleBerryFW!F605)*100</f>
        <v>16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f>(SingleBerryDW!F606/SingleBerryFW!F606)*100</f>
        <v>16.7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f>(SingleBerryDW!F607/SingleBerryFW!F607)*100</f>
        <v>17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f>(SingleBerryDW!F608/SingleBerryFW!F608)*100</f>
        <v>17.3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f>(SingleBerryDW!F609/SingleBerryFW!F609)*100</f>
        <v>17.7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f>(SingleBerryDW!F610/SingleBerryFW!F610)*100</f>
        <v>17.899999999999995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f>(SingleBerryDW!F611/SingleBerryFW!F611)*100</f>
        <v>17.8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f>(SingleBerryDW!F612/SingleBerryFW!F612)*100</f>
        <v>17.899999999999999</v>
      </c>
    </row>
    <row r="613" spans="1:6" hidden="1" x14ac:dyDescent="0.25"/>
    <row r="614" spans="1:6" hidden="1" x14ac:dyDescent="0.25">
      <c r="A614" t="s">
        <v>10</v>
      </c>
      <c r="B614" s="2">
        <v>42387</v>
      </c>
      <c r="C614">
        <v>2016</v>
      </c>
      <c r="E614" t="s">
        <v>6</v>
      </c>
      <c r="F614">
        <f>(SingleBerryDW!F614/SingleBerryFW!F614)*100</f>
        <v>7.3999999999999995</v>
      </c>
    </row>
    <row r="615" spans="1:6" hidden="1" x14ac:dyDescent="0.25">
      <c r="A615" t="s">
        <v>10</v>
      </c>
      <c r="B615" s="2">
        <v>42387</v>
      </c>
      <c r="C615">
        <v>2016</v>
      </c>
      <c r="E615" t="s">
        <v>6</v>
      </c>
      <c r="F615">
        <f>(SingleBerryDW!F615/SingleBerryFW!F615)*100</f>
        <v>6.8999999999999995</v>
      </c>
    </row>
    <row r="616" spans="1:6" hidden="1" x14ac:dyDescent="0.25">
      <c r="A616" t="s">
        <v>10</v>
      </c>
      <c r="B616" s="2">
        <v>42423</v>
      </c>
      <c r="C616">
        <v>2016</v>
      </c>
      <c r="E616" t="s">
        <v>6</v>
      </c>
      <c r="F616">
        <f>(SingleBerryDW!F616/SingleBerryFW!F616)*100</f>
        <v>11.8</v>
      </c>
    </row>
    <row r="617" spans="1:6" hidden="1" x14ac:dyDescent="0.25">
      <c r="A617" t="s">
        <v>10</v>
      </c>
      <c r="B617" s="2">
        <v>42423</v>
      </c>
      <c r="C617">
        <v>2016</v>
      </c>
      <c r="E617" t="s">
        <v>6</v>
      </c>
      <c r="F617">
        <f>(SingleBerryDW!F617/SingleBerryFW!F617)*100</f>
        <v>11.899999999999999</v>
      </c>
    </row>
    <row r="618" spans="1:6" hidden="1" x14ac:dyDescent="0.25">
      <c r="A618" t="s">
        <v>10</v>
      </c>
      <c r="B618" s="2">
        <v>42437</v>
      </c>
      <c r="C618">
        <v>2016</v>
      </c>
      <c r="E618" t="s">
        <v>6</v>
      </c>
      <c r="F618">
        <f>(SingleBerryDW!F618/SingleBerryFW!F618)*100</f>
        <v>13.399999999999999</v>
      </c>
    </row>
    <row r="619" spans="1:6" hidden="1" x14ac:dyDescent="0.25">
      <c r="A619" t="s">
        <v>10</v>
      </c>
      <c r="B619" s="2">
        <v>42437</v>
      </c>
      <c r="C619">
        <v>2016</v>
      </c>
      <c r="E619" t="s">
        <v>6</v>
      </c>
      <c r="F619">
        <f>(SingleBerryDW!F619/SingleBerryFW!F619)*100</f>
        <v>13.600000000000001</v>
      </c>
    </row>
    <row r="620" spans="1:6" hidden="1" x14ac:dyDescent="0.25">
      <c r="A620" t="s">
        <v>10</v>
      </c>
      <c r="B620" s="2">
        <v>42451</v>
      </c>
      <c r="C620">
        <v>2016</v>
      </c>
      <c r="E620" t="s">
        <v>6</v>
      </c>
      <c r="F620">
        <f>(SingleBerryDW!F620/SingleBerryFW!F620)*100</f>
        <v>14.299999999999999</v>
      </c>
    </row>
    <row r="621" spans="1:6" hidden="1" x14ac:dyDescent="0.25">
      <c r="A621" t="s">
        <v>10</v>
      </c>
      <c r="B621" s="2">
        <v>42451</v>
      </c>
      <c r="C621">
        <v>2016</v>
      </c>
      <c r="E621" t="s">
        <v>6</v>
      </c>
      <c r="F621">
        <f>(SingleBerryDW!F621/SingleBerryFW!F621)*100</f>
        <v>14.899999999999999</v>
      </c>
    </row>
    <row r="622" spans="1:6" hidden="1" x14ac:dyDescent="0.25">
      <c r="A622" t="s">
        <v>10</v>
      </c>
      <c r="B622" s="2">
        <v>42466</v>
      </c>
      <c r="C622">
        <v>2016</v>
      </c>
      <c r="E622" t="s">
        <v>6</v>
      </c>
      <c r="F622">
        <f>(SingleBerryDW!F622/SingleBerryFW!F622)*100</f>
        <v>14.500000000000002</v>
      </c>
    </row>
    <row r="623" spans="1:6" hidden="1" x14ac:dyDescent="0.25">
      <c r="A623" t="s">
        <v>10</v>
      </c>
      <c r="B623" s="2">
        <v>42467</v>
      </c>
      <c r="C623">
        <v>2016</v>
      </c>
      <c r="E623" t="s">
        <v>6</v>
      </c>
      <c r="F623">
        <f>(SingleBerryDW!F623/SingleBerryFW!F623)*100</f>
        <v>15.299999999999999</v>
      </c>
    </row>
    <row r="624" spans="1:6" hidden="1" x14ac:dyDescent="0.25">
      <c r="A624" t="s">
        <v>10</v>
      </c>
      <c r="B624" s="2">
        <v>42474</v>
      </c>
      <c r="C624">
        <v>2016</v>
      </c>
      <c r="E624" t="s">
        <v>6</v>
      </c>
      <c r="F624">
        <f>(SingleBerryDW!F624/SingleBerryFW!F624)*100</f>
        <v>15.300000000000002</v>
      </c>
    </row>
    <row r="625" spans="1:6" hidden="1" x14ac:dyDescent="0.25">
      <c r="A625" t="s">
        <v>10</v>
      </c>
      <c r="B625" s="2">
        <v>42475</v>
      </c>
      <c r="C625">
        <v>2016</v>
      </c>
      <c r="E625" t="s">
        <v>6</v>
      </c>
      <c r="F625">
        <f>(SingleBerryDW!F625/SingleBerryFW!F625)*100</f>
        <v>15.2</v>
      </c>
    </row>
    <row r="626" spans="1:6" hidden="1" x14ac:dyDescent="0.25">
      <c r="A626" t="s">
        <v>10</v>
      </c>
      <c r="B626" s="2">
        <v>42482</v>
      </c>
      <c r="C626">
        <v>2016</v>
      </c>
      <c r="E626" t="s">
        <v>6</v>
      </c>
      <c r="F626">
        <f>(SingleBerryDW!F626/SingleBerryFW!F626)*100</f>
        <v>15</v>
      </c>
    </row>
    <row r="627" spans="1:6" hidden="1" x14ac:dyDescent="0.25">
      <c r="A627" t="s">
        <v>10</v>
      </c>
      <c r="B627" s="2">
        <v>42482</v>
      </c>
      <c r="C627">
        <v>2016</v>
      </c>
      <c r="E627" t="s">
        <v>6</v>
      </c>
      <c r="F627">
        <f>(SingleBerryDW!F627/SingleBerryFW!F627)*100</f>
        <v>15.599999999999998</v>
      </c>
    </row>
    <row r="628" spans="1:6" hidden="1" x14ac:dyDescent="0.25">
      <c r="A628" t="s">
        <v>10</v>
      </c>
      <c r="B628" s="2">
        <v>42486</v>
      </c>
      <c r="C628">
        <v>2016</v>
      </c>
      <c r="E628" t="s">
        <v>6</v>
      </c>
      <c r="F628">
        <f>(SingleBerryDW!F628/SingleBerryFW!F628)*100</f>
        <v>15.5</v>
      </c>
    </row>
    <row r="629" spans="1:6" hidden="1" x14ac:dyDescent="0.25">
      <c r="A629" t="s">
        <v>10</v>
      </c>
      <c r="B629" s="2">
        <v>42486</v>
      </c>
      <c r="C629">
        <v>2016</v>
      </c>
      <c r="E629" t="s">
        <v>6</v>
      </c>
      <c r="F629">
        <f>(SingleBerryDW!F629/SingleBerryFW!F629)*100</f>
        <v>15.6</v>
      </c>
    </row>
    <row r="630" spans="1:6" hidden="1" x14ac:dyDescent="0.25">
      <c r="A630" t="s">
        <v>10</v>
      </c>
      <c r="B630" s="2">
        <v>42493</v>
      </c>
      <c r="C630">
        <v>2016</v>
      </c>
      <c r="E630" t="s">
        <v>6</v>
      </c>
      <c r="F630">
        <f>(SingleBerryDW!F630/SingleBerryFW!F630)*100</f>
        <v>15.7</v>
      </c>
    </row>
    <row r="631" spans="1:6" hidden="1" x14ac:dyDescent="0.25">
      <c r="A631" t="s">
        <v>10</v>
      </c>
      <c r="B631" s="2">
        <v>42493</v>
      </c>
      <c r="C631">
        <v>2016</v>
      </c>
      <c r="E631" t="s">
        <v>6</v>
      </c>
      <c r="F631">
        <f>(SingleBerryDW!F631/SingleBerryFW!F631)*100</f>
        <v>16.5</v>
      </c>
    </row>
    <row r="632" spans="1:6" hidden="1" x14ac:dyDescent="0.25">
      <c r="A632" t="s">
        <v>10</v>
      </c>
      <c r="B632" s="2">
        <v>42510</v>
      </c>
      <c r="C632">
        <v>2016</v>
      </c>
      <c r="E632" t="s">
        <v>6</v>
      </c>
      <c r="F632">
        <f>(SingleBerryDW!F632/SingleBerryFW!F632)*100</f>
        <v>15.800000000000002</v>
      </c>
    </row>
    <row r="633" spans="1:6" hidden="1" x14ac:dyDescent="0.25">
      <c r="A633" t="s">
        <v>10</v>
      </c>
      <c r="B633" s="2">
        <v>42510</v>
      </c>
      <c r="C633">
        <v>2016</v>
      </c>
      <c r="E633" t="s">
        <v>6</v>
      </c>
      <c r="F633">
        <f>(SingleBerryDW!F633/SingleBerryFW!F633)*100</f>
        <v>16.600000000000001</v>
      </c>
    </row>
    <row r="634" spans="1:6" hidden="1" x14ac:dyDescent="0.25">
      <c r="A634" t="s">
        <v>10</v>
      </c>
      <c r="B634" s="2">
        <v>42521</v>
      </c>
      <c r="C634">
        <v>2016</v>
      </c>
      <c r="E634" t="s">
        <v>6</v>
      </c>
      <c r="F634">
        <f>(SingleBerryDW!F634/SingleBerryFW!F634)*100</f>
        <v>15.900000000000002</v>
      </c>
    </row>
    <row r="635" spans="1:6" hidden="1" x14ac:dyDescent="0.25">
      <c r="A635" t="s">
        <v>10</v>
      </c>
      <c r="B635" s="2">
        <v>42521</v>
      </c>
      <c r="C635">
        <v>2016</v>
      </c>
      <c r="E635" t="s">
        <v>6</v>
      </c>
      <c r="F635">
        <f>(SingleBerryDW!F635/SingleBerryFW!F635)*100</f>
        <v>16.600000000000001</v>
      </c>
    </row>
    <row r="636" spans="1:6" hidden="1" x14ac:dyDescent="0.25">
      <c r="A636" t="s">
        <v>10</v>
      </c>
      <c r="B636" s="2">
        <v>42535</v>
      </c>
      <c r="C636">
        <v>2016</v>
      </c>
      <c r="E636" t="s">
        <v>6</v>
      </c>
      <c r="F636">
        <f>(SingleBerryDW!F636/SingleBerryFW!F636)*100</f>
        <v>16.899999999999999</v>
      </c>
    </row>
    <row r="637" spans="1:6" hidden="1" x14ac:dyDescent="0.25">
      <c r="A637" t="s">
        <v>10</v>
      </c>
      <c r="B637" s="2">
        <v>42535</v>
      </c>
      <c r="C637">
        <v>2016</v>
      </c>
      <c r="E637" t="s">
        <v>6</v>
      </c>
      <c r="F637">
        <f>(SingleBerryDW!F637/SingleBerryFW!F637)*100</f>
        <v>17.100000000000005</v>
      </c>
    </row>
    <row r="638" spans="1:6" hidden="1" x14ac:dyDescent="0.25">
      <c r="A638" t="s">
        <v>10</v>
      </c>
      <c r="B638" s="2">
        <v>42386</v>
      </c>
      <c r="C638">
        <v>2016</v>
      </c>
      <c r="E638" t="s">
        <v>6</v>
      </c>
      <c r="F638">
        <f>(SingleBerryDW!F638/SingleBerryFW!F638)*100</f>
        <v>7.2000000000000011</v>
      </c>
    </row>
    <row r="639" spans="1:6" hidden="1" x14ac:dyDescent="0.25">
      <c r="A639" t="s">
        <v>10</v>
      </c>
      <c r="B639" s="2">
        <v>42424</v>
      </c>
      <c r="C639">
        <v>2016</v>
      </c>
      <c r="E639" t="s">
        <v>6</v>
      </c>
      <c r="F639">
        <f>(SingleBerryDW!F639/SingleBerryFW!F639)*100</f>
        <v>12.7</v>
      </c>
    </row>
    <row r="640" spans="1:6" hidden="1" x14ac:dyDescent="0.25">
      <c r="A640" t="s">
        <v>10</v>
      </c>
      <c r="B640" s="2">
        <v>42439</v>
      </c>
      <c r="C640">
        <v>2016</v>
      </c>
      <c r="E640" t="s">
        <v>6</v>
      </c>
      <c r="F640">
        <f>(SingleBerryDW!F640/SingleBerryFW!F640)*100</f>
        <v>14.400000000000002</v>
      </c>
    </row>
    <row r="641" spans="1:6" hidden="1" x14ac:dyDescent="0.25">
      <c r="A641" t="s">
        <v>10</v>
      </c>
      <c r="B641" s="2">
        <v>42452</v>
      </c>
      <c r="C641">
        <v>2016</v>
      </c>
      <c r="E641" t="s">
        <v>6</v>
      </c>
      <c r="F641">
        <f>(SingleBerryDW!F641/SingleBerryFW!F641)*100</f>
        <v>15.4</v>
      </c>
    </row>
    <row r="642" spans="1:6" hidden="1" x14ac:dyDescent="0.25">
      <c r="A642" t="s">
        <v>10</v>
      </c>
      <c r="B642" s="2">
        <v>42467</v>
      </c>
      <c r="C642">
        <v>2016</v>
      </c>
      <c r="E642" t="s">
        <v>6</v>
      </c>
      <c r="F642">
        <f>(SingleBerryDW!F642/SingleBerryFW!F642)*100</f>
        <v>16</v>
      </c>
    </row>
    <row r="643" spans="1:6" hidden="1" x14ac:dyDescent="0.25">
      <c r="A643" t="s">
        <v>10</v>
      </c>
      <c r="B643" s="2">
        <v>42474</v>
      </c>
      <c r="C643">
        <v>2016</v>
      </c>
      <c r="E643" t="s">
        <v>6</v>
      </c>
      <c r="F643">
        <f>(SingleBerryDW!F643/SingleBerryFW!F643)*100</f>
        <v>16</v>
      </c>
    </row>
    <row r="644" spans="1:6" hidden="1" x14ac:dyDescent="0.25">
      <c r="A644" t="s">
        <v>10</v>
      </c>
      <c r="B644" s="2">
        <v>42482</v>
      </c>
      <c r="C644">
        <v>2016</v>
      </c>
      <c r="E644" t="s">
        <v>6</v>
      </c>
      <c r="F644">
        <f>(SingleBerryDW!F644/SingleBerryFW!F644)*100</f>
        <v>16.5</v>
      </c>
    </row>
    <row r="645" spans="1:6" hidden="1" x14ac:dyDescent="0.25">
      <c r="A645" t="s">
        <v>10</v>
      </c>
      <c r="B645" s="2">
        <v>42489</v>
      </c>
      <c r="C645">
        <v>2016</v>
      </c>
      <c r="E645" t="s">
        <v>6</v>
      </c>
      <c r="F645">
        <f>(SingleBerryDW!F645/SingleBerryFW!F645)*100</f>
        <v>16.600000000000001</v>
      </c>
    </row>
    <row r="646" spans="1:6" hidden="1" x14ac:dyDescent="0.25">
      <c r="A646" t="s">
        <v>10</v>
      </c>
      <c r="B646" s="2">
        <v>42496</v>
      </c>
      <c r="C646">
        <v>2016</v>
      </c>
      <c r="E646" t="s">
        <v>6</v>
      </c>
      <c r="F646">
        <f>(SingleBerryDW!F646/SingleBerryFW!F646)*100</f>
        <v>16.8</v>
      </c>
    </row>
    <row r="647" spans="1:6" hidden="1" x14ac:dyDescent="0.25">
      <c r="A647" t="s">
        <v>10</v>
      </c>
      <c r="B647" s="2">
        <v>42510</v>
      </c>
      <c r="C647">
        <v>2016</v>
      </c>
      <c r="E647" t="s">
        <v>6</v>
      </c>
      <c r="F647">
        <f>(SingleBerryDW!F647/SingleBerryFW!F647)*100</f>
        <v>17.700000000000003</v>
      </c>
    </row>
    <row r="648" spans="1:6" hidden="1" x14ac:dyDescent="0.25">
      <c r="A648" t="s">
        <v>10</v>
      </c>
      <c r="B648" s="2">
        <v>42523</v>
      </c>
      <c r="C648">
        <v>2016</v>
      </c>
      <c r="E648" t="s">
        <v>6</v>
      </c>
      <c r="F648">
        <f>(SingleBerryDW!F648/SingleBerryFW!F648)*100</f>
        <v>17.899999999999995</v>
      </c>
    </row>
    <row r="649" spans="1:6" hidden="1" x14ac:dyDescent="0.25">
      <c r="A649" t="s">
        <v>10</v>
      </c>
      <c r="B649" s="2">
        <v>42535</v>
      </c>
      <c r="C649">
        <v>2016</v>
      </c>
      <c r="E649" t="s">
        <v>6</v>
      </c>
      <c r="F649">
        <f>(SingleBerryDW!F649/SingleBerryFW!F649)*100</f>
        <v>17.899999999999999</v>
      </c>
    </row>
    <row r="650" spans="1:6" hidden="1" x14ac:dyDescent="0.25">
      <c r="A650" t="s">
        <v>10</v>
      </c>
      <c r="B650" s="2">
        <v>42386</v>
      </c>
      <c r="C650">
        <v>2016</v>
      </c>
      <c r="E650" t="s">
        <v>6</v>
      </c>
      <c r="F650">
        <f>(SingleBerryDW!F650/SingleBerryFW!F650)*100</f>
        <v>7.7</v>
      </c>
    </row>
    <row r="651" spans="1:6" hidden="1" x14ac:dyDescent="0.25">
      <c r="A651" t="s">
        <v>10</v>
      </c>
      <c r="B651" s="2">
        <v>42386</v>
      </c>
      <c r="C651">
        <v>2016</v>
      </c>
      <c r="E651" t="s">
        <v>6</v>
      </c>
      <c r="F651">
        <f>(SingleBerryDW!F651/SingleBerryFW!F651)*100</f>
        <v>7.1999999999999993</v>
      </c>
    </row>
    <row r="652" spans="1:6" hidden="1" x14ac:dyDescent="0.25">
      <c r="A652" t="s">
        <v>10</v>
      </c>
      <c r="B652" s="2">
        <v>42386</v>
      </c>
      <c r="C652">
        <v>2016</v>
      </c>
      <c r="E652" t="s">
        <v>6</v>
      </c>
      <c r="F652">
        <f>(SingleBerryDW!F652/SingleBerryFW!F652)*100</f>
        <v>7.3</v>
      </c>
    </row>
    <row r="653" spans="1:6" hidden="1" x14ac:dyDescent="0.25">
      <c r="A653" t="s">
        <v>10</v>
      </c>
      <c r="B653" s="2">
        <v>42389</v>
      </c>
      <c r="C653">
        <v>2016</v>
      </c>
      <c r="E653" t="s">
        <v>6</v>
      </c>
      <c r="F653">
        <f>(SingleBerryDW!F653/SingleBerryFW!F653)*100</f>
        <v>7.8</v>
      </c>
    </row>
    <row r="654" spans="1:6" hidden="1" x14ac:dyDescent="0.25">
      <c r="A654" t="s">
        <v>10</v>
      </c>
      <c r="B654" s="2">
        <v>42424</v>
      </c>
      <c r="C654">
        <v>2016</v>
      </c>
      <c r="E654" t="s">
        <v>6</v>
      </c>
      <c r="F654">
        <f>(SingleBerryDW!F654/SingleBerryFW!F654)*100</f>
        <v>13.3</v>
      </c>
    </row>
    <row r="655" spans="1:6" hidden="1" x14ac:dyDescent="0.25">
      <c r="A655" t="s">
        <v>10</v>
      </c>
      <c r="B655" s="2">
        <v>42424</v>
      </c>
      <c r="C655">
        <v>2016</v>
      </c>
      <c r="E655" t="s">
        <v>6</v>
      </c>
      <c r="F655">
        <f>(SingleBerryDW!F655/SingleBerryFW!F655)*100</f>
        <v>12.7</v>
      </c>
    </row>
    <row r="656" spans="1:6" hidden="1" x14ac:dyDescent="0.25">
      <c r="A656" t="s">
        <v>10</v>
      </c>
      <c r="B656" s="2">
        <v>42424</v>
      </c>
      <c r="C656">
        <v>2016</v>
      </c>
      <c r="E656" t="s">
        <v>6</v>
      </c>
      <c r="F656">
        <f>(SingleBerryDW!F656/SingleBerryFW!F656)*100</f>
        <v>11.600000000000001</v>
      </c>
    </row>
    <row r="657" spans="1:6" hidden="1" x14ac:dyDescent="0.25">
      <c r="A657" t="s">
        <v>10</v>
      </c>
      <c r="B657" s="2">
        <v>42424</v>
      </c>
      <c r="C657">
        <v>2016</v>
      </c>
      <c r="E657" t="s">
        <v>6</v>
      </c>
      <c r="F657">
        <f>(SingleBerryDW!F657/SingleBerryFW!F657)*100</f>
        <v>11.800000000000002</v>
      </c>
    </row>
    <row r="658" spans="1:6" hidden="1" x14ac:dyDescent="0.25">
      <c r="A658" t="s">
        <v>10</v>
      </c>
      <c r="B658" s="2">
        <v>42438</v>
      </c>
      <c r="C658">
        <v>2016</v>
      </c>
      <c r="E658" t="s">
        <v>6</v>
      </c>
      <c r="F658">
        <f>(SingleBerryDW!F658/SingleBerryFW!F658)*100</f>
        <v>13.600000000000001</v>
      </c>
    </row>
    <row r="659" spans="1:6" hidden="1" x14ac:dyDescent="0.25">
      <c r="A659" t="s">
        <v>10</v>
      </c>
      <c r="B659" s="2">
        <v>42439</v>
      </c>
      <c r="C659">
        <v>2016</v>
      </c>
      <c r="E659" t="s">
        <v>6</v>
      </c>
      <c r="F659">
        <f>(SingleBerryDW!F659/SingleBerryFW!F659)*100</f>
        <v>15</v>
      </c>
    </row>
    <row r="660" spans="1:6" hidden="1" x14ac:dyDescent="0.25">
      <c r="A660" t="s">
        <v>10</v>
      </c>
      <c r="B660" s="2">
        <v>42439</v>
      </c>
      <c r="C660">
        <v>2016</v>
      </c>
      <c r="E660" t="s">
        <v>6</v>
      </c>
      <c r="F660">
        <f>(SingleBerryDW!F660/SingleBerryFW!F660)*100</f>
        <v>14.2</v>
      </c>
    </row>
    <row r="661" spans="1:6" hidden="1" x14ac:dyDescent="0.25">
      <c r="A661" t="s">
        <v>10</v>
      </c>
      <c r="B661" s="2">
        <v>42439</v>
      </c>
      <c r="C661">
        <v>2016</v>
      </c>
      <c r="E661" t="s">
        <v>6</v>
      </c>
      <c r="F661">
        <f>(SingleBerryDW!F661/SingleBerryFW!F661)*100</f>
        <v>13.100000000000001</v>
      </c>
    </row>
    <row r="662" spans="1:6" hidden="1" x14ac:dyDescent="0.25">
      <c r="A662" t="s">
        <v>10</v>
      </c>
      <c r="B662" s="2">
        <v>42452</v>
      </c>
      <c r="C662">
        <v>2016</v>
      </c>
      <c r="E662" t="s">
        <v>6</v>
      </c>
      <c r="F662">
        <f>(SingleBerryDW!F662/SingleBerryFW!F662)*100</f>
        <v>15.800000000000002</v>
      </c>
    </row>
    <row r="663" spans="1:6" hidden="1" x14ac:dyDescent="0.25">
      <c r="A663" t="s">
        <v>10</v>
      </c>
      <c r="B663" s="2">
        <v>42452</v>
      </c>
      <c r="C663">
        <v>2016</v>
      </c>
      <c r="E663" t="s">
        <v>6</v>
      </c>
      <c r="F663">
        <f>(SingleBerryDW!F663/SingleBerryFW!F663)*100</f>
        <v>15</v>
      </c>
    </row>
    <row r="664" spans="1:6" hidden="1" x14ac:dyDescent="0.25">
      <c r="A664" t="s">
        <v>10</v>
      </c>
      <c r="B664" s="2">
        <v>42452</v>
      </c>
      <c r="C664">
        <v>2016</v>
      </c>
      <c r="E664" t="s">
        <v>6</v>
      </c>
      <c r="F664">
        <f>(SingleBerryDW!F664/SingleBerryFW!F664)*100</f>
        <v>14.099999999999998</v>
      </c>
    </row>
    <row r="665" spans="1:6" hidden="1" x14ac:dyDescent="0.25">
      <c r="A665" t="s">
        <v>10</v>
      </c>
      <c r="B665" s="2">
        <v>42452</v>
      </c>
      <c r="C665">
        <v>2016</v>
      </c>
      <c r="E665" t="s">
        <v>6</v>
      </c>
      <c r="F665">
        <f>(SingleBerryDW!F665/SingleBerryFW!F665)*100</f>
        <v>14.499999999999998</v>
      </c>
    </row>
    <row r="666" spans="1:6" hidden="1" x14ac:dyDescent="0.25">
      <c r="A666" t="s">
        <v>10</v>
      </c>
      <c r="B666" s="2">
        <v>42467</v>
      </c>
      <c r="C666">
        <v>2016</v>
      </c>
      <c r="E666" t="s">
        <v>6</v>
      </c>
      <c r="F666">
        <f>(SingleBerryDW!F666/SingleBerryFW!F666)*100</f>
        <v>16.7</v>
      </c>
    </row>
    <row r="667" spans="1:6" hidden="1" x14ac:dyDescent="0.25">
      <c r="A667" t="s">
        <v>10</v>
      </c>
      <c r="B667" s="2">
        <v>42467</v>
      </c>
      <c r="C667">
        <v>2016</v>
      </c>
      <c r="E667" t="s">
        <v>6</v>
      </c>
      <c r="F667">
        <f>(SingleBerryDW!F667/SingleBerryFW!F667)*100</f>
        <v>15.400000000000002</v>
      </c>
    </row>
    <row r="668" spans="1:6" hidden="1" x14ac:dyDescent="0.25">
      <c r="A668" t="s">
        <v>10</v>
      </c>
      <c r="B668" s="2">
        <v>42467</v>
      </c>
      <c r="C668">
        <v>2016</v>
      </c>
      <c r="E668" t="s">
        <v>6</v>
      </c>
      <c r="F668">
        <f>(SingleBerryDW!F668/SingleBerryFW!F668)*100</f>
        <v>15</v>
      </c>
    </row>
    <row r="669" spans="1:6" hidden="1" x14ac:dyDescent="0.25">
      <c r="A669" t="s">
        <v>10</v>
      </c>
      <c r="B669" s="2">
        <v>42467</v>
      </c>
      <c r="C669">
        <v>2016</v>
      </c>
      <c r="E669" t="s">
        <v>6</v>
      </c>
      <c r="F669">
        <f>(SingleBerryDW!F669/SingleBerryFW!F669)*100</f>
        <v>15.2</v>
      </c>
    </row>
    <row r="670" spans="1:6" hidden="1" x14ac:dyDescent="0.25">
      <c r="A670" t="s">
        <v>10</v>
      </c>
      <c r="B670" s="2">
        <v>42474</v>
      </c>
      <c r="C670">
        <v>2016</v>
      </c>
      <c r="E670" t="s">
        <v>6</v>
      </c>
      <c r="F670">
        <f>(SingleBerryDW!F670/SingleBerryFW!F670)*100</f>
        <v>15.400000000000002</v>
      </c>
    </row>
    <row r="671" spans="1:6" hidden="1" x14ac:dyDescent="0.25">
      <c r="A671" t="s">
        <v>10</v>
      </c>
      <c r="B671" s="2">
        <v>42475</v>
      </c>
      <c r="C671">
        <v>2016</v>
      </c>
      <c r="E671" t="s">
        <v>6</v>
      </c>
      <c r="F671">
        <f>(SingleBerryDW!F671/SingleBerryFW!F671)*100</f>
        <v>16.5</v>
      </c>
    </row>
    <row r="672" spans="1:6" hidden="1" x14ac:dyDescent="0.25">
      <c r="A672" t="s">
        <v>10</v>
      </c>
      <c r="B672" s="2">
        <v>42475</v>
      </c>
      <c r="C672">
        <v>2016</v>
      </c>
      <c r="E672" t="s">
        <v>6</v>
      </c>
      <c r="F672">
        <f>(SingleBerryDW!F672/SingleBerryFW!F672)*100</f>
        <v>15.7</v>
      </c>
    </row>
    <row r="673" spans="1:8" hidden="1" x14ac:dyDescent="0.25">
      <c r="A673" t="s">
        <v>10</v>
      </c>
      <c r="B673" s="2">
        <v>42475</v>
      </c>
      <c r="C673">
        <v>2016</v>
      </c>
      <c r="E673" t="s">
        <v>6</v>
      </c>
      <c r="F673">
        <f>(SingleBerryDW!F673/SingleBerryFW!F673)*100</f>
        <v>15.2</v>
      </c>
    </row>
    <row r="674" spans="1:8" hidden="1" x14ac:dyDescent="0.25">
      <c r="A674" t="s">
        <v>10</v>
      </c>
      <c r="B674" s="2">
        <v>42482</v>
      </c>
      <c r="C674">
        <v>2016</v>
      </c>
      <c r="E674" t="s">
        <v>6</v>
      </c>
      <c r="F674">
        <f>(SingleBerryDW!F674/SingleBerryFW!F674)*100</f>
        <v>16.900000000000002</v>
      </c>
    </row>
    <row r="675" spans="1:8" hidden="1" x14ac:dyDescent="0.25">
      <c r="A675" t="s">
        <v>10</v>
      </c>
      <c r="B675" s="2">
        <v>42482</v>
      </c>
      <c r="C675">
        <v>2016</v>
      </c>
      <c r="E675" t="s">
        <v>6</v>
      </c>
      <c r="F675">
        <f>(SingleBerryDW!F675/SingleBerryFW!F675)*100</f>
        <v>15.7</v>
      </c>
    </row>
    <row r="676" spans="1:8" hidden="1" x14ac:dyDescent="0.25">
      <c r="A676" t="s">
        <v>10</v>
      </c>
      <c r="B676" s="2">
        <v>42482</v>
      </c>
      <c r="C676">
        <v>2016</v>
      </c>
      <c r="E676" t="s">
        <v>6</v>
      </c>
      <c r="F676">
        <f>(SingleBerryDW!F676/SingleBerryFW!F676)*100</f>
        <v>15.5</v>
      </c>
    </row>
    <row r="677" spans="1:8" hidden="1" x14ac:dyDescent="0.25">
      <c r="A677" t="s">
        <v>10</v>
      </c>
      <c r="B677" s="2">
        <v>42482</v>
      </c>
      <c r="C677">
        <v>2016</v>
      </c>
      <c r="E677" t="s">
        <v>6</v>
      </c>
      <c r="F677">
        <f>(SingleBerryDW!F677/SingleBerryFW!F677)*100</f>
        <v>15.1</v>
      </c>
    </row>
    <row r="678" spans="1:8" hidden="1" x14ac:dyDescent="0.25">
      <c r="A678" t="s">
        <v>10</v>
      </c>
      <c r="B678" s="2">
        <v>42489</v>
      </c>
      <c r="C678">
        <v>2016</v>
      </c>
      <c r="E678" t="s">
        <v>6</v>
      </c>
      <c r="F678">
        <f>(SingleBerryDW!F678/SingleBerryFW!F678)*100</f>
        <v>17.399999999999999</v>
      </c>
    </row>
    <row r="679" spans="1:8" hidden="1" x14ac:dyDescent="0.25">
      <c r="A679" t="s">
        <v>10</v>
      </c>
      <c r="B679" s="2">
        <v>42489</v>
      </c>
      <c r="C679">
        <v>2016</v>
      </c>
      <c r="E679" t="s">
        <v>6</v>
      </c>
      <c r="F679">
        <f>(SingleBerryDW!F679/SingleBerryFW!F679)*100</f>
        <v>16</v>
      </c>
    </row>
    <row r="680" spans="1:8" hidden="1" x14ac:dyDescent="0.25">
      <c r="A680" t="s">
        <v>10</v>
      </c>
      <c r="B680" s="2">
        <v>42489</v>
      </c>
      <c r="C680">
        <v>2016</v>
      </c>
      <c r="E680" t="s">
        <v>6</v>
      </c>
      <c r="F680">
        <f>(SingleBerryDW!F680/SingleBerryFW!F680)*100</f>
        <v>15.7</v>
      </c>
    </row>
    <row r="681" spans="1:8" hidden="1" x14ac:dyDescent="0.25">
      <c r="A681" t="s">
        <v>10</v>
      </c>
      <c r="B681" s="2">
        <v>42489</v>
      </c>
      <c r="C681">
        <v>2016</v>
      </c>
      <c r="E681" t="s">
        <v>6</v>
      </c>
      <c r="F681">
        <f>(SingleBerryDW!F681/SingleBerryFW!F681)*100</f>
        <v>15.699999999999998</v>
      </c>
    </row>
    <row r="682" spans="1:8" hidden="1" x14ac:dyDescent="0.25">
      <c r="A682" t="s">
        <v>10</v>
      </c>
      <c r="B682" s="2">
        <v>42494</v>
      </c>
      <c r="C682">
        <v>2016</v>
      </c>
      <c r="E682" t="s">
        <v>6</v>
      </c>
      <c r="F682">
        <f>(SingleBerryDW!F682/SingleBerryFW!F682)*100</f>
        <v>16.100000000000001</v>
      </c>
      <c r="G682">
        <v>16.3</v>
      </c>
      <c r="H682" t="s">
        <v>27</v>
      </c>
    </row>
    <row r="683" spans="1:8" hidden="1" x14ac:dyDescent="0.25">
      <c r="A683" t="s">
        <v>10</v>
      </c>
      <c r="B683" s="2">
        <v>42496</v>
      </c>
      <c r="C683">
        <v>2016</v>
      </c>
      <c r="E683" t="s">
        <v>6</v>
      </c>
      <c r="F683">
        <f>(SingleBerryDW!F683/SingleBerryFW!F683)*100</f>
        <v>17.200000000000003</v>
      </c>
    </row>
    <row r="684" spans="1:8" hidden="1" x14ac:dyDescent="0.25">
      <c r="A684" t="s">
        <v>10</v>
      </c>
      <c r="B684" s="2">
        <v>42496</v>
      </c>
      <c r="C684">
        <v>2016</v>
      </c>
      <c r="E684" t="s">
        <v>6</v>
      </c>
      <c r="F684">
        <f>(SingleBerryDW!F684/SingleBerryFW!F684)*100</f>
        <v>16.100000000000001</v>
      </c>
    </row>
    <row r="685" spans="1:8" hidden="1" x14ac:dyDescent="0.25">
      <c r="A685" t="s">
        <v>10</v>
      </c>
      <c r="B685" s="2">
        <v>42496</v>
      </c>
      <c r="C685">
        <v>2016</v>
      </c>
      <c r="E685" t="s">
        <v>6</v>
      </c>
      <c r="F685">
        <f>(SingleBerryDW!F685/SingleBerryFW!F685)*100</f>
        <v>16.2</v>
      </c>
    </row>
    <row r="686" spans="1:8" hidden="1" x14ac:dyDescent="0.25">
      <c r="A686" t="s">
        <v>10</v>
      </c>
      <c r="B686" s="2">
        <v>42509</v>
      </c>
      <c r="C686">
        <v>2016</v>
      </c>
      <c r="E686" t="s">
        <v>6</v>
      </c>
      <c r="F686">
        <f>(SingleBerryDW!F686/SingleBerryFW!F686)*100</f>
        <v>17.5</v>
      </c>
    </row>
    <row r="687" spans="1:8" hidden="1" x14ac:dyDescent="0.25">
      <c r="A687" t="s">
        <v>10</v>
      </c>
      <c r="B687" s="2">
        <v>42509</v>
      </c>
      <c r="C687">
        <v>2016</v>
      </c>
      <c r="E687" t="s">
        <v>6</v>
      </c>
      <c r="F687">
        <f>(SingleBerryDW!F687/SingleBerryFW!F687)*100</f>
        <v>17.100000000000001</v>
      </c>
    </row>
    <row r="688" spans="1:8" hidden="1" x14ac:dyDescent="0.25">
      <c r="A688" t="s">
        <v>10</v>
      </c>
      <c r="B688" s="2">
        <v>42509</v>
      </c>
      <c r="C688">
        <v>2016</v>
      </c>
      <c r="E688" t="s">
        <v>6</v>
      </c>
      <c r="F688">
        <f>(SingleBerryDW!F688/SingleBerryFW!F688)*100</f>
        <v>16.399999999999999</v>
      </c>
    </row>
    <row r="689" spans="1:6" hidden="1" x14ac:dyDescent="0.25">
      <c r="A689" t="s">
        <v>10</v>
      </c>
      <c r="B689" s="2">
        <v>42510</v>
      </c>
      <c r="C689">
        <v>2016</v>
      </c>
      <c r="E689" t="s">
        <v>6</v>
      </c>
      <c r="F689">
        <f>(SingleBerryDW!F689/SingleBerryFW!F689)*100</f>
        <v>16.8</v>
      </c>
    </row>
    <row r="690" spans="1:6" hidden="1" x14ac:dyDescent="0.25">
      <c r="A690" t="s">
        <v>10</v>
      </c>
      <c r="B690" s="2">
        <v>42522</v>
      </c>
      <c r="C690">
        <v>2016</v>
      </c>
      <c r="E690" t="s">
        <v>6</v>
      </c>
      <c r="F690">
        <f>(SingleBerryDW!F690/SingleBerryFW!F690)*100</f>
        <v>17.099999999999998</v>
      </c>
    </row>
    <row r="691" spans="1:6" hidden="1" x14ac:dyDescent="0.25">
      <c r="A691" t="s">
        <v>10</v>
      </c>
      <c r="B691" s="2">
        <v>42523</v>
      </c>
      <c r="C691">
        <v>2016</v>
      </c>
      <c r="E691" t="s">
        <v>6</v>
      </c>
      <c r="F691">
        <f>(SingleBerryDW!F691/SingleBerryFW!F691)*100</f>
        <v>18.000000000000004</v>
      </c>
    </row>
    <row r="692" spans="1:6" hidden="1" x14ac:dyDescent="0.25">
      <c r="A692" t="s">
        <v>10</v>
      </c>
      <c r="B692" s="2">
        <v>42523</v>
      </c>
      <c r="C692">
        <v>2016</v>
      </c>
      <c r="E692" t="s">
        <v>6</v>
      </c>
      <c r="F692">
        <f>(SingleBerryDW!F692/SingleBerryFW!F692)*100</f>
        <v>17.099999999999998</v>
      </c>
    </row>
    <row r="693" spans="1:6" hidden="1" x14ac:dyDescent="0.25">
      <c r="A693" t="s">
        <v>10</v>
      </c>
      <c r="B693" s="2">
        <v>42523</v>
      </c>
      <c r="C693">
        <v>2016</v>
      </c>
      <c r="E693" t="s">
        <v>6</v>
      </c>
      <c r="F693">
        <f>(SingleBerryDW!F693/SingleBerryFW!F693)*100</f>
        <v>16.8</v>
      </c>
    </row>
    <row r="694" spans="1:6" hidden="1" x14ac:dyDescent="0.25">
      <c r="A694" t="s">
        <v>10</v>
      </c>
      <c r="B694" s="2">
        <v>42531</v>
      </c>
      <c r="C694">
        <v>2016</v>
      </c>
      <c r="E694" t="s">
        <v>6</v>
      </c>
      <c r="F694">
        <f>(SingleBerryDW!F694/SingleBerryFW!F694)*100</f>
        <v>16.800000000000004</v>
      </c>
    </row>
    <row r="695" spans="1:6" hidden="1" x14ac:dyDescent="0.25">
      <c r="A695" t="s">
        <v>10</v>
      </c>
      <c r="B695" s="2">
        <v>42535</v>
      </c>
      <c r="C695">
        <v>2016</v>
      </c>
      <c r="E695" t="s">
        <v>6</v>
      </c>
      <c r="F695">
        <f>(SingleBerryDW!F695/SingleBerryFW!F695)*100</f>
        <v>18.000000000000004</v>
      </c>
    </row>
    <row r="696" spans="1:6" hidden="1" x14ac:dyDescent="0.25">
      <c r="A696" t="s">
        <v>10</v>
      </c>
      <c r="B696" s="2">
        <v>42535</v>
      </c>
      <c r="C696">
        <v>2016</v>
      </c>
      <c r="E696" t="s">
        <v>6</v>
      </c>
      <c r="F696">
        <f>(SingleBerryDW!F696/SingleBerryFW!F696)*100</f>
        <v>17.3</v>
      </c>
    </row>
    <row r="697" spans="1:6" hidden="1" x14ac:dyDescent="0.25">
      <c r="A697" t="s">
        <v>11</v>
      </c>
      <c r="B697" s="2">
        <v>42752</v>
      </c>
      <c r="C697">
        <v>2017</v>
      </c>
      <c r="E697" t="s">
        <v>6</v>
      </c>
      <c r="F697">
        <f>(SingleBerryDW!F697/SingleBerryFW!F697)*100</f>
        <v>8.6</v>
      </c>
    </row>
    <row r="698" spans="1:6" hidden="1" x14ac:dyDescent="0.25">
      <c r="A698" t="s">
        <v>11</v>
      </c>
      <c r="B698" s="2">
        <v>42752</v>
      </c>
      <c r="C698">
        <v>2017</v>
      </c>
      <c r="E698" t="s">
        <v>6</v>
      </c>
      <c r="F698">
        <f>(SingleBerryDW!F698/SingleBerryFW!F698)*100</f>
        <v>7.1999999999999993</v>
      </c>
    </row>
    <row r="699" spans="1:6" hidden="1" x14ac:dyDescent="0.25">
      <c r="A699" t="s">
        <v>11</v>
      </c>
      <c r="B699" s="2">
        <v>42787</v>
      </c>
      <c r="C699">
        <v>2017</v>
      </c>
      <c r="E699" t="s">
        <v>6</v>
      </c>
      <c r="F699">
        <f>(SingleBerryDW!F699/SingleBerryFW!F699)*100</f>
        <v>12.8</v>
      </c>
    </row>
    <row r="700" spans="1:6" hidden="1" x14ac:dyDescent="0.25">
      <c r="A700" t="s">
        <v>11</v>
      </c>
      <c r="B700" s="2">
        <v>42787</v>
      </c>
      <c r="C700">
        <v>2017</v>
      </c>
      <c r="E700" t="s">
        <v>6</v>
      </c>
      <c r="F700">
        <f>(SingleBerryDW!F700/SingleBerryFW!F700)*100</f>
        <v>11.4</v>
      </c>
    </row>
    <row r="701" spans="1:6" hidden="1" x14ac:dyDescent="0.25">
      <c r="A701" t="s">
        <v>11</v>
      </c>
      <c r="B701" s="2">
        <v>42801</v>
      </c>
      <c r="C701">
        <v>2017</v>
      </c>
      <c r="E701" t="s">
        <v>6</v>
      </c>
      <c r="F701">
        <f>(SingleBerryDW!F701/SingleBerryFW!F701)*100</f>
        <v>14.299999999999999</v>
      </c>
    </row>
    <row r="702" spans="1:6" hidden="1" x14ac:dyDescent="0.25">
      <c r="A702" t="s">
        <v>11</v>
      </c>
      <c r="B702" s="2">
        <v>42801</v>
      </c>
      <c r="C702">
        <v>2017</v>
      </c>
      <c r="E702" t="s">
        <v>6</v>
      </c>
      <c r="F702">
        <f>(SingleBerryDW!F702/SingleBerryFW!F702)*100</f>
        <v>12.7</v>
      </c>
    </row>
    <row r="703" spans="1:6" hidden="1" x14ac:dyDescent="0.25">
      <c r="A703" t="s">
        <v>11</v>
      </c>
      <c r="B703" s="2">
        <v>42815</v>
      </c>
      <c r="C703">
        <v>2017</v>
      </c>
      <c r="E703" t="s">
        <v>6</v>
      </c>
      <c r="F703">
        <f>(SingleBerryDW!F703/SingleBerryFW!F703)*100</f>
        <v>14.7</v>
      </c>
    </row>
    <row r="704" spans="1:6" hidden="1" x14ac:dyDescent="0.25">
      <c r="A704" t="s">
        <v>11</v>
      </c>
      <c r="B704" s="2">
        <v>42815</v>
      </c>
      <c r="C704">
        <v>2017</v>
      </c>
      <c r="E704" t="s">
        <v>6</v>
      </c>
      <c r="F704">
        <f>(SingleBerryDW!F704/SingleBerryFW!F704)*100</f>
        <v>13.700000000000001</v>
      </c>
    </row>
    <row r="705" spans="1:6" hidden="1" x14ac:dyDescent="0.25">
      <c r="A705" t="s">
        <v>11</v>
      </c>
      <c r="B705" s="2">
        <v>42829</v>
      </c>
      <c r="C705">
        <v>2017</v>
      </c>
      <c r="E705" t="s">
        <v>6</v>
      </c>
      <c r="F705">
        <f>(SingleBerryDW!F705/SingleBerryFW!F705)*100</f>
        <v>15.300000000000002</v>
      </c>
    </row>
    <row r="706" spans="1:6" hidden="1" x14ac:dyDescent="0.25">
      <c r="A706" t="s">
        <v>11</v>
      </c>
      <c r="B706" s="2">
        <v>42829</v>
      </c>
      <c r="C706">
        <v>2017</v>
      </c>
      <c r="E706" t="s">
        <v>6</v>
      </c>
      <c r="F706">
        <f>(SingleBerryDW!F706/SingleBerryFW!F706)*100</f>
        <v>14.400000000000002</v>
      </c>
    </row>
    <row r="707" spans="1:6" hidden="1" x14ac:dyDescent="0.25">
      <c r="A707" t="s">
        <v>11</v>
      </c>
      <c r="B707" s="2">
        <v>42839</v>
      </c>
      <c r="C707">
        <v>2017</v>
      </c>
      <c r="E707" t="s">
        <v>6</v>
      </c>
      <c r="F707">
        <f>(SingleBerryDW!F707/SingleBerryFW!F707)*100</f>
        <v>14.900000000000002</v>
      </c>
    </row>
    <row r="708" spans="1:6" hidden="1" x14ac:dyDescent="0.25">
      <c r="A708" t="s">
        <v>11</v>
      </c>
      <c r="B708" s="2">
        <v>42839</v>
      </c>
      <c r="C708">
        <v>2017</v>
      </c>
      <c r="E708" t="s">
        <v>6</v>
      </c>
      <c r="F708">
        <f>(SingleBerryDW!F708/SingleBerryFW!F708)*100</f>
        <v>14.2</v>
      </c>
    </row>
    <row r="709" spans="1:6" hidden="1" x14ac:dyDescent="0.25">
      <c r="A709" t="s">
        <v>11</v>
      </c>
      <c r="B709" s="2">
        <v>42844</v>
      </c>
      <c r="C709">
        <v>2017</v>
      </c>
      <c r="E709" t="s">
        <v>6</v>
      </c>
      <c r="F709">
        <f>(SingleBerryDW!F709/SingleBerryFW!F709)*100</f>
        <v>15.7</v>
      </c>
    </row>
    <row r="710" spans="1:6" hidden="1" x14ac:dyDescent="0.25">
      <c r="A710" t="s">
        <v>11</v>
      </c>
      <c r="B710" s="2">
        <v>42844</v>
      </c>
      <c r="C710">
        <v>2017</v>
      </c>
      <c r="E710" t="s">
        <v>6</v>
      </c>
      <c r="F710">
        <f>(SingleBerryDW!F710/SingleBerryFW!F710)*100</f>
        <v>14.900000000000002</v>
      </c>
    </row>
    <row r="711" spans="1:6" hidden="1" x14ac:dyDescent="0.25">
      <c r="A711" t="s">
        <v>11</v>
      </c>
      <c r="B711" s="2">
        <v>42850</v>
      </c>
      <c r="C711">
        <v>2017</v>
      </c>
      <c r="E711" t="s">
        <v>6</v>
      </c>
      <c r="F711">
        <f>(SingleBerryDW!F711/SingleBerryFW!F711)*100</f>
        <v>15.1</v>
      </c>
    </row>
    <row r="712" spans="1:6" hidden="1" x14ac:dyDescent="0.25">
      <c r="A712" t="s">
        <v>11</v>
      </c>
      <c r="B712" s="2">
        <v>42853</v>
      </c>
      <c r="C712">
        <v>2017</v>
      </c>
      <c r="E712" t="s">
        <v>6</v>
      </c>
      <c r="F712">
        <f>(SingleBerryDW!F712/SingleBerryFW!F712)*100</f>
        <v>15.9</v>
      </c>
    </row>
    <row r="713" spans="1:6" hidden="1" x14ac:dyDescent="0.25">
      <c r="A713" t="s">
        <v>11</v>
      </c>
      <c r="B713" s="2">
        <v>42858</v>
      </c>
      <c r="C713">
        <v>2017</v>
      </c>
      <c r="E713" t="s">
        <v>6</v>
      </c>
      <c r="F713">
        <f>(SingleBerryDW!F713/SingleBerryFW!F713)*100</f>
        <v>16.100000000000001</v>
      </c>
    </row>
    <row r="714" spans="1:6" hidden="1" x14ac:dyDescent="0.25">
      <c r="A714" t="s">
        <v>11</v>
      </c>
      <c r="B714" s="2">
        <v>42858</v>
      </c>
      <c r="C714">
        <v>2017</v>
      </c>
      <c r="E714" t="s">
        <v>6</v>
      </c>
      <c r="F714">
        <f>(SingleBerryDW!F714/SingleBerryFW!F714)*100</f>
        <v>15</v>
      </c>
    </row>
    <row r="715" spans="1:6" hidden="1" x14ac:dyDescent="0.25">
      <c r="A715" t="s">
        <v>11</v>
      </c>
      <c r="B715" s="2">
        <v>42871</v>
      </c>
      <c r="C715">
        <v>2017</v>
      </c>
      <c r="E715" t="s">
        <v>6</v>
      </c>
      <c r="F715">
        <f>(SingleBerryDW!F715/SingleBerryFW!F715)*100</f>
        <v>16.8</v>
      </c>
    </row>
    <row r="716" spans="1:6" hidden="1" x14ac:dyDescent="0.25">
      <c r="A716" t="s">
        <v>11</v>
      </c>
      <c r="B716" s="2">
        <v>42871</v>
      </c>
      <c r="C716">
        <v>2017</v>
      </c>
      <c r="E716" t="s">
        <v>6</v>
      </c>
      <c r="F716">
        <f>(SingleBerryDW!F716/SingleBerryFW!F716)*100</f>
        <v>16.2</v>
      </c>
    </row>
    <row r="717" spans="1:6" hidden="1" x14ac:dyDescent="0.25">
      <c r="A717" t="s">
        <v>11</v>
      </c>
      <c r="B717" s="2">
        <v>42885</v>
      </c>
      <c r="C717">
        <v>2017</v>
      </c>
      <c r="E717" t="s">
        <v>6</v>
      </c>
      <c r="F717">
        <f>(SingleBerryDW!F717/SingleBerryFW!F717)*100</f>
        <v>16.900000000000002</v>
      </c>
    </row>
    <row r="718" spans="1:6" hidden="1" x14ac:dyDescent="0.25">
      <c r="A718" t="s">
        <v>11</v>
      </c>
      <c r="B718" s="2">
        <v>42885</v>
      </c>
      <c r="C718">
        <v>2017</v>
      </c>
      <c r="E718" t="s">
        <v>6</v>
      </c>
      <c r="F718">
        <f>(SingleBerryDW!F718/SingleBerryFW!F718)*100</f>
        <v>16.3</v>
      </c>
    </row>
    <row r="719" spans="1:6" hidden="1" x14ac:dyDescent="0.25">
      <c r="A719" t="s">
        <v>11</v>
      </c>
      <c r="B719" s="2">
        <v>42893</v>
      </c>
      <c r="C719">
        <v>2017</v>
      </c>
      <c r="E719" t="s">
        <v>6</v>
      </c>
      <c r="F719">
        <f>(SingleBerryDW!F719/SingleBerryFW!F719)*100</f>
        <v>17.100000000000005</v>
      </c>
    </row>
    <row r="720" spans="1:6" hidden="1" x14ac:dyDescent="0.25">
      <c r="A720" t="s">
        <v>11</v>
      </c>
      <c r="B720" s="2">
        <v>42893</v>
      </c>
      <c r="C720">
        <v>2017</v>
      </c>
      <c r="E720" t="s">
        <v>6</v>
      </c>
      <c r="F720">
        <f>(SingleBerryDW!F720/SingleBerryFW!F720)*100</f>
        <v>16.5</v>
      </c>
    </row>
    <row r="721" spans="1:6" hidden="1" x14ac:dyDescent="0.25">
      <c r="A721" t="s">
        <v>11</v>
      </c>
      <c r="B721" s="2">
        <v>42907</v>
      </c>
      <c r="C721">
        <v>2017</v>
      </c>
      <c r="E721" t="s">
        <v>6</v>
      </c>
      <c r="F721">
        <f>(SingleBerryDW!F721/SingleBerryFW!F721)*100</f>
        <v>17.3</v>
      </c>
    </row>
    <row r="722" spans="1:6" hidden="1" x14ac:dyDescent="0.25">
      <c r="A722" t="s">
        <v>11</v>
      </c>
      <c r="B722" s="2">
        <v>42907</v>
      </c>
      <c r="C722">
        <v>2017</v>
      </c>
      <c r="E722" t="s">
        <v>6</v>
      </c>
      <c r="F722">
        <f>(SingleBerryDW!F722/SingleBerryFW!F722)*100</f>
        <v>16.400000000000002</v>
      </c>
    </row>
    <row r="723" spans="1:6" hidden="1" x14ac:dyDescent="0.25">
      <c r="A723" t="s">
        <v>11</v>
      </c>
      <c r="B723" s="2">
        <v>42753</v>
      </c>
      <c r="C723">
        <v>2017</v>
      </c>
      <c r="E723" t="s">
        <v>6</v>
      </c>
      <c r="F723">
        <f>(SingleBerryDW!F723/SingleBerryFW!F723)*100</f>
        <v>8</v>
      </c>
    </row>
    <row r="724" spans="1:6" hidden="1" x14ac:dyDescent="0.25">
      <c r="A724" t="s">
        <v>11</v>
      </c>
      <c r="B724" s="2">
        <v>42789</v>
      </c>
      <c r="C724">
        <v>2017</v>
      </c>
      <c r="E724" t="s">
        <v>6</v>
      </c>
      <c r="F724">
        <f>(SingleBerryDW!F724/SingleBerryFW!F724)*100</f>
        <v>12.4</v>
      </c>
    </row>
    <row r="725" spans="1:6" hidden="1" x14ac:dyDescent="0.25">
      <c r="A725" t="s">
        <v>11</v>
      </c>
      <c r="B725" s="2">
        <v>42804</v>
      </c>
      <c r="C725">
        <v>2017</v>
      </c>
      <c r="E725" t="s">
        <v>6</v>
      </c>
      <c r="F725">
        <f>(SingleBerryDW!F725/SingleBerryFW!F725)*100</f>
        <v>14.6</v>
      </c>
    </row>
    <row r="726" spans="1:6" hidden="1" x14ac:dyDescent="0.25">
      <c r="A726" t="s">
        <v>11</v>
      </c>
      <c r="B726" s="2">
        <v>42817</v>
      </c>
      <c r="C726">
        <v>2017</v>
      </c>
      <c r="E726" t="s">
        <v>6</v>
      </c>
      <c r="F726">
        <f>(SingleBerryDW!F726/SingleBerryFW!F726)*100</f>
        <v>15.5</v>
      </c>
    </row>
    <row r="727" spans="1:6" hidden="1" x14ac:dyDescent="0.25">
      <c r="A727" t="s">
        <v>11</v>
      </c>
      <c r="B727" s="2">
        <v>42832</v>
      </c>
      <c r="C727">
        <v>2017</v>
      </c>
      <c r="E727" t="s">
        <v>6</v>
      </c>
      <c r="F727">
        <f>(SingleBerryDW!F727/SingleBerryFW!F727)*100</f>
        <v>15.9</v>
      </c>
    </row>
    <row r="728" spans="1:6" hidden="1" x14ac:dyDescent="0.25">
      <c r="A728" t="s">
        <v>11</v>
      </c>
      <c r="B728" s="2">
        <v>42838</v>
      </c>
      <c r="C728">
        <v>2017</v>
      </c>
      <c r="E728" t="s">
        <v>6</v>
      </c>
      <c r="F728">
        <f>(SingleBerryDW!F728/SingleBerryFW!F728)*100</f>
        <v>16</v>
      </c>
    </row>
    <row r="729" spans="1:6" hidden="1" x14ac:dyDescent="0.25">
      <c r="A729" t="s">
        <v>11</v>
      </c>
      <c r="B729" s="2">
        <v>42845</v>
      </c>
      <c r="C729">
        <v>2017</v>
      </c>
      <c r="E729" t="s">
        <v>6</v>
      </c>
      <c r="F729">
        <f>(SingleBerryDW!F729/SingleBerryFW!F729)*100</f>
        <v>16.7</v>
      </c>
    </row>
    <row r="730" spans="1:6" hidden="1" x14ac:dyDescent="0.25">
      <c r="A730" t="s">
        <v>11</v>
      </c>
      <c r="B730" s="2">
        <v>42853</v>
      </c>
      <c r="C730">
        <v>2017</v>
      </c>
      <c r="E730" t="s">
        <v>6</v>
      </c>
      <c r="F730">
        <f>(SingleBerryDW!F730/SingleBerryFW!F730)*100</f>
        <v>16.900000000000002</v>
      </c>
    </row>
    <row r="731" spans="1:6" hidden="1" x14ac:dyDescent="0.25">
      <c r="A731" t="s">
        <v>11</v>
      </c>
      <c r="B731" s="2">
        <v>42859</v>
      </c>
      <c r="C731">
        <v>2017</v>
      </c>
      <c r="E731" t="s">
        <v>6</v>
      </c>
      <c r="F731">
        <f>(SingleBerryDW!F731/SingleBerryFW!F731)*100</f>
        <v>17</v>
      </c>
    </row>
    <row r="732" spans="1:6" hidden="1" x14ac:dyDescent="0.25">
      <c r="A732" t="s">
        <v>11</v>
      </c>
      <c r="B732" s="2">
        <v>42873</v>
      </c>
      <c r="C732">
        <v>2017</v>
      </c>
      <c r="E732" t="s">
        <v>6</v>
      </c>
      <c r="F732">
        <f>(SingleBerryDW!F732/SingleBerryFW!F732)*100</f>
        <v>17.7</v>
      </c>
    </row>
    <row r="733" spans="1:6" hidden="1" x14ac:dyDescent="0.25">
      <c r="A733" t="s">
        <v>11</v>
      </c>
      <c r="B733" s="2">
        <v>42887</v>
      </c>
      <c r="C733">
        <v>2017</v>
      </c>
      <c r="E733" t="s">
        <v>6</v>
      </c>
      <c r="F733">
        <f>(SingleBerryDW!F733/SingleBerryFW!F733)*100</f>
        <v>17.7</v>
      </c>
    </row>
    <row r="734" spans="1:6" hidden="1" x14ac:dyDescent="0.25">
      <c r="A734" t="s">
        <v>11</v>
      </c>
      <c r="B734" s="2">
        <v>42894</v>
      </c>
      <c r="C734">
        <v>2017</v>
      </c>
      <c r="E734" t="s">
        <v>6</v>
      </c>
      <c r="F734">
        <f>(SingleBerryDW!F734/SingleBerryFW!F734)*100</f>
        <v>18.100000000000001</v>
      </c>
    </row>
    <row r="735" spans="1:6" hidden="1" x14ac:dyDescent="0.25">
      <c r="A735" t="s">
        <v>11</v>
      </c>
      <c r="B735" s="2">
        <v>42908</v>
      </c>
      <c r="C735">
        <v>2017</v>
      </c>
      <c r="E735" t="s">
        <v>6</v>
      </c>
      <c r="F735">
        <f>(SingleBerryDW!F735/SingleBerryFW!F735)*100</f>
        <v>17.899999999999999</v>
      </c>
    </row>
    <row r="736" spans="1:6" hidden="1" x14ac:dyDescent="0.25">
      <c r="A736" t="s">
        <v>11</v>
      </c>
      <c r="B736" s="2">
        <v>42753</v>
      </c>
      <c r="C736">
        <v>2017</v>
      </c>
      <c r="E736" t="s">
        <v>6</v>
      </c>
      <c r="F736">
        <f>(SingleBerryDW!F736/SingleBerryFW!F736)*100</f>
        <v>8</v>
      </c>
    </row>
    <row r="737" spans="1:6" hidden="1" x14ac:dyDescent="0.25">
      <c r="A737" t="s">
        <v>11</v>
      </c>
      <c r="B737" s="2">
        <v>42753</v>
      </c>
      <c r="C737">
        <v>2017</v>
      </c>
      <c r="E737" t="s">
        <v>6</v>
      </c>
      <c r="F737">
        <f>(SingleBerryDW!F737/SingleBerryFW!F737)*100</f>
        <v>7.8</v>
      </c>
    </row>
    <row r="738" spans="1:6" hidden="1" x14ac:dyDescent="0.25">
      <c r="A738" t="s">
        <v>11</v>
      </c>
      <c r="B738" s="2">
        <v>42753</v>
      </c>
      <c r="C738">
        <v>2017</v>
      </c>
      <c r="E738" t="s">
        <v>6</v>
      </c>
      <c r="F738">
        <f>(SingleBerryDW!F738/SingleBerryFW!F738)*100</f>
        <v>8.1</v>
      </c>
    </row>
    <row r="739" spans="1:6" hidden="1" x14ac:dyDescent="0.25">
      <c r="A739" t="s">
        <v>11</v>
      </c>
      <c r="B739" s="2">
        <v>42753</v>
      </c>
      <c r="C739">
        <v>2017</v>
      </c>
      <c r="E739" t="s">
        <v>6</v>
      </c>
      <c r="F739">
        <f>(SingleBerryDW!F739/SingleBerryFW!F739)*100</f>
        <v>8.5</v>
      </c>
    </row>
    <row r="740" spans="1:6" hidden="1" x14ac:dyDescent="0.25">
      <c r="A740" t="s">
        <v>11</v>
      </c>
      <c r="B740" s="2">
        <v>42788</v>
      </c>
      <c r="C740">
        <v>2017</v>
      </c>
      <c r="E740" t="s">
        <v>6</v>
      </c>
      <c r="F740">
        <f>(SingleBerryDW!F740/SingleBerryFW!F740)*100</f>
        <v>13.100000000000001</v>
      </c>
    </row>
    <row r="741" spans="1:6" hidden="1" x14ac:dyDescent="0.25">
      <c r="A741" t="s">
        <v>11</v>
      </c>
      <c r="B741" s="2">
        <v>42789</v>
      </c>
      <c r="C741">
        <v>2017</v>
      </c>
      <c r="E741" t="s">
        <v>6</v>
      </c>
      <c r="F741">
        <f>(SingleBerryDW!F741/SingleBerryFW!F741)*100</f>
        <v>13</v>
      </c>
    </row>
    <row r="742" spans="1:6" hidden="1" x14ac:dyDescent="0.25">
      <c r="A742" t="s">
        <v>11</v>
      </c>
      <c r="B742" s="2">
        <v>42789</v>
      </c>
      <c r="C742">
        <v>2017</v>
      </c>
      <c r="E742" t="s">
        <v>6</v>
      </c>
      <c r="F742">
        <f>(SingleBerryDW!F742/SingleBerryFW!F742)*100</f>
        <v>12.400000000000002</v>
      </c>
    </row>
    <row r="743" spans="1:6" hidden="1" x14ac:dyDescent="0.25">
      <c r="A743" t="s">
        <v>11</v>
      </c>
      <c r="B743" s="2">
        <v>42789</v>
      </c>
      <c r="C743">
        <v>2017</v>
      </c>
      <c r="E743" t="s">
        <v>6</v>
      </c>
      <c r="F743">
        <f>(SingleBerryDW!F743/SingleBerryFW!F743)*100</f>
        <v>12.999999999999998</v>
      </c>
    </row>
    <row r="744" spans="1:6" hidden="1" x14ac:dyDescent="0.25">
      <c r="A744" t="s">
        <v>11</v>
      </c>
      <c r="B744" s="2">
        <v>42803</v>
      </c>
      <c r="C744">
        <v>2017</v>
      </c>
      <c r="E744" t="s">
        <v>6</v>
      </c>
      <c r="F744">
        <f>(SingleBerryDW!F744/SingleBerryFW!F744)*100</f>
        <v>14.400000000000002</v>
      </c>
    </row>
    <row r="745" spans="1:6" hidden="1" x14ac:dyDescent="0.25">
      <c r="A745" t="s">
        <v>11</v>
      </c>
      <c r="B745" s="2">
        <v>42803</v>
      </c>
      <c r="C745">
        <v>2017</v>
      </c>
      <c r="E745" t="s">
        <v>6</v>
      </c>
      <c r="F745">
        <f>(SingleBerryDW!F745/SingleBerryFW!F745)*100</f>
        <v>14.899999999999999</v>
      </c>
    </row>
    <row r="746" spans="1:6" hidden="1" x14ac:dyDescent="0.25">
      <c r="A746" t="s">
        <v>11</v>
      </c>
      <c r="B746" s="2">
        <v>42804</v>
      </c>
      <c r="C746">
        <v>2017</v>
      </c>
      <c r="E746" t="s">
        <v>6</v>
      </c>
      <c r="F746">
        <f>(SingleBerryDW!F746/SingleBerryFW!F746)*100</f>
        <v>15.1</v>
      </c>
    </row>
    <row r="747" spans="1:6" hidden="1" x14ac:dyDescent="0.25">
      <c r="A747" t="s">
        <v>11</v>
      </c>
      <c r="B747" s="2">
        <v>42804</v>
      </c>
      <c r="C747">
        <v>2017</v>
      </c>
      <c r="E747" t="s">
        <v>6</v>
      </c>
      <c r="F747">
        <f>(SingleBerryDW!F747/SingleBerryFW!F747)*100</f>
        <v>14.7</v>
      </c>
    </row>
    <row r="748" spans="1:6" hidden="1" x14ac:dyDescent="0.25">
      <c r="A748" t="s">
        <v>11</v>
      </c>
      <c r="B748" s="2">
        <v>42816</v>
      </c>
      <c r="C748">
        <v>2017</v>
      </c>
      <c r="E748" t="s">
        <v>6</v>
      </c>
      <c r="F748">
        <f>(SingleBerryDW!F748/SingleBerryFW!F748)*100</f>
        <v>15.6</v>
      </c>
    </row>
    <row r="749" spans="1:6" hidden="1" x14ac:dyDescent="0.25">
      <c r="A749" t="s">
        <v>11</v>
      </c>
      <c r="B749" s="2">
        <v>42817</v>
      </c>
      <c r="C749">
        <v>2017</v>
      </c>
      <c r="E749" t="s">
        <v>6</v>
      </c>
      <c r="F749">
        <f>(SingleBerryDW!F749/SingleBerryFW!F749)*100</f>
        <v>15.599999999999998</v>
      </c>
    </row>
    <row r="750" spans="1:6" hidden="1" x14ac:dyDescent="0.25">
      <c r="A750" t="s">
        <v>11</v>
      </c>
      <c r="B750" s="2">
        <v>42817</v>
      </c>
      <c r="C750">
        <v>2017</v>
      </c>
      <c r="E750" t="s">
        <v>6</v>
      </c>
      <c r="F750">
        <f>(SingleBerryDW!F750/SingleBerryFW!F750)*100</f>
        <v>14.899999999999999</v>
      </c>
    </row>
    <row r="751" spans="1:6" hidden="1" x14ac:dyDescent="0.25">
      <c r="A751" t="s">
        <v>11</v>
      </c>
      <c r="B751" s="2">
        <v>42817</v>
      </c>
      <c r="C751">
        <v>2017</v>
      </c>
      <c r="E751" t="s">
        <v>6</v>
      </c>
      <c r="F751">
        <f>(SingleBerryDW!F751/SingleBerryFW!F751)*100</f>
        <v>15.699999999999998</v>
      </c>
    </row>
    <row r="752" spans="1:6" hidden="1" x14ac:dyDescent="0.25">
      <c r="A752" t="s">
        <v>11</v>
      </c>
      <c r="B752" s="2">
        <v>42831</v>
      </c>
      <c r="C752">
        <v>2017</v>
      </c>
      <c r="E752" t="s">
        <v>6</v>
      </c>
      <c r="F752">
        <f>(SingleBerryDW!F752/SingleBerryFW!F752)*100</f>
        <v>16.100000000000001</v>
      </c>
    </row>
    <row r="753" spans="1:6" hidden="1" x14ac:dyDescent="0.25">
      <c r="A753" t="s">
        <v>11</v>
      </c>
      <c r="B753" s="2">
        <v>42832</v>
      </c>
      <c r="C753">
        <v>2017</v>
      </c>
      <c r="E753" t="s">
        <v>6</v>
      </c>
      <c r="F753">
        <f>(SingleBerryDW!F753/SingleBerryFW!F753)*100</f>
        <v>16</v>
      </c>
    </row>
    <row r="754" spans="1:6" hidden="1" x14ac:dyDescent="0.25">
      <c r="A754" t="s">
        <v>11</v>
      </c>
      <c r="B754" s="2">
        <v>42832</v>
      </c>
      <c r="C754">
        <v>2017</v>
      </c>
      <c r="E754" t="s">
        <v>6</v>
      </c>
      <c r="F754">
        <f>(SingleBerryDW!F754/SingleBerryFW!F754)*100</f>
        <v>15.400000000000002</v>
      </c>
    </row>
    <row r="755" spans="1:6" hidden="1" x14ac:dyDescent="0.25">
      <c r="A755" t="s">
        <v>11</v>
      </c>
      <c r="B755" s="2">
        <v>42832</v>
      </c>
      <c r="C755">
        <v>2017</v>
      </c>
      <c r="E755" t="s">
        <v>6</v>
      </c>
      <c r="F755">
        <f>(SingleBerryDW!F755/SingleBerryFW!F755)*100</f>
        <v>16.2</v>
      </c>
    </row>
    <row r="756" spans="1:6" hidden="1" x14ac:dyDescent="0.25">
      <c r="A756" t="s">
        <v>11</v>
      </c>
      <c r="B756" s="2">
        <v>42837</v>
      </c>
      <c r="C756">
        <v>2017</v>
      </c>
      <c r="E756" t="s">
        <v>6</v>
      </c>
      <c r="F756">
        <f>(SingleBerryDW!F756/SingleBerryFW!F756)*100</f>
        <v>16.100000000000001</v>
      </c>
    </row>
    <row r="757" spans="1:6" hidden="1" x14ac:dyDescent="0.25">
      <c r="A757" t="s">
        <v>11</v>
      </c>
      <c r="B757" s="2">
        <v>42838</v>
      </c>
      <c r="C757">
        <v>2017</v>
      </c>
      <c r="E757" t="s">
        <v>6</v>
      </c>
      <c r="F757">
        <f>(SingleBerryDW!F757/SingleBerryFW!F757)*100</f>
        <v>16.100000000000001</v>
      </c>
    </row>
    <row r="758" spans="1:6" hidden="1" x14ac:dyDescent="0.25">
      <c r="A758" t="s">
        <v>11</v>
      </c>
      <c r="B758" s="2">
        <v>42838</v>
      </c>
      <c r="C758">
        <v>2017</v>
      </c>
      <c r="E758" t="s">
        <v>6</v>
      </c>
      <c r="F758">
        <f>(SingleBerryDW!F758/SingleBerryFW!F758)*100</f>
        <v>15.400000000000002</v>
      </c>
    </row>
    <row r="759" spans="1:6" hidden="1" x14ac:dyDescent="0.25">
      <c r="A759" t="s">
        <v>11</v>
      </c>
      <c r="B759" s="2">
        <v>42838</v>
      </c>
      <c r="C759">
        <v>2017</v>
      </c>
      <c r="E759" t="s">
        <v>6</v>
      </c>
      <c r="F759">
        <f>(SingleBerryDW!F759/SingleBerryFW!F759)*100</f>
        <v>16.100000000000001</v>
      </c>
    </row>
    <row r="760" spans="1:6" hidden="1" x14ac:dyDescent="0.25">
      <c r="A760" t="s">
        <v>11</v>
      </c>
      <c r="B760" s="2">
        <v>42844</v>
      </c>
      <c r="C760">
        <v>2017</v>
      </c>
      <c r="E760" t="s">
        <v>6</v>
      </c>
      <c r="F760">
        <f>(SingleBerryDW!F760/SingleBerryFW!F760)*100</f>
        <v>16.100000000000001</v>
      </c>
    </row>
    <row r="761" spans="1:6" hidden="1" x14ac:dyDescent="0.25">
      <c r="A761" t="s">
        <v>11</v>
      </c>
      <c r="B761" s="2">
        <v>42845</v>
      </c>
      <c r="C761">
        <v>2017</v>
      </c>
      <c r="E761" t="s">
        <v>6</v>
      </c>
      <c r="F761">
        <f>(SingleBerryDW!F761/SingleBerryFW!F761)*100</f>
        <v>16.3</v>
      </c>
    </row>
    <row r="762" spans="1:6" hidden="1" x14ac:dyDescent="0.25">
      <c r="A762" t="s">
        <v>11</v>
      </c>
      <c r="B762" s="2">
        <v>42845</v>
      </c>
      <c r="C762">
        <v>2017</v>
      </c>
      <c r="E762" t="s">
        <v>6</v>
      </c>
      <c r="F762">
        <f>(SingleBerryDW!F762/SingleBerryFW!F762)*100</f>
        <v>15.5</v>
      </c>
    </row>
    <row r="763" spans="1:6" hidden="1" x14ac:dyDescent="0.25">
      <c r="A763" t="s">
        <v>11</v>
      </c>
      <c r="B763" s="2">
        <v>42845</v>
      </c>
      <c r="C763">
        <v>2017</v>
      </c>
      <c r="E763" t="s">
        <v>6</v>
      </c>
      <c r="F763">
        <f>(SingleBerryDW!F763/SingleBerryFW!F763)*100</f>
        <v>16.799999999999997</v>
      </c>
    </row>
    <row r="764" spans="1:6" hidden="1" x14ac:dyDescent="0.25">
      <c r="A764" t="s">
        <v>11</v>
      </c>
      <c r="B764" s="2">
        <v>42853</v>
      </c>
      <c r="C764">
        <v>2017</v>
      </c>
      <c r="E764" t="s">
        <v>6</v>
      </c>
      <c r="F764">
        <f>(SingleBerryDW!F764/SingleBerryFW!F764)*100</f>
        <v>16.7</v>
      </c>
    </row>
    <row r="765" spans="1:6" hidden="1" x14ac:dyDescent="0.25">
      <c r="A765" t="s">
        <v>11</v>
      </c>
      <c r="B765" s="2">
        <v>42853</v>
      </c>
      <c r="C765">
        <v>2017</v>
      </c>
      <c r="E765" t="s">
        <v>6</v>
      </c>
      <c r="F765">
        <f>(SingleBerryDW!F765/SingleBerryFW!F765)*100</f>
        <v>16.2</v>
      </c>
    </row>
    <row r="766" spans="1:6" hidden="1" x14ac:dyDescent="0.25">
      <c r="A766" t="s">
        <v>11</v>
      </c>
      <c r="B766" s="2">
        <v>42853</v>
      </c>
      <c r="C766">
        <v>2017</v>
      </c>
      <c r="E766" t="s">
        <v>6</v>
      </c>
      <c r="F766">
        <f>(SingleBerryDW!F766/SingleBerryFW!F766)*100</f>
        <v>17</v>
      </c>
    </row>
    <row r="767" spans="1:6" hidden="1" x14ac:dyDescent="0.25">
      <c r="A767" t="s">
        <v>11</v>
      </c>
      <c r="B767" s="2">
        <v>42853</v>
      </c>
      <c r="C767">
        <v>2017</v>
      </c>
      <c r="E767" t="s">
        <v>6</v>
      </c>
      <c r="F767">
        <f>(SingleBerryDW!F767/SingleBerryFW!F767)*100</f>
        <v>17</v>
      </c>
    </row>
    <row r="768" spans="1:6" hidden="1" x14ac:dyDescent="0.25">
      <c r="A768" t="s">
        <v>11</v>
      </c>
      <c r="B768" s="2">
        <v>42858</v>
      </c>
      <c r="C768">
        <v>2017</v>
      </c>
      <c r="E768" t="s">
        <v>6</v>
      </c>
      <c r="F768">
        <f>(SingleBerryDW!F768/SingleBerryFW!F768)*100</f>
        <v>17.2</v>
      </c>
    </row>
    <row r="769" spans="1:8" hidden="1" x14ac:dyDescent="0.25">
      <c r="A769" t="s">
        <v>11</v>
      </c>
      <c r="B769" s="2">
        <v>42859</v>
      </c>
      <c r="C769">
        <v>2017</v>
      </c>
      <c r="E769" t="s">
        <v>6</v>
      </c>
      <c r="F769">
        <f>(SingleBerryDW!F769/SingleBerryFW!F769)*100</f>
        <v>16.399999999999999</v>
      </c>
    </row>
    <row r="770" spans="1:8" hidden="1" x14ac:dyDescent="0.25">
      <c r="A770" t="s">
        <v>11</v>
      </c>
      <c r="B770" s="2">
        <v>42860</v>
      </c>
      <c r="C770">
        <v>2017</v>
      </c>
      <c r="E770" t="s">
        <v>6</v>
      </c>
      <c r="F770">
        <f>(SingleBerryDW!F770/SingleBerryFW!F770)*100</f>
        <v>16.800000000000004</v>
      </c>
      <c r="G770">
        <v>16.5</v>
      </c>
      <c r="H770" t="s">
        <v>27</v>
      </c>
    </row>
    <row r="771" spans="1:8" hidden="1" x14ac:dyDescent="0.25">
      <c r="A771" t="s">
        <v>11</v>
      </c>
      <c r="B771" s="2">
        <v>42860</v>
      </c>
      <c r="C771">
        <v>2017</v>
      </c>
      <c r="E771" t="s">
        <v>6</v>
      </c>
      <c r="F771">
        <f>(SingleBerryDW!F771/SingleBerryFW!F771)*100</f>
        <v>17.199999999999996</v>
      </c>
    </row>
    <row r="772" spans="1:8" hidden="1" x14ac:dyDescent="0.25">
      <c r="A772" t="s">
        <v>11</v>
      </c>
      <c r="B772" s="2">
        <v>42872</v>
      </c>
      <c r="C772">
        <v>2017</v>
      </c>
      <c r="E772" t="s">
        <v>6</v>
      </c>
      <c r="F772">
        <f>(SingleBerryDW!F772/SingleBerryFW!F772)*100</f>
        <v>17.699999999999996</v>
      </c>
    </row>
    <row r="773" spans="1:8" hidden="1" x14ac:dyDescent="0.25">
      <c r="A773" t="s">
        <v>11</v>
      </c>
      <c r="B773" s="2">
        <v>42873</v>
      </c>
      <c r="C773">
        <v>2017</v>
      </c>
      <c r="E773" t="s">
        <v>6</v>
      </c>
      <c r="F773">
        <f>(SingleBerryDW!F773/SingleBerryFW!F773)*100</f>
        <v>17.2</v>
      </c>
    </row>
    <row r="774" spans="1:8" hidden="1" x14ac:dyDescent="0.25">
      <c r="A774" t="s">
        <v>11</v>
      </c>
      <c r="B774" s="2">
        <v>42873</v>
      </c>
      <c r="C774">
        <v>2017</v>
      </c>
      <c r="E774" t="s">
        <v>6</v>
      </c>
      <c r="F774">
        <f>(SingleBerryDW!F774/SingleBerryFW!F774)*100</f>
        <v>16.7</v>
      </c>
    </row>
    <row r="775" spans="1:8" hidden="1" x14ac:dyDescent="0.25">
      <c r="A775" t="s">
        <v>11</v>
      </c>
      <c r="B775" s="2">
        <v>42873</v>
      </c>
      <c r="C775">
        <v>2017</v>
      </c>
      <c r="E775" t="s">
        <v>6</v>
      </c>
      <c r="F775">
        <f>(SingleBerryDW!F775/SingleBerryFW!F775)*100</f>
        <v>17.600000000000001</v>
      </c>
    </row>
    <row r="776" spans="1:8" hidden="1" x14ac:dyDescent="0.25">
      <c r="A776" t="s">
        <v>11</v>
      </c>
      <c r="B776" s="2">
        <v>42886</v>
      </c>
      <c r="C776">
        <v>2017</v>
      </c>
      <c r="E776" t="s">
        <v>6</v>
      </c>
      <c r="F776">
        <f>(SingleBerryDW!F776/SingleBerryFW!F776)*100</f>
        <v>18</v>
      </c>
    </row>
    <row r="777" spans="1:8" hidden="1" x14ac:dyDescent="0.25">
      <c r="A777" t="s">
        <v>11</v>
      </c>
      <c r="B777" s="2">
        <v>42887</v>
      </c>
      <c r="C777">
        <v>2017</v>
      </c>
      <c r="E777" t="s">
        <v>6</v>
      </c>
      <c r="F777">
        <f>(SingleBerryDW!F777/SingleBerryFW!F777)*100</f>
        <v>17.399999999999999</v>
      </c>
    </row>
    <row r="778" spans="1:8" hidden="1" x14ac:dyDescent="0.25">
      <c r="A778" t="s">
        <v>11</v>
      </c>
      <c r="B778" s="2">
        <v>42887</v>
      </c>
      <c r="C778">
        <v>2017</v>
      </c>
      <c r="E778" t="s">
        <v>6</v>
      </c>
      <c r="F778">
        <f>(SingleBerryDW!F778/SingleBerryFW!F778)*100</f>
        <v>16.899999999999999</v>
      </c>
    </row>
    <row r="779" spans="1:8" hidden="1" x14ac:dyDescent="0.25">
      <c r="A779" t="s">
        <v>11</v>
      </c>
      <c r="B779" s="2">
        <v>42887</v>
      </c>
      <c r="C779">
        <v>2017</v>
      </c>
      <c r="E779" t="s">
        <v>6</v>
      </c>
      <c r="F779">
        <f>(SingleBerryDW!F779/SingleBerryFW!F779)*100</f>
        <v>18</v>
      </c>
    </row>
    <row r="780" spans="1:8" hidden="1" x14ac:dyDescent="0.25">
      <c r="A780" t="s">
        <v>11</v>
      </c>
      <c r="B780" s="2">
        <v>42893</v>
      </c>
      <c r="C780">
        <v>2017</v>
      </c>
      <c r="E780" t="s">
        <v>6</v>
      </c>
      <c r="F780">
        <f>(SingleBerryDW!F780/SingleBerryFW!F780)*100</f>
        <v>17.899999999999999</v>
      </c>
    </row>
    <row r="781" spans="1:8" hidden="1" x14ac:dyDescent="0.25">
      <c r="A781" t="s">
        <v>11</v>
      </c>
      <c r="B781" s="2">
        <v>42893</v>
      </c>
      <c r="C781">
        <v>2017</v>
      </c>
      <c r="E781" t="s">
        <v>6</v>
      </c>
      <c r="F781">
        <f>(SingleBerryDW!F781/SingleBerryFW!F781)*100</f>
        <v>17.8</v>
      </c>
    </row>
    <row r="782" spans="1:8" hidden="1" x14ac:dyDescent="0.25">
      <c r="A782" t="s">
        <v>11</v>
      </c>
      <c r="B782" s="2">
        <v>42894</v>
      </c>
      <c r="C782">
        <v>2017</v>
      </c>
      <c r="E782" t="s">
        <v>6</v>
      </c>
      <c r="F782">
        <f>(SingleBerryDW!F782/SingleBerryFW!F782)*100</f>
        <v>17.7</v>
      </c>
    </row>
    <row r="783" spans="1:8" hidden="1" x14ac:dyDescent="0.25">
      <c r="A783" t="s">
        <v>11</v>
      </c>
      <c r="B783" s="2">
        <v>42907</v>
      </c>
      <c r="C783">
        <v>2017</v>
      </c>
      <c r="E783" t="s">
        <v>6</v>
      </c>
      <c r="F783">
        <f>(SingleBerryDW!F783/SingleBerryFW!F783)*100</f>
        <v>17.5</v>
      </c>
    </row>
    <row r="784" spans="1:8" hidden="1" x14ac:dyDescent="0.25">
      <c r="A784" t="s">
        <v>11</v>
      </c>
      <c r="B784" s="2">
        <v>42907</v>
      </c>
      <c r="C784">
        <v>2017</v>
      </c>
      <c r="E784" t="s">
        <v>6</v>
      </c>
      <c r="F784">
        <f>(SingleBerryDW!F784/SingleBerryFW!F784)*100</f>
        <v>18</v>
      </c>
    </row>
    <row r="785" spans="1:6" hidden="1" x14ac:dyDescent="0.25">
      <c r="A785" t="s">
        <v>11</v>
      </c>
      <c r="B785" s="2">
        <v>42908</v>
      </c>
      <c r="C785">
        <v>2017</v>
      </c>
      <c r="E785" t="s">
        <v>6</v>
      </c>
      <c r="F785">
        <f>(SingleBerryDW!F785/SingleBerryFW!F785)*100</f>
        <v>17.8</v>
      </c>
    </row>
    <row r="786" spans="1:6" hidden="1" x14ac:dyDescent="0.25">
      <c r="A786" t="s">
        <v>12</v>
      </c>
      <c r="B786" s="2">
        <v>43116</v>
      </c>
      <c r="C786">
        <v>2018</v>
      </c>
      <c r="E786" t="s">
        <v>6</v>
      </c>
      <c r="F786">
        <f>(SingleBerryDW!F786/SingleBerryFW!F786)*100</f>
        <v>7.7</v>
      </c>
    </row>
    <row r="787" spans="1:6" hidden="1" x14ac:dyDescent="0.25">
      <c r="A787" t="s">
        <v>12</v>
      </c>
      <c r="B787" s="2">
        <v>43116</v>
      </c>
      <c r="C787">
        <v>2018</v>
      </c>
      <c r="E787" t="s">
        <v>6</v>
      </c>
      <c r="F787">
        <f>(SingleBerryDW!F787/SingleBerryFW!F787)*100</f>
        <v>6.7999999999999989</v>
      </c>
    </row>
    <row r="788" spans="1:6" hidden="1" x14ac:dyDescent="0.25">
      <c r="A788" t="s">
        <v>12</v>
      </c>
      <c r="B788" s="2">
        <v>43151</v>
      </c>
      <c r="C788">
        <v>2018</v>
      </c>
      <c r="E788" t="s">
        <v>6</v>
      </c>
      <c r="F788">
        <f>(SingleBerryDW!F788/SingleBerryFW!F788)*100</f>
        <v>12.599999999999998</v>
      </c>
    </row>
    <row r="789" spans="1:6" hidden="1" x14ac:dyDescent="0.25">
      <c r="A789" t="s">
        <v>12</v>
      </c>
      <c r="B789" s="2">
        <v>43151</v>
      </c>
      <c r="C789">
        <v>2018</v>
      </c>
      <c r="E789" t="s">
        <v>6</v>
      </c>
      <c r="F789">
        <f>(SingleBerryDW!F789/SingleBerryFW!F789)*100</f>
        <v>11.4</v>
      </c>
    </row>
    <row r="790" spans="1:6" hidden="1" x14ac:dyDescent="0.25">
      <c r="A790" t="s">
        <v>12</v>
      </c>
      <c r="B790" s="2">
        <v>43165</v>
      </c>
      <c r="C790">
        <v>2018</v>
      </c>
      <c r="E790" t="s">
        <v>6</v>
      </c>
      <c r="F790">
        <f>(SingleBerryDW!F790/SingleBerryFW!F790)*100</f>
        <v>14.3</v>
      </c>
    </row>
    <row r="791" spans="1:6" hidden="1" x14ac:dyDescent="0.25">
      <c r="A791" t="s">
        <v>12</v>
      </c>
      <c r="B791" s="2">
        <v>43165</v>
      </c>
      <c r="C791">
        <v>2018</v>
      </c>
      <c r="E791" t="s">
        <v>6</v>
      </c>
      <c r="F791">
        <f>(SingleBerryDW!F791/SingleBerryFW!F791)*100</f>
        <v>13.299999999999997</v>
      </c>
    </row>
    <row r="792" spans="1:6" hidden="1" x14ac:dyDescent="0.25">
      <c r="A792" t="s">
        <v>12</v>
      </c>
      <c r="B792" s="2">
        <v>43179</v>
      </c>
      <c r="C792">
        <v>2018</v>
      </c>
      <c r="E792" t="s">
        <v>6</v>
      </c>
      <c r="F792">
        <f>(SingleBerryDW!F792/SingleBerryFW!F792)*100</f>
        <v>15.7</v>
      </c>
    </row>
    <row r="793" spans="1:6" hidden="1" x14ac:dyDescent="0.25">
      <c r="A793" t="s">
        <v>12</v>
      </c>
      <c r="B793" s="2">
        <v>43179</v>
      </c>
      <c r="C793">
        <v>2018</v>
      </c>
      <c r="E793" t="s">
        <v>6</v>
      </c>
      <c r="F793">
        <f>(SingleBerryDW!F793/SingleBerryFW!F793)*100</f>
        <v>14.7</v>
      </c>
    </row>
    <row r="794" spans="1:6" hidden="1" x14ac:dyDescent="0.25">
      <c r="A794" t="s">
        <v>12</v>
      </c>
      <c r="B794" s="2">
        <v>43195</v>
      </c>
      <c r="C794">
        <v>2018</v>
      </c>
      <c r="E794" t="s">
        <v>6</v>
      </c>
      <c r="F794">
        <f>(SingleBerryDW!F794/SingleBerryFW!F794)*100</f>
        <v>16.399999999999999</v>
      </c>
    </row>
    <row r="795" spans="1:6" hidden="1" x14ac:dyDescent="0.25">
      <c r="A795" t="s">
        <v>12</v>
      </c>
      <c r="B795" s="2">
        <v>43195</v>
      </c>
      <c r="C795">
        <v>2018</v>
      </c>
      <c r="E795" t="s">
        <v>6</v>
      </c>
      <c r="F795">
        <f>(SingleBerryDW!F795/SingleBerryFW!F795)*100</f>
        <v>15.4</v>
      </c>
    </row>
    <row r="796" spans="1:6" hidden="1" x14ac:dyDescent="0.25">
      <c r="A796" t="s">
        <v>12</v>
      </c>
      <c r="B796" s="2">
        <v>43201</v>
      </c>
      <c r="C796">
        <v>2018</v>
      </c>
      <c r="E796" t="s">
        <v>6</v>
      </c>
      <c r="F796">
        <f>(SingleBerryDW!F796/SingleBerryFW!F796)*100</f>
        <v>16.600000000000001</v>
      </c>
    </row>
    <row r="797" spans="1:6" hidden="1" x14ac:dyDescent="0.25">
      <c r="A797" t="s">
        <v>12</v>
      </c>
      <c r="B797" s="2">
        <v>43201</v>
      </c>
      <c r="C797">
        <v>2018</v>
      </c>
      <c r="E797" t="s">
        <v>6</v>
      </c>
      <c r="F797">
        <f>(SingleBerryDW!F797/SingleBerryFW!F797)*100</f>
        <v>15.8</v>
      </c>
    </row>
    <row r="798" spans="1:6" hidden="1" x14ac:dyDescent="0.25">
      <c r="A798" t="s">
        <v>12</v>
      </c>
      <c r="B798" s="2">
        <v>43209</v>
      </c>
      <c r="C798">
        <v>2018</v>
      </c>
      <c r="E798" t="s">
        <v>6</v>
      </c>
      <c r="F798">
        <f>(SingleBerryDW!F798/SingleBerryFW!F798)*100</f>
        <v>17.200000000000003</v>
      </c>
    </row>
    <row r="799" spans="1:6" hidden="1" x14ac:dyDescent="0.25">
      <c r="A799" t="s">
        <v>12</v>
      </c>
      <c r="B799" s="2">
        <v>43209</v>
      </c>
      <c r="C799">
        <v>2018</v>
      </c>
      <c r="E799" t="s">
        <v>6</v>
      </c>
      <c r="F799">
        <f>(SingleBerryDW!F799/SingleBerryFW!F799)*100</f>
        <v>16</v>
      </c>
    </row>
    <row r="800" spans="1:6" hidden="1" x14ac:dyDescent="0.25">
      <c r="A800" t="s">
        <v>12</v>
      </c>
      <c r="B800" s="2">
        <v>43215</v>
      </c>
      <c r="C800">
        <v>2018</v>
      </c>
      <c r="E800" t="s">
        <v>6</v>
      </c>
      <c r="F800">
        <f>(SingleBerryDW!F800/SingleBerryFW!F800)*100</f>
        <v>17.100000000000001</v>
      </c>
    </row>
    <row r="801" spans="1:6" hidden="1" x14ac:dyDescent="0.25">
      <c r="A801" t="s">
        <v>12</v>
      </c>
      <c r="B801" s="2">
        <v>43215</v>
      </c>
      <c r="C801">
        <v>2018</v>
      </c>
      <c r="E801" t="s">
        <v>6</v>
      </c>
      <c r="F801">
        <f>(SingleBerryDW!F801/SingleBerryFW!F801)*100</f>
        <v>16</v>
      </c>
    </row>
    <row r="802" spans="1:6" hidden="1" x14ac:dyDescent="0.25">
      <c r="A802" t="s">
        <v>12</v>
      </c>
      <c r="B802" s="2">
        <v>43221</v>
      </c>
      <c r="C802">
        <v>2018</v>
      </c>
      <c r="E802" t="s">
        <v>6</v>
      </c>
      <c r="F802">
        <f>(SingleBerryDW!F802/SingleBerryFW!F802)*100</f>
        <v>17.399999999999999</v>
      </c>
    </row>
    <row r="803" spans="1:6" hidden="1" x14ac:dyDescent="0.25">
      <c r="A803" t="s">
        <v>12</v>
      </c>
      <c r="B803" s="2">
        <v>43221</v>
      </c>
      <c r="C803">
        <v>2018</v>
      </c>
      <c r="E803" t="s">
        <v>6</v>
      </c>
      <c r="F803">
        <f>(SingleBerryDW!F803/SingleBerryFW!F803)*100</f>
        <v>16.600000000000001</v>
      </c>
    </row>
    <row r="804" spans="1:6" hidden="1" x14ac:dyDescent="0.25">
      <c r="A804" t="s">
        <v>12</v>
      </c>
      <c r="B804" s="2">
        <v>43235</v>
      </c>
      <c r="C804">
        <v>2018</v>
      </c>
      <c r="E804" t="s">
        <v>6</v>
      </c>
      <c r="F804">
        <f>(SingleBerryDW!F804/SingleBerryFW!F804)*100</f>
        <v>18.099999999999998</v>
      </c>
    </row>
    <row r="805" spans="1:6" hidden="1" x14ac:dyDescent="0.25">
      <c r="A805" t="s">
        <v>12</v>
      </c>
      <c r="B805" s="2">
        <v>43235</v>
      </c>
      <c r="C805">
        <v>2018</v>
      </c>
      <c r="E805" t="s">
        <v>6</v>
      </c>
      <c r="F805">
        <f>(SingleBerryDW!F805/SingleBerryFW!F805)*100</f>
        <v>16.600000000000005</v>
      </c>
    </row>
    <row r="806" spans="1:6" hidden="1" x14ac:dyDescent="0.25">
      <c r="A806" t="s">
        <v>12</v>
      </c>
      <c r="B806" s="2">
        <v>43249</v>
      </c>
      <c r="C806">
        <v>2018</v>
      </c>
      <c r="E806" t="s">
        <v>6</v>
      </c>
      <c r="F806">
        <f>(SingleBerryDW!F806/SingleBerryFW!F806)*100</f>
        <v>18.299999999999997</v>
      </c>
    </row>
    <row r="807" spans="1:6" hidden="1" x14ac:dyDescent="0.25">
      <c r="A807" t="s">
        <v>12</v>
      </c>
      <c r="B807" s="2">
        <v>43249</v>
      </c>
      <c r="C807">
        <v>2018</v>
      </c>
      <c r="E807" t="s">
        <v>6</v>
      </c>
      <c r="F807">
        <f>(SingleBerryDW!F807/SingleBerryFW!F807)*100</f>
        <v>17.299999999999997</v>
      </c>
    </row>
    <row r="808" spans="1:6" hidden="1" x14ac:dyDescent="0.25">
      <c r="A808" t="s">
        <v>12</v>
      </c>
      <c r="B808" s="2">
        <v>43116</v>
      </c>
      <c r="C808">
        <v>2018</v>
      </c>
      <c r="E808" t="s">
        <v>6</v>
      </c>
      <c r="F808">
        <f>(SingleBerryDW!F808/SingleBerryFW!F808)*100</f>
        <v>7.1</v>
      </c>
    </row>
    <row r="809" spans="1:6" hidden="1" x14ac:dyDescent="0.25">
      <c r="A809" t="s">
        <v>12</v>
      </c>
      <c r="B809" s="2">
        <v>43151</v>
      </c>
      <c r="C809">
        <v>2018</v>
      </c>
      <c r="E809" t="s">
        <v>6</v>
      </c>
      <c r="F809">
        <f>(SingleBerryDW!F809/SingleBerryFW!F809)*100</f>
        <v>11.300000000000002</v>
      </c>
    </row>
    <row r="810" spans="1:6" hidden="1" x14ac:dyDescent="0.25">
      <c r="A810" t="s">
        <v>12</v>
      </c>
      <c r="B810" s="2">
        <v>43165</v>
      </c>
      <c r="C810">
        <v>2018</v>
      </c>
      <c r="E810" t="s">
        <v>6</v>
      </c>
      <c r="F810">
        <f>(SingleBerryDW!F810/SingleBerryFW!F810)*100</f>
        <v>13.699999999999998</v>
      </c>
    </row>
    <row r="811" spans="1:6" hidden="1" x14ac:dyDescent="0.25">
      <c r="A811" t="s">
        <v>12</v>
      </c>
      <c r="B811" s="2">
        <v>43179</v>
      </c>
      <c r="C811">
        <v>2018</v>
      </c>
      <c r="E811" t="s">
        <v>6</v>
      </c>
      <c r="F811">
        <f>(SingleBerryDW!F811/SingleBerryFW!F811)*100</f>
        <v>15.300000000000002</v>
      </c>
    </row>
    <row r="812" spans="1:6" hidden="1" x14ac:dyDescent="0.25">
      <c r="A812" t="s">
        <v>12</v>
      </c>
      <c r="B812" s="2">
        <v>43194</v>
      </c>
      <c r="C812">
        <v>2018</v>
      </c>
      <c r="E812" t="s">
        <v>6</v>
      </c>
      <c r="F812">
        <f>(SingleBerryDW!F812/SingleBerryFW!F812)*100</f>
        <v>15.9</v>
      </c>
    </row>
    <row r="813" spans="1:6" hidden="1" x14ac:dyDescent="0.25">
      <c r="A813" t="s">
        <v>12</v>
      </c>
      <c r="B813" s="2">
        <v>43201</v>
      </c>
      <c r="C813">
        <v>2018</v>
      </c>
      <c r="E813" t="s">
        <v>6</v>
      </c>
      <c r="F813">
        <f>(SingleBerryDW!F813/SingleBerryFW!F813)*100</f>
        <v>16.2</v>
      </c>
    </row>
    <row r="814" spans="1:6" hidden="1" x14ac:dyDescent="0.25">
      <c r="A814" t="s">
        <v>12</v>
      </c>
      <c r="B814" s="2">
        <v>43209</v>
      </c>
      <c r="C814">
        <v>2018</v>
      </c>
      <c r="E814" t="s">
        <v>6</v>
      </c>
      <c r="F814">
        <f>(SingleBerryDW!F814/SingleBerryFW!F814)*100</f>
        <v>16.3</v>
      </c>
    </row>
    <row r="815" spans="1:6" hidden="1" x14ac:dyDescent="0.25">
      <c r="A815" t="s">
        <v>12</v>
      </c>
      <c r="B815" s="2">
        <v>43215</v>
      </c>
      <c r="C815">
        <v>2018</v>
      </c>
      <c r="E815" t="s">
        <v>6</v>
      </c>
      <c r="F815">
        <f>(SingleBerryDW!F815/SingleBerryFW!F815)*100</f>
        <v>16.800000000000004</v>
      </c>
    </row>
    <row r="816" spans="1:6" hidden="1" x14ac:dyDescent="0.25">
      <c r="A816" t="s">
        <v>12</v>
      </c>
      <c r="B816" s="2">
        <v>43221</v>
      </c>
      <c r="C816">
        <v>2018</v>
      </c>
      <c r="E816" t="s">
        <v>6</v>
      </c>
      <c r="F816">
        <f>(SingleBerryDW!F816/SingleBerryFW!F816)*100</f>
        <v>17</v>
      </c>
    </row>
    <row r="817" spans="1:6" hidden="1" x14ac:dyDescent="0.25">
      <c r="A817" t="s">
        <v>12</v>
      </c>
      <c r="B817" s="2">
        <v>43235</v>
      </c>
      <c r="C817">
        <v>2018</v>
      </c>
      <c r="E817" t="s">
        <v>6</v>
      </c>
      <c r="F817">
        <f>(SingleBerryDW!F817/SingleBerryFW!F817)*100</f>
        <v>17.3</v>
      </c>
    </row>
    <row r="818" spans="1:6" hidden="1" x14ac:dyDescent="0.25">
      <c r="A818" t="s">
        <v>12</v>
      </c>
      <c r="B818" s="2">
        <v>43249</v>
      </c>
      <c r="C818">
        <v>2018</v>
      </c>
      <c r="E818" t="s">
        <v>6</v>
      </c>
      <c r="F818">
        <f>(SingleBerryDW!F818/SingleBerryFW!F818)*100</f>
        <v>17.599999999999998</v>
      </c>
    </row>
    <row r="819" spans="1:6" hidden="1" x14ac:dyDescent="0.25">
      <c r="A819" t="s">
        <v>12</v>
      </c>
      <c r="B819" s="2">
        <v>43115</v>
      </c>
      <c r="C819">
        <v>2018</v>
      </c>
      <c r="E819" t="s">
        <v>6</v>
      </c>
      <c r="F819">
        <f>(SingleBerryDW!F819/SingleBerryFW!F819)*100</f>
        <v>7.1999999999999993</v>
      </c>
    </row>
    <row r="820" spans="1:6" hidden="1" x14ac:dyDescent="0.25">
      <c r="A820" t="s">
        <v>12</v>
      </c>
      <c r="B820" s="2">
        <v>43115</v>
      </c>
      <c r="C820">
        <v>2018</v>
      </c>
      <c r="E820" t="s">
        <v>6</v>
      </c>
      <c r="F820">
        <f>(SingleBerryDW!F820/SingleBerryFW!F820)*100</f>
        <v>7.8</v>
      </c>
    </row>
    <row r="821" spans="1:6" hidden="1" x14ac:dyDescent="0.25">
      <c r="A821" t="s">
        <v>12</v>
      </c>
      <c r="B821" s="2">
        <v>43116</v>
      </c>
      <c r="C821">
        <v>2018</v>
      </c>
      <c r="E821" t="s">
        <v>6</v>
      </c>
      <c r="F821">
        <f>(SingleBerryDW!F821/SingleBerryFW!F821)*100</f>
        <v>7.4000000000000012</v>
      </c>
    </row>
    <row r="822" spans="1:6" hidden="1" x14ac:dyDescent="0.25">
      <c r="A822" t="s">
        <v>12</v>
      </c>
      <c r="B822" s="2">
        <v>43116</v>
      </c>
      <c r="C822">
        <v>2018</v>
      </c>
      <c r="E822" t="s">
        <v>6</v>
      </c>
      <c r="F822">
        <f>(SingleBerryDW!F822/SingleBerryFW!F822)*100</f>
        <v>7.4000000000000012</v>
      </c>
    </row>
    <row r="823" spans="1:6" hidden="1" x14ac:dyDescent="0.25">
      <c r="A823" t="s">
        <v>12</v>
      </c>
      <c r="B823" s="2">
        <v>43150</v>
      </c>
      <c r="C823">
        <v>2018</v>
      </c>
      <c r="E823" t="s">
        <v>6</v>
      </c>
      <c r="F823">
        <f>(SingleBerryDW!F823/SingleBerryFW!F823)*100</f>
        <v>12.2</v>
      </c>
    </row>
    <row r="824" spans="1:6" hidden="1" x14ac:dyDescent="0.25">
      <c r="A824" t="s">
        <v>12</v>
      </c>
      <c r="B824" s="2">
        <v>43150</v>
      </c>
      <c r="C824">
        <v>2018</v>
      </c>
      <c r="E824" t="s">
        <v>6</v>
      </c>
      <c r="F824">
        <f>(SingleBerryDW!F824/SingleBerryFW!F824)*100</f>
        <v>11.8</v>
      </c>
    </row>
    <row r="825" spans="1:6" hidden="1" x14ac:dyDescent="0.25">
      <c r="A825" t="s">
        <v>12</v>
      </c>
      <c r="B825" s="2">
        <v>43151</v>
      </c>
      <c r="C825">
        <v>2018</v>
      </c>
      <c r="E825" t="s">
        <v>6</v>
      </c>
      <c r="F825">
        <f>(SingleBerryDW!F825/SingleBerryFW!F825)*100</f>
        <v>11.6</v>
      </c>
    </row>
    <row r="826" spans="1:6" hidden="1" x14ac:dyDescent="0.25">
      <c r="A826" t="s">
        <v>12</v>
      </c>
      <c r="B826" s="2">
        <v>43151</v>
      </c>
      <c r="C826">
        <v>2018</v>
      </c>
      <c r="E826" t="s">
        <v>6</v>
      </c>
      <c r="F826">
        <f>(SingleBerryDW!F826/SingleBerryFW!F826)*100</f>
        <v>12.000000000000002</v>
      </c>
    </row>
    <row r="827" spans="1:6" hidden="1" x14ac:dyDescent="0.25">
      <c r="A827" t="s">
        <v>12</v>
      </c>
      <c r="B827" s="2">
        <v>43164</v>
      </c>
      <c r="C827">
        <v>2018</v>
      </c>
      <c r="E827" t="s">
        <v>6</v>
      </c>
      <c r="F827">
        <f>(SingleBerryDW!F827/SingleBerryFW!F827)*100</f>
        <v>14.200000000000001</v>
      </c>
    </row>
    <row r="828" spans="1:6" hidden="1" x14ac:dyDescent="0.25">
      <c r="A828" t="s">
        <v>12</v>
      </c>
      <c r="B828" s="2">
        <v>43164</v>
      </c>
      <c r="C828">
        <v>2018</v>
      </c>
      <c r="E828" t="s">
        <v>6</v>
      </c>
      <c r="F828">
        <f>(SingleBerryDW!F828/SingleBerryFW!F828)*100</f>
        <v>14.200000000000001</v>
      </c>
    </row>
    <row r="829" spans="1:6" hidden="1" x14ac:dyDescent="0.25">
      <c r="A829" t="s">
        <v>12</v>
      </c>
      <c r="B829" s="2">
        <v>43165</v>
      </c>
      <c r="C829">
        <v>2018</v>
      </c>
      <c r="E829" t="s">
        <v>6</v>
      </c>
      <c r="F829">
        <f>(SingleBerryDW!F829/SingleBerryFW!F829)*100</f>
        <v>12.800000000000002</v>
      </c>
    </row>
    <row r="830" spans="1:6" hidden="1" x14ac:dyDescent="0.25">
      <c r="A830" t="s">
        <v>12</v>
      </c>
      <c r="B830" s="2">
        <v>43165</v>
      </c>
      <c r="C830">
        <v>2018</v>
      </c>
      <c r="E830" t="s">
        <v>6</v>
      </c>
      <c r="F830">
        <f>(SingleBerryDW!F830/SingleBerryFW!F830)*100</f>
        <v>14.100000000000001</v>
      </c>
    </row>
    <row r="831" spans="1:6" hidden="1" x14ac:dyDescent="0.25">
      <c r="A831" t="s">
        <v>12</v>
      </c>
      <c r="B831" s="2">
        <v>43178</v>
      </c>
      <c r="C831">
        <v>2018</v>
      </c>
      <c r="E831" t="s">
        <v>6</v>
      </c>
      <c r="F831">
        <f>(SingleBerryDW!F831/SingleBerryFW!F831)*100</f>
        <v>15.1</v>
      </c>
    </row>
    <row r="832" spans="1:6" hidden="1" x14ac:dyDescent="0.25">
      <c r="A832" t="s">
        <v>12</v>
      </c>
      <c r="B832" s="2">
        <v>43178</v>
      </c>
      <c r="C832">
        <v>2018</v>
      </c>
      <c r="E832" t="s">
        <v>6</v>
      </c>
      <c r="F832">
        <f>(SingleBerryDW!F832/SingleBerryFW!F832)*100</f>
        <v>15.7</v>
      </c>
    </row>
    <row r="833" spans="1:6" hidden="1" x14ac:dyDescent="0.25">
      <c r="A833" t="s">
        <v>12</v>
      </c>
      <c r="B833" s="2">
        <v>43179</v>
      </c>
      <c r="C833">
        <v>2018</v>
      </c>
      <c r="E833" t="s">
        <v>6</v>
      </c>
      <c r="F833">
        <f>(SingleBerryDW!F833/SingleBerryFW!F833)*100</f>
        <v>14.099999999999998</v>
      </c>
    </row>
    <row r="834" spans="1:6" hidden="1" x14ac:dyDescent="0.25">
      <c r="A834" t="s">
        <v>12</v>
      </c>
      <c r="B834" s="2">
        <v>43179</v>
      </c>
      <c r="C834">
        <v>2018</v>
      </c>
      <c r="E834" t="s">
        <v>6</v>
      </c>
      <c r="F834">
        <f>(SingleBerryDW!F834/SingleBerryFW!F834)*100</f>
        <v>15.299999999999999</v>
      </c>
    </row>
    <row r="835" spans="1:6" hidden="1" x14ac:dyDescent="0.25">
      <c r="A835" t="s">
        <v>12</v>
      </c>
      <c r="B835" s="2">
        <v>43194</v>
      </c>
      <c r="C835">
        <v>2018</v>
      </c>
      <c r="E835" t="s">
        <v>6</v>
      </c>
      <c r="F835">
        <f>(SingleBerryDW!F835/SingleBerryFW!F835)*100</f>
        <v>15.600000000000003</v>
      </c>
    </row>
    <row r="836" spans="1:6" hidden="1" x14ac:dyDescent="0.25">
      <c r="A836" t="s">
        <v>12</v>
      </c>
      <c r="B836" s="2">
        <v>43194</v>
      </c>
      <c r="C836">
        <v>2018</v>
      </c>
      <c r="E836" t="s">
        <v>6</v>
      </c>
      <c r="F836">
        <f>(SingleBerryDW!F836/SingleBerryFW!F836)*100</f>
        <v>16.600000000000005</v>
      </c>
    </row>
    <row r="837" spans="1:6" hidden="1" x14ac:dyDescent="0.25">
      <c r="A837" t="s">
        <v>12</v>
      </c>
      <c r="B837" s="2">
        <v>43195</v>
      </c>
      <c r="C837">
        <v>2018</v>
      </c>
      <c r="E837" t="s">
        <v>6</v>
      </c>
      <c r="F837">
        <f>(SingleBerryDW!F837/SingleBerryFW!F837)*100</f>
        <v>14.6</v>
      </c>
    </row>
    <row r="838" spans="1:6" hidden="1" x14ac:dyDescent="0.25">
      <c r="A838" t="s">
        <v>12</v>
      </c>
      <c r="B838" s="2">
        <v>43195</v>
      </c>
      <c r="C838">
        <v>2018</v>
      </c>
      <c r="E838" t="s">
        <v>6</v>
      </c>
      <c r="F838">
        <f>(SingleBerryDW!F838/SingleBerryFW!F838)*100</f>
        <v>15.8</v>
      </c>
    </row>
    <row r="839" spans="1:6" hidden="1" x14ac:dyDescent="0.25">
      <c r="A839" t="s">
        <v>12</v>
      </c>
      <c r="B839" s="2">
        <v>43200</v>
      </c>
      <c r="C839">
        <v>2018</v>
      </c>
      <c r="E839" t="s">
        <v>6</v>
      </c>
      <c r="F839">
        <f>(SingleBerryDW!F839/SingleBerryFW!F839)*100</f>
        <v>16.100000000000001</v>
      </c>
    </row>
    <row r="840" spans="1:6" hidden="1" x14ac:dyDescent="0.25">
      <c r="A840" t="s">
        <v>12</v>
      </c>
      <c r="B840" s="2">
        <v>43200</v>
      </c>
      <c r="C840">
        <v>2018</v>
      </c>
      <c r="E840" t="s">
        <v>6</v>
      </c>
      <c r="F840">
        <f>(SingleBerryDW!F840/SingleBerryFW!F840)*100</f>
        <v>16.399999999999999</v>
      </c>
    </row>
    <row r="841" spans="1:6" hidden="1" x14ac:dyDescent="0.25">
      <c r="A841" t="s">
        <v>12</v>
      </c>
      <c r="B841" s="2">
        <v>43201</v>
      </c>
      <c r="C841">
        <v>2018</v>
      </c>
      <c r="E841" t="s">
        <v>6</v>
      </c>
      <c r="F841">
        <f>(SingleBerryDW!F841/SingleBerryFW!F841)*100</f>
        <v>14.6</v>
      </c>
    </row>
    <row r="842" spans="1:6" hidden="1" x14ac:dyDescent="0.25">
      <c r="A842" t="s">
        <v>12</v>
      </c>
      <c r="B842" s="2">
        <v>43201</v>
      </c>
      <c r="C842">
        <v>2018</v>
      </c>
      <c r="E842" t="s">
        <v>6</v>
      </c>
      <c r="F842">
        <f>(SingleBerryDW!F842/SingleBerryFW!F842)*100</f>
        <v>16.300000000000004</v>
      </c>
    </row>
    <row r="843" spans="1:6" hidden="1" x14ac:dyDescent="0.25">
      <c r="A843" t="s">
        <v>12</v>
      </c>
      <c r="B843" s="2">
        <v>43206</v>
      </c>
      <c r="C843">
        <v>2018</v>
      </c>
      <c r="E843" t="s">
        <v>6</v>
      </c>
      <c r="F843">
        <f>(SingleBerryDW!F843/SingleBerryFW!F843)*100</f>
        <v>16</v>
      </c>
    </row>
    <row r="844" spans="1:6" hidden="1" x14ac:dyDescent="0.25">
      <c r="A844" t="s">
        <v>12</v>
      </c>
      <c r="B844" s="2">
        <v>43206</v>
      </c>
      <c r="C844">
        <v>2018</v>
      </c>
      <c r="E844" t="s">
        <v>6</v>
      </c>
      <c r="F844">
        <f>(SingleBerryDW!F844/SingleBerryFW!F844)*100</f>
        <v>17</v>
      </c>
    </row>
    <row r="845" spans="1:6" hidden="1" x14ac:dyDescent="0.25">
      <c r="A845" t="s">
        <v>12</v>
      </c>
      <c r="B845" s="2">
        <v>43209</v>
      </c>
      <c r="C845">
        <v>2018</v>
      </c>
      <c r="E845" t="s">
        <v>6</v>
      </c>
      <c r="F845">
        <f>(SingleBerryDW!F845/SingleBerryFW!F845)*100</f>
        <v>15.299999999999999</v>
      </c>
    </row>
    <row r="846" spans="1:6" hidden="1" x14ac:dyDescent="0.25">
      <c r="A846" t="s">
        <v>12</v>
      </c>
      <c r="B846" s="2">
        <v>43209</v>
      </c>
      <c r="C846">
        <v>2018</v>
      </c>
      <c r="E846" t="s">
        <v>6</v>
      </c>
      <c r="F846">
        <f>(SingleBerryDW!F846/SingleBerryFW!F846)*100</f>
        <v>16.600000000000001</v>
      </c>
    </row>
    <row r="847" spans="1:6" hidden="1" x14ac:dyDescent="0.25">
      <c r="A847" t="s">
        <v>12</v>
      </c>
      <c r="B847" s="2">
        <v>43215</v>
      </c>
      <c r="C847">
        <v>2018</v>
      </c>
      <c r="E847" t="s">
        <v>6</v>
      </c>
      <c r="F847">
        <f>(SingleBerryDW!F847/SingleBerryFW!F847)*100</f>
        <v>15.6</v>
      </c>
    </row>
    <row r="848" spans="1:6" hidden="1" x14ac:dyDescent="0.25">
      <c r="A848" t="s">
        <v>12</v>
      </c>
      <c r="B848" s="2">
        <v>43215</v>
      </c>
      <c r="C848">
        <v>2018</v>
      </c>
      <c r="E848" t="s">
        <v>6</v>
      </c>
      <c r="F848">
        <f>(SingleBerryDW!F848/SingleBerryFW!F848)*100</f>
        <v>16.600000000000005</v>
      </c>
    </row>
    <row r="849" spans="1:8" hidden="1" x14ac:dyDescent="0.25">
      <c r="A849" t="s">
        <v>12</v>
      </c>
      <c r="B849" s="2">
        <v>43215</v>
      </c>
      <c r="C849">
        <v>2018</v>
      </c>
      <c r="E849" t="s">
        <v>6</v>
      </c>
      <c r="F849">
        <f>(SingleBerryDW!F849/SingleBerryFW!F849)*100</f>
        <v>17.100000000000001</v>
      </c>
    </row>
    <row r="850" spans="1:8" hidden="1" x14ac:dyDescent="0.25">
      <c r="A850" t="s">
        <v>12</v>
      </c>
      <c r="B850" s="2">
        <v>43215</v>
      </c>
      <c r="C850">
        <v>2018</v>
      </c>
      <c r="E850" t="s">
        <v>6</v>
      </c>
      <c r="F850">
        <f>(SingleBerryDW!F850/SingleBerryFW!F850)*100</f>
        <v>17.100000000000005</v>
      </c>
    </row>
    <row r="851" spans="1:8" hidden="1" x14ac:dyDescent="0.25">
      <c r="A851" t="s">
        <v>12</v>
      </c>
      <c r="B851" s="2">
        <v>43221</v>
      </c>
      <c r="C851">
        <v>2018</v>
      </c>
      <c r="E851" t="s">
        <v>6</v>
      </c>
      <c r="F851">
        <f>(SingleBerryDW!F851/SingleBerryFW!F851)*100</f>
        <v>15.7</v>
      </c>
    </row>
    <row r="852" spans="1:8" hidden="1" x14ac:dyDescent="0.25">
      <c r="A852" t="s">
        <v>12</v>
      </c>
      <c r="B852" s="2">
        <v>43221</v>
      </c>
      <c r="C852">
        <v>2018</v>
      </c>
      <c r="E852" t="s">
        <v>6</v>
      </c>
      <c r="F852">
        <f>(SingleBerryDW!F852/SingleBerryFW!F852)*100</f>
        <v>16.600000000000001</v>
      </c>
      <c r="G852">
        <v>16.8</v>
      </c>
      <c r="H852" t="s">
        <v>27</v>
      </c>
    </row>
    <row r="853" spans="1:8" hidden="1" x14ac:dyDescent="0.25">
      <c r="A853" t="s">
        <v>12</v>
      </c>
      <c r="B853" s="2">
        <v>43221</v>
      </c>
      <c r="C853">
        <v>2018</v>
      </c>
      <c r="E853" t="s">
        <v>6</v>
      </c>
      <c r="F853">
        <f>(SingleBerryDW!F853/SingleBerryFW!F853)*100</f>
        <v>17</v>
      </c>
    </row>
    <row r="854" spans="1:8" hidden="1" x14ac:dyDescent="0.25">
      <c r="A854" t="s">
        <v>12</v>
      </c>
      <c r="B854" s="2">
        <v>43221</v>
      </c>
      <c r="C854">
        <v>2018</v>
      </c>
      <c r="E854" t="s">
        <v>6</v>
      </c>
      <c r="F854">
        <f>(SingleBerryDW!F854/SingleBerryFW!F854)*100</f>
        <v>17.2</v>
      </c>
    </row>
    <row r="855" spans="1:8" hidden="1" x14ac:dyDescent="0.25">
      <c r="A855" t="s">
        <v>12</v>
      </c>
      <c r="B855" s="2">
        <v>43234</v>
      </c>
      <c r="C855">
        <v>2018</v>
      </c>
      <c r="E855" t="s">
        <v>6</v>
      </c>
      <c r="F855">
        <f>(SingleBerryDW!F855/SingleBerryFW!F855)*100</f>
        <v>16.600000000000001</v>
      </c>
    </row>
    <row r="856" spans="1:8" hidden="1" x14ac:dyDescent="0.25">
      <c r="A856" t="s">
        <v>12</v>
      </c>
      <c r="B856" s="2">
        <v>43234</v>
      </c>
      <c r="C856">
        <v>2018</v>
      </c>
      <c r="E856" t="s">
        <v>6</v>
      </c>
      <c r="F856">
        <f>(SingleBerryDW!F856/SingleBerryFW!F856)*100</f>
        <v>17.899999999999999</v>
      </c>
    </row>
    <row r="857" spans="1:8" hidden="1" x14ac:dyDescent="0.25">
      <c r="A857" t="s">
        <v>12</v>
      </c>
      <c r="B857" s="2">
        <v>43235</v>
      </c>
      <c r="C857">
        <v>2018</v>
      </c>
      <c r="E857" t="s">
        <v>6</v>
      </c>
      <c r="F857">
        <f>(SingleBerryDW!F857/SingleBerryFW!F857)*100</f>
        <v>16</v>
      </c>
    </row>
    <row r="858" spans="1:8" hidden="1" x14ac:dyDescent="0.25">
      <c r="A858" t="s">
        <v>12</v>
      </c>
      <c r="B858" s="2">
        <v>43235</v>
      </c>
      <c r="C858">
        <v>2018</v>
      </c>
      <c r="E858" t="s">
        <v>6</v>
      </c>
      <c r="F858">
        <f>(SingleBerryDW!F858/SingleBerryFW!F858)*100</f>
        <v>17.7</v>
      </c>
    </row>
    <row r="859" spans="1:8" hidden="1" x14ac:dyDescent="0.25">
      <c r="A859" t="s">
        <v>12</v>
      </c>
      <c r="B859" s="2">
        <v>43248</v>
      </c>
      <c r="C859">
        <v>2018</v>
      </c>
      <c r="E859" t="s">
        <v>6</v>
      </c>
      <c r="F859">
        <f>(SingleBerryDW!F859/SingleBerryFW!F859)*100</f>
        <v>17.2</v>
      </c>
    </row>
    <row r="860" spans="1:8" hidden="1" x14ac:dyDescent="0.25">
      <c r="A860" t="s">
        <v>12</v>
      </c>
      <c r="B860" s="2">
        <v>43248</v>
      </c>
      <c r="C860">
        <v>2018</v>
      </c>
      <c r="E860" t="s">
        <v>6</v>
      </c>
      <c r="F860">
        <f>(SingleBerryDW!F860/SingleBerryFW!F860)*100</f>
        <v>18.399999999999999</v>
      </c>
    </row>
    <row r="861" spans="1:8" hidden="1" x14ac:dyDescent="0.25">
      <c r="A861" t="s">
        <v>12</v>
      </c>
      <c r="B861" s="2">
        <v>43249</v>
      </c>
      <c r="C861">
        <v>2018</v>
      </c>
      <c r="E861" t="s">
        <v>6</v>
      </c>
      <c r="F861">
        <f>(SingleBerryDW!F861/SingleBerryFW!F861)*100</f>
        <v>16.600000000000001</v>
      </c>
    </row>
    <row r="862" spans="1:8" hidden="1" x14ac:dyDescent="0.25">
      <c r="A862" t="s">
        <v>12</v>
      </c>
      <c r="B862" s="2">
        <v>43249</v>
      </c>
      <c r="C862">
        <v>2018</v>
      </c>
      <c r="E862" t="s">
        <v>6</v>
      </c>
      <c r="F862">
        <f>(SingleBerryDW!F862/SingleBerryFW!F862)*100</f>
        <v>17.8</v>
      </c>
    </row>
    <row r="863" spans="1:8" hidden="1" x14ac:dyDescent="0.25">
      <c r="A863" t="s">
        <v>13</v>
      </c>
      <c r="B863" s="2">
        <v>43479</v>
      </c>
      <c r="C863">
        <v>2019</v>
      </c>
      <c r="E863" t="s">
        <v>6</v>
      </c>
      <c r="F863">
        <f>(SingleBerryDW!F863/SingleBerryFW!F863)*100</f>
        <v>7.1</v>
      </c>
    </row>
    <row r="864" spans="1:8" hidden="1" x14ac:dyDescent="0.25">
      <c r="A864" t="s">
        <v>13</v>
      </c>
      <c r="B864" s="2">
        <v>43515</v>
      </c>
      <c r="C864">
        <v>2019</v>
      </c>
      <c r="E864" t="s">
        <v>6</v>
      </c>
      <c r="F864">
        <f>(SingleBerryDW!F864/SingleBerryFW!F864)*100</f>
        <v>12.6</v>
      </c>
    </row>
    <row r="865" spans="1:6" hidden="1" x14ac:dyDescent="0.25">
      <c r="A865" t="s">
        <v>13</v>
      </c>
      <c r="B865" s="2">
        <v>43529</v>
      </c>
      <c r="C865">
        <v>2019</v>
      </c>
      <c r="E865" t="s">
        <v>6</v>
      </c>
      <c r="F865">
        <f>(SingleBerryDW!F865/SingleBerryFW!F865)*100</f>
        <v>14.3</v>
      </c>
    </row>
    <row r="866" spans="1:6" hidden="1" x14ac:dyDescent="0.25">
      <c r="A866" t="s">
        <v>13</v>
      </c>
      <c r="B866" s="2">
        <v>43543</v>
      </c>
      <c r="C866">
        <v>2019</v>
      </c>
      <c r="E866" t="s">
        <v>6</v>
      </c>
      <c r="F866">
        <f>(SingleBerryDW!F866/SingleBerryFW!F866)*100</f>
        <v>15.6</v>
      </c>
    </row>
    <row r="867" spans="1:6" hidden="1" x14ac:dyDescent="0.25">
      <c r="A867" t="s">
        <v>13</v>
      </c>
      <c r="B867" s="2">
        <v>43557</v>
      </c>
      <c r="C867">
        <v>2019</v>
      </c>
      <c r="E867" t="s">
        <v>6</v>
      </c>
      <c r="F867">
        <f>(SingleBerryDW!F867/SingleBerryFW!F867)*100</f>
        <v>16</v>
      </c>
    </row>
    <row r="868" spans="1:6" hidden="1" x14ac:dyDescent="0.25">
      <c r="A868" t="s">
        <v>13</v>
      </c>
      <c r="B868" s="2">
        <v>43564</v>
      </c>
      <c r="C868">
        <v>2019</v>
      </c>
      <c r="E868" t="s">
        <v>6</v>
      </c>
      <c r="F868">
        <f>(SingleBerryDW!F868/SingleBerryFW!F868)*100</f>
        <v>16.5</v>
      </c>
    </row>
    <row r="869" spans="1:6" hidden="1" x14ac:dyDescent="0.25">
      <c r="A869" t="s">
        <v>13</v>
      </c>
      <c r="B869" s="2">
        <v>43570</v>
      </c>
      <c r="C869">
        <v>2019</v>
      </c>
      <c r="E869" t="s">
        <v>6</v>
      </c>
      <c r="F869">
        <f>(SingleBerryDW!F869/SingleBerryFW!F869)*100</f>
        <v>16.600000000000005</v>
      </c>
    </row>
    <row r="870" spans="1:6" hidden="1" x14ac:dyDescent="0.25">
      <c r="A870" t="s">
        <v>13</v>
      </c>
      <c r="B870" s="2">
        <v>43577</v>
      </c>
      <c r="C870">
        <v>2019</v>
      </c>
      <c r="E870" t="s">
        <v>6</v>
      </c>
      <c r="F870">
        <f>(SingleBerryDW!F870/SingleBerryFW!F870)*100</f>
        <v>16.7</v>
      </c>
    </row>
    <row r="871" spans="1:6" hidden="1" x14ac:dyDescent="0.25">
      <c r="A871" t="s">
        <v>13</v>
      </c>
      <c r="B871" s="2">
        <v>43584</v>
      </c>
      <c r="C871">
        <v>2019</v>
      </c>
      <c r="E871" t="s">
        <v>6</v>
      </c>
      <c r="F871">
        <f>(SingleBerryDW!F871/SingleBerryFW!F871)*100</f>
        <v>17.100000000000001</v>
      </c>
    </row>
    <row r="872" spans="1:6" hidden="1" x14ac:dyDescent="0.25">
      <c r="A872" t="s">
        <v>13</v>
      </c>
      <c r="B872" s="2">
        <v>43613</v>
      </c>
      <c r="C872">
        <v>2019</v>
      </c>
      <c r="E872" t="s">
        <v>6</v>
      </c>
      <c r="F872">
        <f>(SingleBerryDW!F872/SingleBerryFW!F872)*100</f>
        <v>17.899999999999999</v>
      </c>
    </row>
    <row r="873" spans="1:6" hidden="1" x14ac:dyDescent="0.25">
      <c r="A873" t="s">
        <v>13</v>
      </c>
      <c r="B873" s="2">
        <v>43479</v>
      </c>
      <c r="C873">
        <v>2019</v>
      </c>
      <c r="E873" t="s">
        <v>6</v>
      </c>
      <c r="F873">
        <f>(SingleBerryDW!F873/SingleBerryFW!F873)*100</f>
        <v>7.3</v>
      </c>
    </row>
    <row r="874" spans="1:6" hidden="1" x14ac:dyDescent="0.25">
      <c r="A874" t="s">
        <v>13</v>
      </c>
      <c r="B874" s="2">
        <v>43515</v>
      </c>
      <c r="C874">
        <v>2019</v>
      </c>
      <c r="E874" t="s">
        <v>6</v>
      </c>
      <c r="F874">
        <f>(SingleBerryDW!F874/SingleBerryFW!F874)*100</f>
        <v>12.9</v>
      </c>
    </row>
    <row r="875" spans="1:6" hidden="1" x14ac:dyDescent="0.25">
      <c r="A875" t="s">
        <v>13</v>
      </c>
      <c r="B875" s="2">
        <v>43529</v>
      </c>
      <c r="C875">
        <v>2019</v>
      </c>
      <c r="E875" t="s">
        <v>6</v>
      </c>
      <c r="F875">
        <f>(SingleBerryDW!F875/SingleBerryFW!F875)*100</f>
        <v>14.6</v>
      </c>
    </row>
    <row r="876" spans="1:6" hidden="1" x14ac:dyDescent="0.25">
      <c r="A876" t="s">
        <v>13</v>
      </c>
      <c r="B876" s="2">
        <v>43543</v>
      </c>
      <c r="C876">
        <v>2019</v>
      </c>
      <c r="E876" t="s">
        <v>6</v>
      </c>
      <c r="F876">
        <f>(SingleBerryDW!F876/SingleBerryFW!F876)*100</f>
        <v>16.100000000000001</v>
      </c>
    </row>
    <row r="877" spans="1:6" hidden="1" x14ac:dyDescent="0.25">
      <c r="A877" t="s">
        <v>13</v>
      </c>
      <c r="B877" s="2">
        <v>43557</v>
      </c>
      <c r="C877">
        <v>2019</v>
      </c>
      <c r="E877" t="s">
        <v>6</v>
      </c>
      <c r="F877">
        <f>(SingleBerryDW!F877/SingleBerryFW!F877)*100</f>
        <v>16.5</v>
      </c>
    </row>
    <row r="878" spans="1:6" hidden="1" x14ac:dyDescent="0.25">
      <c r="A878" t="s">
        <v>13</v>
      </c>
      <c r="B878" s="2">
        <v>43564</v>
      </c>
      <c r="C878">
        <v>2019</v>
      </c>
      <c r="E878" t="s">
        <v>6</v>
      </c>
      <c r="F878">
        <f>(SingleBerryDW!F878/SingleBerryFW!F878)*100</f>
        <v>16.899999999999999</v>
      </c>
    </row>
    <row r="879" spans="1:6" hidden="1" x14ac:dyDescent="0.25">
      <c r="A879" t="s">
        <v>13</v>
      </c>
      <c r="B879" s="2">
        <v>43570</v>
      </c>
      <c r="C879">
        <v>2019</v>
      </c>
      <c r="E879" t="s">
        <v>6</v>
      </c>
      <c r="F879">
        <f>(SingleBerryDW!F879/SingleBerryFW!F879)*100</f>
        <v>17</v>
      </c>
    </row>
    <row r="880" spans="1:6" hidden="1" x14ac:dyDescent="0.25">
      <c r="A880" t="s">
        <v>13</v>
      </c>
      <c r="B880" s="2">
        <v>43577</v>
      </c>
      <c r="C880">
        <v>2019</v>
      </c>
      <c r="E880" t="s">
        <v>6</v>
      </c>
      <c r="F880">
        <f>(SingleBerryDW!F880/SingleBerryFW!F880)*100</f>
        <v>17.299999999999997</v>
      </c>
    </row>
    <row r="881" spans="1:6" hidden="1" x14ac:dyDescent="0.25">
      <c r="A881" t="s">
        <v>13</v>
      </c>
      <c r="B881" s="2">
        <v>43584</v>
      </c>
      <c r="C881">
        <v>2019</v>
      </c>
      <c r="E881" t="s">
        <v>6</v>
      </c>
      <c r="F881">
        <f>(SingleBerryDW!F881/SingleBerryFW!F881)*100</f>
        <v>17.5</v>
      </c>
    </row>
    <row r="882" spans="1:6" hidden="1" x14ac:dyDescent="0.25">
      <c r="A882" t="s">
        <v>13</v>
      </c>
      <c r="B882" s="2">
        <v>43613</v>
      </c>
      <c r="C882">
        <v>2019</v>
      </c>
      <c r="E882" t="s">
        <v>6</v>
      </c>
      <c r="F882">
        <f>(SingleBerryDW!F882/SingleBerryFW!F882)*100</f>
        <v>18.3</v>
      </c>
    </row>
    <row r="883" spans="1:6" hidden="1" x14ac:dyDescent="0.25">
      <c r="A883" t="s">
        <v>13</v>
      </c>
      <c r="B883" s="2">
        <v>43479</v>
      </c>
      <c r="C883">
        <v>2019</v>
      </c>
      <c r="E883" t="s">
        <v>6</v>
      </c>
      <c r="F883">
        <f>(SingleBerryDW!F883/SingleBerryFW!F883)*100</f>
        <v>8</v>
      </c>
    </row>
    <row r="884" spans="1:6" hidden="1" x14ac:dyDescent="0.25">
      <c r="A884" t="s">
        <v>13</v>
      </c>
      <c r="B884" s="2">
        <v>43479</v>
      </c>
      <c r="C884">
        <v>2019</v>
      </c>
      <c r="E884" t="s">
        <v>6</v>
      </c>
      <c r="F884">
        <f>(SingleBerryDW!F884/SingleBerryFW!F884)*100</f>
        <v>7.4000000000000012</v>
      </c>
    </row>
    <row r="885" spans="1:6" hidden="1" x14ac:dyDescent="0.25">
      <c r="A885" t="s">
        <v>13</v>
      </c>
      <c r="B885" s="2">
        <v>43479</v>
      </c>
      <c r="C885">
        <v>2019</v>
      </c>
      <c r="E885" t="s">
        <v>6</v>
      </c>
      <c r="F885">
        <f>(SingleBerryDW!F885/SingleBerryFW!F885)*100</f>
        <v>7.6</v>
      </c>
    </row>
    <row r="886" spans="1:6" hidden="1" x14ac:dyDescent="0.25">
      <c r="A886" t="s">
        <v>13</v>
      </c>
      <c r="B886" s="2">
        <v>43479</v>
      </c>
      <c r="C886">
        <v>2019</v>
      </c>
      <c r="E886" t="s">
        <v>6</v>
      </c>
      <c r="F886">
        <f>(SingleBerryDW!F886/SingleBerryFW!F886)*100</f>
        <v>7.7999999999999989</v>
      </c>
    </row>
    <row r="887" spans="1:6" hidden="1" x14ac:dyDescent="0.25">
      <c r="A887" t="s">
        <v>13</v>
      </c>
      <c r="B887" s="2">
        <v>43514</v>
      </c>
      <c r="C887">
        <v>2019</v>
      </c>
      <c r="E887" t="s">
        <v>6</v>
      </c>
      <c r="F887">
        <f>(SingleBerryDW!F887/SingleBerryFW!F887)*100</f>
        <v>13.3</v>
      </c>
    </row>
    <row r="888" spans="1:6" hidden="1" x14ac:dyDescent="0.25">
      <c r="A888" t="s">
        <v>13</v>
      </c>
      <c r="B888" s="2">
        <v>43514</v>
      </c>
      <c r="C888">
        <v>2019</v>
      </c>
      <c r="E888" t="s">
        <v>6</v>
      </c>
      <c r="F888">
        <f>(SingleBerryDW!F888/SingleBerryFW!F888)*100</f>
        <v>12.800000000000002</v>
      </c>
    </row>
    <row r="889" spans="1:6" hidden="1" x14ac:dyDescent="0.25">
      <c r="A889" t="s">
        <v>13</v>
      </c>
      <c r="B889" s="2">
        <v>43514</v>
      </c>
      <c r="C889">
        <v>2019</v>
      </c>
      <c r="E889" t="s">
        <v>6</v>
      </c>
      <c r="F889">
        <f>(SingleBerryDW!F889/SingleBerryFW!F889)*100</f>
        <v>12.899999999999997</v>
      </c>
    </row>
    <row r="890" spans="1:6" hidden="1" x14ac:dyDescent="0.25">
      <c r="A890" t="s">
        <v>13</v>
      </c>
      <c r="B890" s="2">
        <v>43514</v>
      </c>
      <c r="C890">
        <v>2019</v>
      </c>
      <c r="E890" t="s">
        <v>6</v>
      </c>
      <c r="F890">
        <f>(SingleBerryDW!F890/SingleBerryFW!F890)*100</f>
        <v>13.4</v>
      </c>
    </row>
    <row r="891" spans="1:6" hidden="1" x14ac:dyDescent="0.25">
      <c r="A891" t="s">
        <v>13</v>
      </c>
      <c r="B891" s="2">
        <v>43528</v>
      </c>
      <c r="C891">
        <v>2019</v>
      </c>
      <c r="E891" t="s">
        <v>6</v>
      </c>
      <c r="F891">
        <f>(SingleBerryDW!F891/SingleBerryFW!F891)*100</f>
        <v>14.499999999999998</v>
      </c>
    </row>
    <row r="892" spans="1:6" hidden="1" x14ac:dyDescent="0.25">
      <c r="A892" t="s">
        <v>13</v>
      </c>
      <c r="B892" s="2">
        <v>43528</v>
      </c>
      <c r="C892">
        <v>2019</v>
      </c>
      <c r="E892" t="s">
        <v>6</v>
      </c>
      <c r="F892">
        <f>(SingleBerryDW!F892/SingleBerryFW!F892)*100</f>
        <v>14.700000000000003</v>
      </c>
    </row>
    <row r="893" spans="1:6" hidden="1" x14ac:dyDescent="0.25">
      <c r="A893" t="s">
        <v>13</v>
      </c>
      <c r="B893" s="2">
        <v>43529</v>
      </c>
      <c r="C893">
        <v>2019</v>
      </c>
      <c r="E893" t="s">
        <v>6</v>
      </c>
      <c r="F893">
        <f>(SingleBerryDW!F893/SingleBerryFW!F893)*100</f>
        <v>15.200000000000003</v>
      </c>
    </row>
    <row r="894" spans="1:6" hidden="1" x14ac:dyDescent="0.25">
      <c r="A894" t="s">
        <v>13</v>
      </c>
      <c r="B894" s="2">
        <v>43542</v>
      </c>
      <c r="C894">
        <v>2019</v>
      </c>
      <c r="E894" t="s">
        <v>6</v>
      </c>
      <c r="F894">
        <f>(SingleBerryDW!F894/SingleBerryFW!F894)*100</f>
        <v>15.8</v>
      </c>
    </row>
    <row r="895" spans="1:6" hidden="1" x14ac:dyDescent="0.25">
      <c r="A895" t="s">
        <v>13</v>
      </c>
      <c r="B895" s="2">
        <v>43542</v>
      </c>
      <c r="C895">
        <v>2019</v>
      </c>
      <c r="E895" t="s">
        <v>6</v>
      </c>
      <c r="F895">
        <f>(SingleBerryDW!F895/SingleBerryFW!F895)*100</f>
        <v>15.4</v>
      </c>
    </row>
    <row r="896" spans="1:6" hidden="1" x14ac:dyDescent="0.25">
      <c r="A896" t="s">
        <v>13</v>
      </c>
      <c r="B896" s="2">
        <v>43543</v>
      </c>
      <c r="C896">
        <v>2019</v>
      </c>
      <c r="E896" t="s">
        <v>6</v>
      </c>
      <c r="F896">
        <f>(SingleBerryDW!F896/SingleBerryFW!F896)*100</f>
        <v>16</v>
      </c>
    </row>
    <row r="897" spans="1:8" hidden="1" x14ac:dyDescent="0.25">
      <c r="A897" t="s">
        <v>13</v>
      </c>
      <c r="B897" s="2">
        <v>43557</v>
      </c>
      <c r="C897">
        <v>2019</v>
      </c>
      <c r="E897" t="s">
        <v>6</v>
      </c>
      <c r="F897">
        <f>(SingleBerryDW!F897/SingleBerryFW!F897)*100</f>
        <v>16.100000000000001</v>
      </c>
    </row>
    <row r="898" spans="1:8" hidden="1" x14ac:dyDescent="0.25">
      <c r="A898" t="s">
        <v>13</v>
      </c>
      <c r="B898" s="2">
        <v>43557</v>
      </c>
      <c r="C898">
        <v>2019</v>
      </c>
      <c r="E898" t="s">
        <v>6</v>
      </c>
      <c r="F898">
        <f>(SingleBerryDW!F898/SingleBerryFW!F898)*100</f>
        <v>16.400000000000002</v>
      </c>
    </row>
    <row r="899" spans="1:8" hidden="1" x14ac:dyDescent="0.25">
      <c r="A899" t="s">
        <v>13</v>
      </c>
      <c r="B899" s="2">
        <v>43557</v>
      </c>
      <c r="C899">
        <v>2019</v>
      </c>
      <c r="E899" t="s">
        <v>6</v>
      </c>
      <c r="F899">
        <f>(SingleBerryDW!F899/SingleBerryFW!F899)*100</f>
        <v>16.600000000000001</v>
      </c>
    </row>
    <row r="900" spans="1:8" hidden="1" x14ac:dyDescent="0.25">
      <c r="A900" t="s">
        <v>13</v>
      </c>
      <c r="B900" s="2">
        <v>43557</v>
      </c>
      <c r="C900">
        <v>2019</v>
      </c>
      <c r="E900" t="s">
        <v>6</v>
      </c>
      <c r="F900">
        <f>(SingleBerryDW!F900/SingleBerryFW!F900)*100</f>
        <v>15.7</v>
      </c>
    </row>
    <row r="901" spans="1:8" hidden="1" x14ac:dyDescent="0.25">
      <c r="A901" t="s">
        <v>13</v>
      </c>
      <c r="B901" s="2">
        <v>43564</v>
      </c>
      <c r="C901">
        <v>2019</v>
      </c>
      <c r="E901" t="s">
        <v>6</v>
      </c>
      <c r="F901">
        <f>(SingleBerryDW!F901/SingleBerryFW!F901)*100</f>
        <v>16.5</v>
      </c>
    </row>
    <row r="902" spans="1:8" hidden="1" x14ac:dyDescent="0.25">
      <c r="A902" t="s">
        <v>13</v>
      </c>
      <c r="B902" s="2">
        <v>43564</v>
      </c>
      <c r="C902">
        <v>2019</v>
      </c>
      <c r="E902" t="s">
        <v>6</v>
      </c>
      <c r="F902">
        <f>(SingleBerryDW!F902/SingleBerryFW!F902)*100</f>
        <v>16.3</v>
      </c>
    </row>
    <row r="903" spans="1:8" hidden="1" x14ac:dyDescent="0.25">
      <c r="A903" t="s">
        <v>13</v>
      </c>
      <c r="B903" s="2">
        <v>43564</v>
      </c>
      <c r="C903">
        <v>2019</v>
      </c>
      <c r="E903" t="s">
        <v>6</v>
      </c>
      <c r="F903">
        <f>(SingleBerryDW!F903/SingleBerryFW!F903)*100</f>
        <v>16.899999999999999</v>
      </c>
    </row>
    <row r="904" spans="1:8" hidden="1" x14ac:dyDescent="0.25">
      <c r="A904" t="s">
        <v>13</v>
      </c>
      <c r="B904" s="2">
        <v>43564</v>
      </c>
      <c r="C904">
        <v>2019</v>
      </c>
      <c r="E904" t="s">
        <v>6</v>
      </c>
      <c r="F904">
        <f>(SingleBerryDW!F904/SingleBerryFW!F904)*100</f>
        <v>16.3</v>
      </c>
    </row>
    <row r="905" spans="1:8" hidden="1" x14ac:dyDescent="0.25">
      <c r="A905" t="s">
        <v>13</v>
      </c>
      <c r="B905" s="2">
        <v>43570</v>
      </c>
      <c r="C905">
        <v>2019</v>
      </c>
      <c r="E905" t="s">
        <v>6</v>
      </c>
      <c r="F905">
        <f>(SingleBerryDW!F905/SingleBerryFW!F905)*100</f>
        <v>16.600000000000001</v>
      </c>
    </row>
    <row r="906" spans="1:8" hidden="1" x14ac:dyDescent="0.25">
      <c r="A906" t="s">
        <v>13</v>
      </c>
      <c r="B906" s="2">
        <v>43570</v>
      </c>
      <c r="C906">
        <v>2019</v>
      </c>
      <c r="E906" t="s">
        <v>6</v>
      </c>
      <c r="F906">
        <f>(SingleBerryDW!F906/SingleBerryFW!F906)*100</f>
        <v>16.7</v>
      </c>
    </row>
    <row r="907" spans="1:8" hidden="1" x14ac:dyDescent="0.25">
      <c r="A907" t="s">
        <v>13</v>
      </c>
      <c r="B907" s="2">
        <v>43570</v>
      </c>
      <c r="C907">
        <v>2019</v>
      </c>
      <c r="E907" t="s">
        <v>6</v>
      </c>
      <c r="F907">
        <f>(SingleBerryDW!F907/SingleBerryFW!F907)*100</f>
        <v>17.299999999999997</v>
      </c>
    </row>
    <row r="908" spans="1:8" hidden="1" x14ac:dyDescent="0.25">
      <c r="A908" t="s">
        <v>13</v>
      </c>
      <c r="B908" s="2">
        <v>43570</v>
      </c>
      <c r="C908">
        <v>2019</v>
      </c>
      <c r="E908" t="s">
        <v>6</v>
      </c>
      <c r="F908">
        <f>(SingleBerryDW!F908/SingleBerryFW!F908)*100</f>
        <v>16.399999999999999</v>
      </c>
    </row>
    <row r="909" spans="1:8" hidden="1" x14ac:dyDescent="0.25">
      <c r="A909" t="s">
        <v>13</v>
      </c>
      <c r="B909" s="2">
        <v>43577</v>
      </c>
      <c r="C909">
        <v>2019</v>
      </c>
      <c r="E909" t="s">
        <v>6</v>
      </c>
      <c r="F909">
        <f>(SingleBerryDW!F909/SingleBerryFW!F909)*100</f>
        <v>16.400000000000002</v>
      </c>
    </row>
    <row r="910" spans="1:8" hidden="1" x14ac:dyDescent="0.25">
      <c r="A910" t="s">
        <v>13</v>
      </c>
      <c r="B910" s="2">
        <v>43577</v>
      </c>
      <c r="C910">
        <v>2019</v>
      </c>
      <c r="E910" t="s">
        <v>6</v>
      </c>
      <c r="F910">
        <f>(SingleBerryDW!F910/SingleBerryFW!F910)*100</f>
        <v>16.8</v>
      </c>
      <c r="G910">
        <v>17</v>
      </c>
      <c r="H910" t="s">
        <v>27</v>
      </c>
    </row>
    <row r="911" spans="1:8" hidden="1" x14ac:dyDescent="0.25">
      <c r="A911" t="s">
        <v>13</v>
      </c>
      <c r="B911" s="2">
        <v>43577</v>
      </c>
      <c r="C911">
        <v>2019</v>
      </c>
      <c r="E911" t="s">
        <v>6</v>
      </c>
      <c r="F911">
        <f>(SingleBerryDW!F911/SingleBerryFW!F911)*100</f>
        <v>17.399999999999999</v>
      </c>
    </row>
    <row r="912" spans="1:8" hidden="1" x14ac:dyDescent="0.25">
      <c r="A912" t="s">
        <v>13</v>
      </c>
      <c r="B912" s="2">
        <v>43577</v>
      </c>
      <c r="C912">
        <v>2019</v>
      </c>
      <c r="E912" t="s">
        <v>6</v>
      </c>
      <c r="F912">
        <f>(SingleBerryDW!F912/SingleBerryFW!F912)*100</f>
        <v>16.3</v>
      </c>
    </row>
    <row r="913" spans="1:6" hidden="1" x14ac:dyDescent="0.25">
      <c r="A913" t="s">
        <v>13</v>
      </c>
      <c r="B913" s="2">
        <v>43584</v>
      </c>
      <c r="C913">
        <v>2019</v>
      </c>
      <c r="E913" t="s">
        <v>6</v>
      </c>
      <c r="F913">
        <f>(SingleBerryDW!F913/SingleBerryFW!F913)*100</f>
        <v>16.7</v>
      </c>
    </row>
    <row r="914" spans="1:6" hidden="1" x14ac:dyDescent="0.25">
      <c r="A914" t="s">
        <v>13</v>
      </c>
      <c r="B914" s="2">
        <v>43584</v>
      </c>
      <c r="C914">
        <v>2019</v>
      </c>
      <c r="E914" t="s">
        <v>6</v>
      </c>
      <c r="F914">
        <f>(SingleBerryDW!F914/SingleBerryFW!F914)*100</f>
        <v>16.899999999999999</v>
      </c>
    </row>
    <row r="915" spans="1:6" hidden="1" x14ac:dyDescent="0.25">
      <c r="A915" t="s">
        <v>13</v>
      </c>
      <c r="B915" s="2">
        <v>43584</v>
      </c>
      <c r="C915">
        <v>2019</v>
      </c>
      <c r="E915" t="s">
        <v>6</v>
      </c>
      <c r="F915">
        <f>(SingleBerryDW!F915/SingleBerryFW!F915)*100</f>
        <v>17.599999999999998</v>
      </c>
    </row>
    <row r="916" spans="1:6" hidden="1" x14ac:dyDescent="0.25">
      <c r="A916" t="s">
        <v>13</v>
      </c>
      <c r="B916" s="2">
        <v>43584</v>
      </c>
      <c r="C916">
        <v>2019</v>
      </c>
      <c r="E916" t="s">
        <v>6</v>
      </c>
      <c r="F916">
        <f>(SingleBerryDW!F916/SingleBerryFW!F916)*100</f>
        <v>16.600000000000001</v>
      </c>
    </row>
    <row r="917" spans="1:6" hidden="1" x14ac:dyDescent="0.25">
      <c r="A917" t="s">
        <v>13</v>
      </c>
      <c r="B917" s="2">
        <v>43612</v>
      </c>
      <c r="C917">
        <v>2019</v>
      </c>
      <c r="E917" t="s">
        <v>6</v>
      </c>
      <c r="F917">
        <f>(SingleBerryDW!F917/SingleBerryFW!F917)*100</f>
        <v>18.3</v>
      </c>
    </row>
    <row r="918" spans="1:6" hidden="1" x14ac:dyDescent="0.25">
      <c r="A918" t="s">
        <v>13</v>
      </c>
      <c r="B918" s="2">
        <v>43612</v>
      </c>
      <c r="C918">
        <v>2019</v>
      </c>
      <c r="E918" t="s">
        <v>6</v>
      </c>
      <c r="F918">
        <f>(SingleBerryDW!F918/SingleBerryFW!F918)*100</f>
        <v>17.5</v>
      </c>
    </row>
    <row r="919" spans="1:6" hidden="1" x14ac:dyDescent="0.25">
      <c r="A919" t="s">
        <v>13</v>
      </c>
      <c r="B919" s="2">
        <v>43613</v>
      </c>
      <c r="C919">
        <v>2019</v>
      </c>
      <c r="E919" t="s">
        <v>6</v>
      </c>
      <c r="F919">
        <f>(SingleBerryDW!F919/SingleBerryFW!F919)*100</f>
        <v>17.599999999999998</v>
      </c>
    </row>
    <row r="920" spans="1:6" hidden="1" x14ac:dyDescent="0.25">
      <c r="A920" t="s">
        <v>13</v>
      </c>
      <c r="B920" s="2">
        <v>43613</v>
      </c>
      <c r="C920">
        <v>2019</v>
      </c>
      <c r="E920" t="s">
        <v>6</v>
      </c>
      <c r="F920">
        <f>(SingleBerryDW!F920/SingleBerryFW!F920)*100</f>
        <v>17.700000000000003</v>
      </c>
    </row>
    <row r="921" spans="1:6" hidden="1" x14ac:dyDescent="0.25">
      <c r="A921" t="s">
        <v>14</v>
      </c>
      <c r="B921" s="2">
        <v>43850</v>
      </c>
      <c r="C921">
        <v>2020</v>
      </c>
      <c r="E921" t="s">
        <v>6</v>
      </c>
      <c r="F921">
        <f>(SingleBerryDW!F921/SingleBerryFW!F921)*100</f>
        <v>8.1</v>
      </c>
    </row>
    <row r="922" spans="1:6" hidden="1" x14ac:dyDescent="0.25">
      <c r="A922" t="s">
        <v>14</v>
      </c>
      <c r="B922" s="2">
        <v>43880</v>
      </c>
      <c r="C922">
        <v>2020</v>
      </c>
      <c r="E922" t="s">
        <v>6</v>
      </c>
      <c r="F922">
        <f>(SingleBerryDW!F922/SingleBerryFW!F922)*100</f>
        <v>12.400000000000002</v>
      </c>
    </row>
    <row r="923" spans="1:6" hidden="1" x14ac:dyDescent="0.25">
      <c r="A923" t="s">
        <v>14</v>
      </c>
      <c r="B923" s="2">
        <v>43892</v>
      </c>
      <c r="C923">
        <v>2020</v>
      </c>
      <c r="E923" t="s">
        <v>6</v>
      </c>
      <c r="F923">
        <f>(SingleBerryDW!F923/SingleBerryFW!F923)*100</f>
        <v>13.999999999999998</v>
      </c>
    </row>
    <row r="924" spans="1:6" hidden="1" x14ac:dyDescent="0.25">
      <c r="A924" t="s">
        <v>14</v>
      </c>
      <c r="B924" s="2">
        <v>43906</v>
      </c>
      <c r="C924">
        <v>2020</v>
      </c>
      <c r="E924" t="s">
        <v>6</v>
      </c>
      <c r="F924">
        <f>(SingleBerryDW!F924/SingleBerryFW!F924)*100</f>
        <v>15.5</v>
      </c>
    </row>
    <row r="925" spans="1:6" hidden="1" x14ac:dyDescent="0.25">
      <c r="A925" t="s">
        <v>14</v>
      </c>
      <c r="B925" s="2">
        <v>43950</v>
      </c>
      <c r="C925">
        <v>2020</v>
      </c>
      <c r="E925" t="s">
        <v>6</v>
      </c>
      <c r="F925">
        <f>(SingleBerryDW!F925/SingleBerryFW!F925)*100</f>
        <v>17.5</v>
      </c>
    </row>
    <row r="926" spans="1:6" hidden="1" x14ac:dyDescent="0.25">
      <c r="A926" t="s">
        <v>14</v>
      </c>
      <c r="B926" s="2">
        <v>43963</v>
      </c>
      <c r="C926">
        <v>2020</v>
      </c>
      <c r="E926" t="s">
        <v>6</v>
      </c>
      <c r="F926">
        <f>(SingleBerryDW!F926/SingleBerryFW!F926)*100</f>
        <v>17.699999999999996</v>
      </c>
    </row>
    <row r="927" spans="1:6" hidden="1" x14ac:dyDescent="0.25">
      <c r="A927" t="s">
        <v>14</v>
      </c>
      <c r="B927" s="2">
        <v>43977</v>
      </c>
      <c r="C927">
        <v>2020</v>
      </c>
      <c r="E927" t="s">
        <v>6</v>
      </c>
      <c r="F927">
        <f>(SingleBerryDW!F927/SingleBerryFW!F927)*100</f>
        <v>17.700000000000003</v>
      </c>
    </row>
    <row r="928" spans="1:6" hidden="1" x14ac:dyDescent="0.25">
      <c r="A928" t="s">
        <v>14</v>
      </c>
      <c r="B928" s="2">
        <v>43851</v>
      </c>
      <c r="C928">
        <v>2020</v>
      </c>
      <c r="E928" t="s">
        <v>6</v>
      </c>
      <c r="F928">
        <f>(SingleBerryDW!F928/SingleBerryFW!F928)*100</f>
        <v>8.6999999999999993</v>
      </c>
    </row>
    <row r="929" spans="1:6" hidden="1" x14ac:dyDescent="0.25">
      <c r="A929" t="s">
        <v>14</v>
      </c>
      <c r="B929" s="2">
        <v>43880</v>
      </c>
      <c r="C929">
        <v>2020</v>
      </c>
      <c r="E929" t="s">
        <v>6</v>
      </c>
      <c r="F929">
        <f>(SingleBerryDW!F929/SingleBerryFW!F929)*100</f>
        <v>13.4</v>
      </c>
    </row>
    <row r="930" spans="1:6" hidden="1" x14ac:dyDescent="0.25">
      <c r="A930" t="s">
        <v>14</v>
      </c>
      <c r="B930" s="2">
        <v>43894</v>
      </c>
      <c r="C930">
        <v>2020</v>
      </c>
      <c r="E930" t="s">
        <v>6</v>
      </c>
      <c r="F930">
        <f>(SingleBerryDW!F930/SingleBerryFW!F930)*100</f>
        <v>14.899999999999999</v>
      </c>
    </row>
    <row r="931" spans="1:6" hidden="1" x14ac:dyDescent="0.25">
      <c r="A931" t="s">
        <v>14</v>
      </c>
      <c r="B931" s="2">
        <v>43907</v>
      </c>
      <c r="C931">
        <v>2020</v>
      </c>
      <c r="E931" t="s">
        <v>6</v>
      </c>
      <c r="F931">
        <f>(SingleBerryDW!F931/SingleBerryFW!F931)*100</f>
        <v>16.5</v>
      </c>
    </row>
    <row r="932" spans="1:6" hidden="1" x14ac:dyDescent="0.25">
      <c r="A932" t="s">
        <v>14</v>
      </c>
      <c r="B932" s="2">
        <v>43951</v>
      </c>
      <c r="C932">
        <v>2020</v>
      </c>
      <c r="E932" t="s">
        <v>6</v>
      </c>
      <c r="F932">
        <f>(SingleBerryDW!F932/SingleBerryFW!F932)*100</f>
        <v>18.800000000000004</v>
      </c>
    </row>
    <row r="933" spans="1:6" hidden="1" x14ac:dyDescent="0.25">
      <c r="A933" t="s">
        <v>14</v>
      </c>
      <c r="B933" s="2">
        <v>43963</v>
      </c>
      <c r="C933">
        <v>2020</v>
      </c>
      <c r="E933" t="s">
        <v>6</v>
      </c>
      <c r="F933">
        <f>(SingleBerryDW!F933/SingleBerryFW!F933)*100</f>
        <v>18.899999999999999</v>
      </c>
    </row>
    <row r="934" spans="1:6" hidden="1" x14ac:dyDescent="0.25">
      <c r="A934" t="s">
        <v>14</v>
      </c>
      <c r="B934" s="2">
        <v>43979</v>
      </c>
      <c r="C934">
        <v>2020</v>
      </c>
      <c r="E934" t="s">
        <v>6</v>
      </c>
      <c r="F934">
        <f>(SingleBerryDW!F934/SingleBerryFW!F934)*100</f>
        <v>19.5</v>
      </c>
    </row>
    <row r="935" spans="1:6" hidden="1" x14ac:dyDescent="0.25">
      <c r="A935" t="s">
        <v>14</v>
      </c>
      <c r="B935" s="2">
        <v>43850</v>
      </c>
      <c r="C935">
        <v>2020</v>
      </c>
      <c r="E935" t="s">
        <v>6</v>
      </c>
      <c r="F935">
        <f>(SingleBerryDW!F935/SingleBerryFW!F935)*100</f>
        <v>8.6</v>
      </c>
    </row>
    <row r="936" spans="1:6" hidden="1" x14ac:dyDescent="0.25">
      <c r="A936" t="s">
        <v>14</v>
      </c>
      <c r="B936" s="2">
        <v>43850</v>
      </c>
      <c r="C936">
        <v>2020</v>
      </c>
      <c r="E936" t="s">
        <v>6</v>
      </c>
      <c r="F936">
        <f>(SingleBerryDW!F936/SingleBerryFW!F936)*100</f>
        <v>8.6000000000000014</v>
      </c>
    </row>
    <row r="937" spans="1:6" hidden="1" x14ac:dyDescent="0.25">
      <c r="A937" t="s">
        <v>14</v>
      </c>
      <c r="B937" s="2">
        <v>43851</v>
      </c>
      <c r="C937">
        <v>2020</v>
      </c>
      <c r="E937" t="s">
        <v>6</v>
      </c>
      <c r="F937">
        <f>(SingleBerryDW!F937/SingleBerryFW!F937)*100</f>
        <v>8.9</v>
      </c>
    </row>
    <row r="938" spans="1:6" hidden="1" x14ac:dyDescent="0.25">
      <c r="A938" t="s">
        <v>14</v>
      </c>
      <c r="B938" s="2">
        <v>43878</v>
      </c>
      <c r="C938">
        <v>2020</v>
      </c>
      <c r="E938" t="s">
        <v>6</v>
      </c>
      <c r="F938">
        <f>(SingleBerryDW!F938/SingleBerryFW!F938)*100</f>
        <v>13.3</v>
      </c>
    </row>
    <row r="939" spans="1:6" hidden="1" x14ac:dyDescent="0.25">
      <c r="A939" t="s">
        <v>14</v>
      </c>
      <c r="B939" s="2">
        <v>43878</v>
      </c>
      <c r="C939">
        <v>2020</v>
      </c>
      <c r="E939" t="s">
        <v>6</v>
      </c>
      <c r="F939">
        <f>(SingleBerryDW!F939/SingleBerryFW!F939)*100</f>
        <v>12.799999999999997</v>
      </c>
    </row>
    <row r="940" spans="1:6" hidden="1" x14ac:dyDescent="0.25">
      <c r="A940" t="s">
        <v>14</v>
      </c>
      <c r="B940" s="2">
        <v>43880</v>
      </c>
      <c r="C940">
        <v>2020</v>
      </c>
      <c r="E940" t="s">
        <v>6</v>
      </c>
      <c r="F940">
        <f>(SingleBerryDW!F940/SingleBerryFW!F940)*100</f>
        <v>13.5</v>
      </c>
    </row>
    <row r="941" spans="1:6" hidden="1" x14ac:dyDescent="0.25">
      <c r="A941" t="s">
        <v>14</v>
      </c>
      <c r="B941" s="2">
        <v>43892</v>
      </c>
      <c r="C941">
        <v>2020</v>
      </c>
      <c r="E941" t="s">
        <v>6</v>
      </c>
      <c r="F941">
        <f>(SingleBerryDW!F941/SingleBerryFW!F941)*100</f>
        <v>14.900000000000002</v>
      </c>
    </row>
    <row r="942" spans="1:6" hidden="1" x14ac:dyDescent="0.25">
      <c r="A942" t="s">
        <v>14</v>
      </c>
      <c r="B942" s="2">
        <v>43892</v>
      </c>
      <c r="C942">
        <v>2020</v>
      </c>
      <c r="E942" t="s">
        <v>6</v>
      </c>
      <c r="F942">
        <f>(SingleBerryDW!F942/SingleBerryFW!F942)*100</f>
        <v>14.900000000000002</v>
      </c>
    </row>
    <row r="943" spans="1:6" hidden="1" x14ac:dyDescent="0.25">
      <c r="A943" t="s">
        <v>14</v>
      </c>
      <c r="B943" s="2">
        <v>43894</v>
      </c>
      <c r="C943">
        <v>2020</v>
      </c>
      <c r="E943" t="s">
        <v>6</v>
      </c>
      <c r="F943">
        <f>(SingleBerryDW!F943/SingleBerryFW!F943)*100</f>
        <v>14.400000000000002</v>
      </c>
    </row>
    <row r="944" spans="1:6" hidden="1" x14ac:dyDescent="0.25">
      <c r="A944" t="s">
        <v>14</v>
      </c>
      <c r="B944" s="2">
        <v>43906</v>
      </c>
      <c r="C944">
        <v>2020</v>
      </c>
      <c r="E944" t="s">
        <v>6</v>
      </c>
      <c r="F944">
        <f>(SingleBerryDW!F944/SingleBerryFW!F944)*100</f>
        <v>16</v>
      </c>
    </row>
    <row r="945" spans="1:8" hidden="1" x14ac:dyDescent="0.25">
      <c r="A945" t="s">
        <v>14</v>
      </c>
      <c r="B945" s="2">
        <v>43906</v>
      </c>
      <c r="C945">
        <v>2020</v>
      </c>
      <c r="E945" t="s">
        <v>6</v>
      </c>
      <c r="F945">
        <f>(SingleBerryDW!F945/SingleBerryFW!F945)*100</f>
        <v>16</v>
      </c>
    </row>
    <row r="946" spans="1:8" hidden="1" x14ac:dyDescent="0.25">
      <c r="A946" t="s">
        <v>14</v>
      </c>
      <c r="B946" s="2">
        <v>43907</v>
      </c>
      <c r="C946">
        <v>2020</v>
      </c>
      <c r="E946" t="s">
        <v>6</v>
      </c>
      <c r="F946">
        <f>(SingleBerryDW!F946/SingleBerryFW!F946)*100</f>
        <v>15.4</v>
      </c>
    </row>
    <row r="947" spans="1:8" hidden="1" x14ac:dyDescent="0.25">
      <c r="A947" t="s">
        <v>14</v>
      </c>
      <c r="B947" s="2">
        <v>43950</v>
      </c>
      <c r="C947">
        <v>2020</v>
      </c>
      <c r="E947" t="s">
        <v>6</v>
      </c>
      <c r="F947">
        <f>(SingleBerryDW!F947/SingleBerryFW!F947)*100</f>
        <v>18.5</v>
      </c>
      <c r="G947">
        <v>18.100000000000001</v>
      </c>
      <c r="H947" t="s">
        <v>27</v>
      </c>
    </row>
    <row r="948" spans="1:8" hidden="1" x14ac:dyDescent="0.25">
      <c r="A948" t="s">
        <v>14</v>
      </c>
      <c r="B948" s="2">
        <v>43950</v>
      </c>
      <c r="C948">
        <v>2020</v>
      </c>
      <c r="E948" t="s">
        <v>6</v>
      </c>
      <c r="F948">
        <f>(SingleBerryDW!F948/SingleBerryFW!F948)*100</f>
        <v>18.5</v>
      </c>
    </row>
    <row r="949" spans="1:8" hidden="1" x14ac:dyDescent="0.25">
      <c r="A949" t="s">
        <v>14</v>
      </c>
      <c r="B949" s="2">
        <v>43950</v>
      </c>
      <c r="C949">
        <v>2020</v>
      </c>
      <c r="E949" t="s">
        <v>6</v>
      </c>
      <c r="F949">
        <f>(SingleBerryDW!F949/SingleBerryFW!F949)*100</f>
        <v>17.299999999999997</v>
      </c>
    </row>
    <row r="950" spans="1:8" hidden="1" x14ac:dyDescent="0.25">
      <c r="A950" t="s">
        <v>14</v>
      </c>
      <c r="B950" s="2">
        <v>43963</v>
      </c>
      <c r="C950">
        <v>2020</v>
      </c>
      <c r="E950" t="s">
        <v>6</v>
      </c>
      <c r="F950">
        <f>(SingleBerryDW!F950/SingleBerryFW!F950)*100</f>
        <v>18.899999999999999</v>
      </c>
    </row>
    <row r="951" spans="1:8" hidden="1" x14ac:dyDescent="0.25">
      <c r="A951" t="s">
        <v>14</v>
      </c>
      <c r="B951" s="2">
        <v>43964</v>
      </c>
      <c r="C951">
        <v>2020</v>
      </c>
      <c r="E951" t="s">
        <v>6</v>
      </c>
      <c r="F951">
        <f>(SingleBerryDW!F951/SingleBerryFW!F951)*100</f>
        <v>18.8</v>
      </c>
    </row>
    <row r="952" spans="1:8" hidden="1" x14ac:dyDescent="0.25">
      <c r="A952" t="s">
        <v>14</v>
      </c>
      <c r="B952" s="2">
        <v>43964</v>
      </c>
      <c r="C952">
        <v>2020</v>
      </c>
      <c r="E952" t="s">
        <v>6</v>
      </c>
      <c r="F952">
        <f>(SingleBerryDW!F952/SingleBerryFW!F952)*100</f>
        <v>17.5</v>
      </c>
    </row>
    <row r="953" spans="1:8" hidden="1" x14ac:dyDescent="0.25">
      <c r="A953" t="s">
        <v>14</v>
      </c>
      <c r="B953" s="2">
        <v>43978</v>
      </c>
      <c r="C953">
        <v>2020</v>
      </c>
      <c r="E953" t="s">
        <v>6</v>
      </c>
      <c r="F953">
        <f>(SingleBerryDW!F953/SingleBerryFW!F953)*100</f>
        <v>18.999999999999996</v>
      </c>
    </row>
    <row r="954" spans="1:8" hidden="1" x14ac:dyDescent="0.25">
      <c r="A954" t="s">
        <v>14</v>
      </c>
      <c r="B954" s="2">
        <v>43978</v>
      </c>
      <c r="C954">
        <v>2020</v>
      </c>
      <c r="E954" t="s">
        <v>6</v>
      </c>
      <c r="F954">
        <f>(SingleBerryDW!F954/SingleBerryFW!F954)*100</f>
        <v>18.199999999999996</v>
      </c>
    </row>
    <row r="955" spans="1:8" hidden="1" x14ac:dyDescent="0.25">
      <c r="A955" t="s">
        <v>19</v>
      </c>
      <c r="B955" s="2">
        <v>43850</v>
      </c>
      <c r="C955">
        <v>2020</v>
      </c>
      <c r="E955" t="s">
        <v>9</v>
      </c>
      <c r="F955">
        <f>(SingleBerryDW!F955/SingleBerryFW!F955)*100</f>
        <v>10.1</v>
      </c>
    </row>
    <row r="956" spans="1:8" hidden="1" x14ac:dyDescent="0.25">
      <c r="A956" t="s">
        <v>19</v>
      </c>
      <c r="B956" s="2">
        <v>43880</v>
      </c>
      <c r="C956">
        <v>2020</v>
      </c>
      <c r="E956" t="s">
        <v>9</v>
      </c>
      <c r="F956">
        <f>(SingleBerryDW!F956/SingleBerryFW!F956)*100</f>
        <v>15.300000000000002</v>
      </c>
    </row>
    <row r="957" spans="1:8" hidden="1" x14ac:dyDescent="0.25">
      <c r="A957" t="s">
        <v>19</v>
      </c>
      <c r="B957" s="2">
        <v>43892</v>
      </c>
      <c r="C957">
        <v>2020</v>
      </c>
      <c r="E957" t="s">
        <v>9</v>
      </c>
      <c r="F957">
        <f>(SingleBerryDW!F957/SingleBerryFW!F957)*100</f>
        <v>16.5</v>
      </c>
    </row>
    <row r="958" spans="1:8" hidden="1" x14ac:dyDescent="0.25">
      <c r="A958" t="s">
        <v>19</v>
      </c>
      <c r="B958" s="2">
        <v>43906</v>
      </c>
      <c r="C958">
        <v>2020</v>
      </c>
      <c r="E958" t="s">
        <v>9</v>
      </c>
      <c r="F958">
        <f>(SingleBerryDW!F958/SingleBerryFW!F958)*100</f>
        <v>16.100000000000001</v>
      </c>
    </row>
    <row r="959" spans="1:8" hidden="1" x14ac:dyDescent="0.25">
      <c r="A959" t="s">
        <v>19</v>
      </c>
      <c r="B959" s="2">
        <v>43949</v>
      </c>
      <c r="C959">
        <v>2020</v>
      </c>
      <c r="E959" t="s">
        <v>9</v>
      </c>
      <c r="F959">
        <f>(SingleBerryDW!F959/SingleBerryFW!F959)*100</f>
        <v>16.600000000000005</v>
      </c>
      <c r="G959">
        <f>F959</f>
        <v>16.600000000000005</v>
      </c>
      <c r="H959" t="s">
        <v>27</v>
      </c>
    </row>
    <row r="960" spans="1:8" hidden="1" x14ac:dyDescent="0.25">
      <c r="A960" t="s">
        <v>19</v>
      </c>
      <c r="B960" s="2">
        <v>43963</v>
      </c>
      <c r="C960">
        <v>2020</v>
      </c>
      <c r="E960" t="s">
        <v>9</v>
      </c>
      <c r="F960">
        <f>(SingleBerryDW!F960/SingleBerryFW!F960)*100</f>
        <v>17</v>
      </c>
    </row>
    <row r="961" spans="1:6" hidden="1" x14ac:dyDescent="0.25">
      <c r="A961" t="s">
        <v>19</v>
      </c>
      <c r="B961" s="2">
        <v>43976</v>
      </c>
      <c r="C961">
        <v>2020</v>
      </c>
      <c r="E961" t="s">
        <v>9</v>
      </c>
      <c r="F961">
        <f>(SingleBerryDW!F961/SingleBerryFW!F961)*100</f>
        <v>17.3</v>
      </c>
    </row>
    <row r="962" spans="1:6" hidden="1" x14ac:dyDescent="0.25">
      <c r="A962" t="s">
        <v>15</v>
      </c>
      <c r="B962" s="2">
        <v>44223</v>
      </c>
      <c r="C962">
        <v>2021</v>
      </c>
      <c r="E962" t="s">
        <v>6</v>
      </c>
      <c r="F962">
        <f>(SingleBerryDW!F962/SingleBerryFW!F962)*100</f>
        <v>8.8219087849999998</v>
      </c>
    </row>
    <row r="963" spans="1:6" hidden="1" x14ac:dyDescent="0.25">
      <c r="A963" t="s">
        <v>15</v>
      </c>
      <c r="B963" s="2">
        <v>44244</v>
      </c>
      <c r="C963">
        <v>2021</v>
      </c>
      <c r="E963" t="s">
        <v>6</v>
      </c>
      <c r="F963">
        <f>(SingleBerryDW!F963/SingleBerryFW!F963)*100</f>
        <v>11.326228609999999</v>
      </c>
    </row>
    <row r="964" spans="1:6" hidden="1" x14ac:dyDescent="0.25">
      <c r="A964" t="s">
        <v>15</v>
      </c>
      <c r="B964" s="2">
        <v>44258</v>
      </c>
      <c r="C964">
        <v>2021</v>
      </c>
      <c r="E964" t="s">
        <v>6</v>
      </c>
      <c r="F964">
        <f>(SingleBerryDW!F964/SingleBerryFW!F964)*100</f>
        <v>13.338020979999998</v>
      </c>
    </row>
    <row r="965" spans="1:6" hidden="1" x14ac:dyDescent="0.25">
      <c r="A965" t="s">
        <v>15</v>
      </c>
      <c r="B965" s="2">
        <v>44272</v>
      </c>
      <c r="C965">
        <v>2021</v>
      </c>
      <c r="E965" t="s">
        <v>6</v>
      </c>
      <c r="F965">
        <f>(SingleBerryDW!F965/SingleBerryFW!F965)*100</f>
        <v>14.397584729999998</v>
      </c>
    </row>
    <row r="966" spans="1:6" hidden="1" x14ac:dyDescent="0.25">
      <c r="A966" t="s">
        <v>15</v>
      </c>
      <c r="B966" s="2">
        <v>44286</v>
      </c>
      <c r="C966">
        <v>2021</v>
      </c>
      <c r="E966" t="s">
        <v>6</v>
      </c>
      <c r="F966">
        <f>(SingleBerryDW!F966/SingleBerryFW!F966)*100</f>
        <v>15.18128198</v>
      </c>
    </row>
    <row r="967" spans="1:6" hidden="1" x14ac:dyDescent="0.25">
      <c r="A967" t="s">
        <v>15</v>
      </c>
      <c r="B967" s="2">
        <v>44300</v>
      </c>
      <c r="C967">
        <v>2021</v>
      </c>
      <c r="E967" t="s">
        <v>6</v>
      </c>
      <c r="F967">
        <f>(SingleBerryDW!F967/SingleBerryFW!F967)*100</f>
        <v>15.203008900000004</v>
      </c>
    </row>
    <row r="968" spans="1:6" hidden="1" x14ac:dyDescent="0.25">
      <c r="A968" t="s">
        <v>15</v>
      </c>
      <c r="B968" s="2">
        <v>44307</v>
      </c>
      <c r="C968">
        <v>2021</v>
      </c>
      <c r="E968" t="s">
        <v>6</v>
      </c>
      <c r="F968">
        <f>(SingleBerryDW!F968/SingleBerryFW!F968)*100</f>
        <v>15.654528790000002</v>
      </c>
    </row>
    <row r="969" spans="1:6" hidden="1" x14ac:dyDescent="0.25">
      <c r="A969" t="s">
        <v>15</v>
      </c>
      <c r="B969" s="2">
        <v>44315</v>
      </c>
      <c r="C969">
        <v>2021</v>
      </c>
      <c r="E969" t="s">
        <v>6</v>
      </c>
      <c r="F969">
        <f>(SingleBerryDW!F969/SingleBerryFW!F969)*100</f>
        <v>15.291157419999998</v>
      </c>
    </row>
    <row r="970" spans="1:6" hidden="1" x14ac:dyDescent="0.25">
      <c r="A970" t="s">
        <v>15</v>
      </c>
      <c r="B970" s="2">
        <v>44321</v>
      </c>
      <c r="C970">
        <v>2021</v>
      </c>
      <c r="E970" t="s">
        <v>6</v>
      </c>
      <c r="F970">
        <f>(SingleBerryDW!F970/SingleBerryFW!F970)*100</f>
        <v>16.521215380000001</v>
      </c>
    </row>
    <row r="971" spans="1:6" hidden="1" x14ac:dyDescent="0.25">
      <c r="A971" t="s">
        <v>15</v>
      </c>
      <c r="B971" s="2">
        <v>44335</v>
      </c>
      <c r="C971">
        <v>2021</v>
      </c>
      <c r="E971" t="s">
        <v>6</v>
      </c>
      <c r="F971">
        <f>(SingleBerryDW!F971/SingleBerryFW!F971)*100</f>
        <v>16.493120660000002</v>
      </c>
    </row>
    <row r="972" spans="1:6" hidden="1" x14ac:dyDescent="0.25">
      <c r="A972" t="s">
        <v>15</v>
      </c>
      <c r="B972" s="2">
        <v>44348</v>
      </c>
      <c r="C972">
        <v>2021</v>
      </c>
      <c r="E972" t="s">
        <v>6</v>
      </c>
      <c r="F972">
        <f>(SingleBerryDW!F972/SingleBerryFW!F972)*100</f>
        <v>17.19554462</v>
      </c>
    </row>
    <row r="973" spans="1:6" hidden="1" x14ac:dyDescent="0.25">
      <c r="A973" t="s">
        <v>15</v>
      </c>
      <c r="B973" s="2">
        <v>44223</v>
      </c>
      <c r="C973">
        <v>2021</v>
      </c>
      <c r="E973" t="s">
        <v>6</v>
      </c>
      <c r="F973">
        <f>(SingleBerryDW!F973/SingleBerryFW!F973)*100</f>
        <v>10.179676189999999</v>
      </c>
    </row>
    <row r="974" spans="1:6" hidden="1" x14ac:dyDescent="0.25">
      <c r="A974" t="s">
        <v>15</v>
      </c>
      <c r="B974" s="2">
        <v>44258</v>
      </c>
      <c r="C974">
        <v>2021</v>
      </c>
      <c r="E974" t="s">
        <v>6</v>
      </c>
      <c r="F974">
        <f>(SingleBerryDW!F974/SingleBerryFW!F974)*100</f>
        <v>15.628000080000001</v>
      </c>
    </row>
    <row r="975" spans="1:6" hidden="1" x14ac:dyDescent="0.25">
      <c r="A975" t="s">
        <v>15</v>
      </c>
      <c r="B975" s="2">
        <v>44272</v>
      </c>
      <c r="C975">
        <v>2021</v>
      </c>
      <c r="E975" t="s">
        <v>6</v>
      </c>
      <c r="F975">
        <f>(SingleBerryDW!F975/SingleBerryFW!F975)*100</f>
        <v>16.63794643</v>
      </c>
    </row>
    <row r="976" spans="1:6" hidden="1" x14ac:dyDescent="0.25">
      <c r="A976" t="s">
        <v>15</v>
      </c>
      <c r="B976" s="2">
        <v>44286</v>
      </c>
      <c r="C976">
        <v>2021</v>
      </c>
      <c r="E976" t="s">
        <v>6</v>
      </c>
      <c r="F976">
        <f>(SingleBerryDW!F976/SingleBerryFW!F976)*100</f>
        <v>17.359527880000002</v>
      </c>
    </row>
    <row r="977" spans="1:6" hidden="1" x14ac:dyDescent="0.25">
      <c r="A977" t="s">
        <v>15</v>
      </c>
      <c r="B977" s="2">
        <v>44300</v>
      </c>
      <c r="C977">
        <v>2021</v>
      </c>
      <c r="E977" t="s">
        <v>6</v>
      </c>
      <c r="F977">
        <f>(SingleBerryDW!F977/SingleBerryFW!F977)*100</f>
        <v>17.60640596</v>
      </c>
    </row>
    <row r="978" spans="1:6" hidden="1" x14ac:dyDescent="0.25">
      <c r="A978" t="s">
        <v>15</v>
      </c>
      <c r="B978" s="2">
        <v>44307</v>
      </c>
      <c r="C978">
        <v>2021</v>
      </c>
      <c r="E978" t="s">
        <v>6</v>
      </c>
      <c r="F978">
        <f>(SingleBerryDW!F978/SingleBerryFW!F978)*100</f>
        <v>17.904109959999996</v>
      </c>
    </row>
    <row r="979" spans="1:6" hidden="1" x14ac:dyDescent="0.25">
      <c r="A979" t="s">
        <v>15</v>
      </c>
      <c r="B979" s="2">
        <v>44315</v>
      </c>
      <c r="C979">
        <v>2021</v>
      </c>
      <c r="E979" t="s">
        <v>6</v>
      </c>
      <c r="F979">
        <f>(SingleBerryDW!F979/SingleBerryFW!F979)*100</f>
        <v>18.175619019999996</v>
      </c>
    </row>
    <row r="980" spans="1:6" hidden="1" x14ac:dyDescent="0.25">
      <c r="A980" t="s">
        <v>15</v>
      </c>
      <c r="B980" s="2">
        <v>44321</v>
      </c>
      <c r="C980">
        <v>2021</v>
      </c>
      <c r="E980" t="s">
        <v>6</v>
      </c>
      <c r="F980">
        <f>(SingleBerryDW!F980/SingleBerryFW!F980)*100</f>
        <v>18.282530170000001</v>
      </c>
    </row>
    <row r="981" spans="1:6" hidden="1" x14ac:dyDescent="0.25">
      <c r="A981" t="s">
        <v>15</v>
      </c>
      <c r="B981" s="2">
        <v>44335</v>
      </c>
      <c r="C981">
        <v>2021</v>
      </c>
      <c r="E981" t="s">
        <v>6</v>
      </c>
      <c r="F981">
        <f>(SingleBerryDW!F981/SingleBerryFW!F981)*100</f>
        <v>18.609304609999999</v>
      </c>
    </row>
    <row r="982" spans="1:6" hidden="1" x14ac:dyDescent="0.25">
      <c r="A982" t="s">
        <v>15</v>
      </c>
      <c r="B982" s="2">
        <v>44348</v>
      </c>
      <c r="C982">
        <v>2021</v>
      </c>
      <c r="E982" t="s">
        <v>6</v>
      </c>
      <c r="F982">
        <f>(SingleBerryDW!F982/SingleBerryFW!F982)*100</f>
        <v>18.614446149999999</v>
      </c>
    </row>
    <row r="983" spans="1:6" hidden="1" x14ac:dyDescent="0.25">
      <c r="A983" t="s">
        <v>15</v>
      </c>
      <c r="B983" s="2">
        <v>44223</v>
      </c>
      <c r="C983">
        <v>2021</v>
      </c>
      <c r="E983" t="s">
        <v>6</v>
      </c>
      <c r="F983">
        <f>(SingleBerryDW!F983/SingleBerryFW!F983)*100</f>
        <v>10.13879683</v>
      </c>
    </row>
    <row r="984" spans="1:6" hidden="1" x14ac:dyDescent="0.25">
      <c r="A984" t="s">
        <v>15</v>
      </c>
      <c r="B984" s="2">
        <v>44223</v>
      </c>
      <c r="C984">
        <v>2021</v>
      </c>
      <c r="E984" t="s">
        <v>6</v>
      </c>
      <c r="F984">
        <f>(SingleBerryDW!F984/SingleBerryFW!F984)*100</f>
        <v>8.9871780220000002</v>
      </c>
    </row>
    <row r="985" spans="1:6" hidden="1" x14ac:dyDescent="0.25">
      <c r="A985" t="s">
        <v>15</v>
      </c>
      <c r="B985" s="2">
        <v>44224</v>
      </c>
      <c r="C985">
        <v>2021</v>
      </c>
      <c r="E985" t="s">
        <v>6</v>
      </c>
      <c r="F985">
        <f>(SingleBerryDW!F985/SingleBerryFW!F985)*100</f>
        <v>9.5918194680000006</v>
      </c>
    </row>
    <row r="986" spans="1:6" hidden="1" x14ac:dyDescent="0.25">
      <c r="A986" t="s">
        <v>15</v>
      </c>
      <c r="B986" s="2">
        <v>44244</v>
      </c>
      <c r="C986">
        <v>2021</v>
      </c>
      <c r="E986" t="s">
        <v>6</v>
      </c>
      <c r="F986">
        <f>(SingleBerryDW!F986/SingleBerryFW!F986)*100</f>
        <v>12.588401129999999</v>
      </c>
    </row>
    <row r="987" spans="1:6" hidden="1" x14ac:dyDescent="0.25">
      <c r="A987" t="s">
        <v>15</v>
      </c>
      <c r="B987" s="2">
        <v>44245</v>
      </c>
      <c r="C987">
        <v>2021</v>
      </c>
      <c r="E987" t="s">
        <v>6</v>
      </c>
      <c r="F987">
        <f>(SingleBerryDW!F987/SingleBerryFW!F987)*100</f>
        <v>12.309720889999999</v>
      </c>
    </row>
    <row r="988" spans="1:6" hidden="1" x14ac:dyDescent="0.25">
      <c r="A988" t="s">
        <v>15</v>
      </c>
      <c r="B988" s="2">
        <v>44245</v>
      </c>
      <c r="C988">
        <v>2021</v>
      </c>
      <c r="E988" t="s">
        <v>6</v>
      </c>
      <c r="F988">
        <f>(SingleBerryDW!F988/SingleBerryFW!F988)*100</f>
        <v>11.80923168</v>
      </c>
    </row>
    <row r="989" spans="1:6" hidden="1" x14ac:dyDescent="0.25">
      <c r="A989" t="s">
        <v>15</v>
      </c>
      <c r="B989" s="2">
        <v>44258</v>
      </c>
      <c r="C989">
        <v>2021</v>
      </c>
      <c r="E989" t="s">
        <v>6</v>
      </c>
      <c r="F989">
        <f>(SingleBerryDW!F989/SingleBerryFW!F989)*100</f>
        <v>14.489709960000003</v>
      </c>
    </row>
    <row r="990" spans="1:6" hidden="1" x14ac:dyDescent="0.25">
      <c r="A990" t="s">
        <v>15</v>
      </c>
      <c r="B990" s="2">
        <v>44258</v>
      </c>
      <c r="C990">
        <v>2021</v>
      </c>
      <c r="E990" t="s">
        <v>6</v>
      </c>
      <c r="F990">
        <f>(SingleBerryDW!F990/SingleBerryFW!F990)*100</f>
        <v>15.025325560000002</v>
      </c>
    </row>
    <row r="991" spans="1:6" hidden="1" x14ac:dyDescent="0.25">
      <c r="A991" t="s">
        <v>15</v>
      </c>
      <c r="B991" s="2">
        <v>44258</v>
      </c>
      <c r="C991">
        <v>2021</v>
      </c>
      <c r="E991" t="s">
        <v>6</v>
      </c>
      <c r="F991">
        <f>(SingleBerryDW!F991/SingleBerryFW!F991)*100</f>
        <v>14.567588619999999</v>
      </c>
    </row>
    <row r="992" spans="1:6" hidden="1" x14ac:dyDescent="0.25">
      <c r="A992" t="s">
        <v>15</v>
      </c>
      <c r="B992" s="2">
        <v>44272</v>
      </c>
      <c r="C992">
        <v>2021</v>
      </c>
      <c r="E992" t="s">
        <v>6</v>
      </c>
      <c r="F992">
        <f>(SingleBerryDW!F992/SingleBerryFW!F992)*100</f>
        <v>15.51031553</v>
      </c>
    </row>
    <row r="993" spans="1:8" hidden="1" x14ac:dyDescent="0.25">
      <c r="A993" t="s">
        <v>15</v>
      </c>
      <c r="B993" s="2">
        <v>44272</v>
      </c>
      <c r="C993">
        <v>2021</v>
      </c>
      <c r="E993" t="s">
        <v>6</v>
      </c>
      <c r="F993">
        <f>(SingleBerryDW!F993/SingleBerryFW!F993)*100</f>
        <v>16.65752165</v>
      </c>
    </row>
    <row r="994" spans="1:8" hidden="1" x14ac:dyDescent="0.25">
      <c r="A994" t="s">
        <v>15</v>
      </c>
      <c r="B994" s="2">
        <v>44272</v>
      </c>
      <c r="C994">
        <v>2021</v>
      </c>
      <c r="E994" t="s">
        <v>6</v>
      </c>
      <c r="F994">
        <f>(SingleBerryDW!F994/SingleBerryFW!F994)*100</f>
        <v>16.516183529999999</v>
      </c>
    </row>
    <row r="995" spans="1:8" hidden="1" x14ac:dyDescent="0.25">
      <c r="A995" t="s">
        <v>15</v>
      </c>
      <c r="B995" s="2">
        <v>44286</v>
      </c>
      <c r="C995">
        <v>2021</v>
      </c>
      <c r="E995" t="s">
        <v>6</v>
      </c>
      <c r="F995">
        <f>(SingleBerryDW!F995/SingleBerryFW!F995)*100</f>
        <v>17.496831</v>
      </c>
    </row>
    <row r="996" spans="1:8" hidden="1" x14ac:dyDescent="0.25">
      <c r="A996" t="s">
        <v>15</v>
      </c>
      <c r="B996" s="2">
        <v>44287</v>
      </c>
      <c r="C996">
        <v>2021</v>
      </c>
      <c r="E996" t="s">
        <v>6</v>
      </c>
      <c r="F996">
        <f>(SingleBerryDW!F996/SingleBerryFW!F996)*100</f>
        <v>16.263976929999998</v>
      </c>
    </row>
    <row r="997" spans="1:8" hidden="1" x14ac:dyDescent="0.25">
      <c r="A997" t="s">
        <v>15</v>
      </c>
      <c r="B997" s="2">
        <v>44287</v>
      </c>
      <c r="C997">
        <v>2021</v>
      </c>
      <c r="E997" t="s">
        <v>6</v>
      </c>
      <c r="F997">
        <f>(SingleBerryDW!F997/SingleBerryFW!F997)*100</f>
        <v>16.644487419999997</v>
      </c>
    </row>
    <row r="998" spans="1:8" hidden="1" x14ac:dyDescent="0.25">
      <c r="A998" t="s">
        <v>15</v>
      </c>
      <c r="B998" s="2">
        <v>44300</v>
      </c>
      <c r="C998">
        <v>2021</v>
      </c>
      <c r="E998" t="s">
        <v>6</v>
      </c>
      <c r="F998">
        <f>(SingleBerryDW!F998/SingleBerryFW!F998)*100</f>
        <v>17.395084430000001</v>
      </c>
    </row>
    <row r="999" spans="1:8" hidden="1" x14ac:dyDescent="0.25">
      <c r="A999" t="s">
        <v>15</v>
      </c>
      <c r="B999" s="2">
        <v>44301</v>
      </c>
      <c r="C999">
        <v>2021</v>
      </c>
      <c r="E999" t="s">
        <v>6</v>
      </c>
      <c r="F999">
        <f>(SingleBerryDW!F999/SingleBerryFW!F999)*100</f>
        <v>17.0100801</v>
      </c>
    </row>
    <row r="1000" spans="1:8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f>(SingleBerryDW!F1000/SingleBerryFW!F1000)*100</f>
        <v>16.621431399999999</v>
      </c>
    </row>
    <row r="1001" spans="1:8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f>(SingleBerryDW!F1001/SingleBerryFW!F1001)*100</f>
        <v>17.17040458</v>
      </c>
    </row>
    <row r="1002" spans="1:8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f>(SingleBerryDW!F1002/SingleBerryFW!F1002)*100</f>
        <v>17.699558069999998</v>
      </c>
    </row>
    <row r="1003" spans="1:8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f>(SingleBerryDW!F1003/SingleBerryFW!F1003)*100</f>
        <v>17.108626829999999</v>
      </c>
    </row>
    <row r="1004" spans="1:8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f>(SingleBerryDW!F1004/SingleBerryFW!F1004)*100</f>
        <v>17.549679300000001</v>
      </c>
      <c r="G1004">
        <v>17</v>
      </c>
      <c r="H1004" t="s">
        <v>27</v>
      </c>
    </row>
    <row r="1005" spans="1:8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f>(SingleBerryDW!F1005/SingleBerryFW!F1005)*100</f>
        <v>17.88764406</v>
      </c>
    </row>
    <row r="1006" spans="1:8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f>(SingleBerryDW!F1006/SingleBerryFW!F1006)*100</f>
        <v>17.83926323</v>
      </c>
    </row>
    <row r="1007" spans="1:8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f>(SingleBerryDW!F1007/SingleBerryFW!F1007)*100</f>
        <v>18.53625375</v>
      </c>
    </row>
    <row r="1008" spans="1:8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f>(SingleBerryDW!F1008/SingleBerryFW!F1008)*100</f>
        <v>17.838277249999997</v>
      </c>
    </row>
    <row r="1009" spans="1:8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f>(SingleBerryDW!F1009/SingleBerryFW!F1009)*100</f>
        <v>18.04045911</v>
      </c>
    </row>
    <row r="1010" spans="1:8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f>(SingleBerryDW!F1010/SingleBerryFW!F1010)*100</f>
        <v>19.368199059999995</v>
      </c>
    </row>
    <row r="1011" spans="1:8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f>(SingleBerryDW!F1011/SingleBerryFW!F1011)*100</f>
        <v>18.251158749999998</v>
      </c>
    </row>
    <row r="1012" spans="1:8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f>(SingleBerryDW!F1012/SingleBerryFW!F1012)*100</f>
        <v>18.661880759999999</v>
      </c>
    </row>
    <row r="1013" spans="1:8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f>(SingleBerryDW!F1013/SingleBerryFW!F1013)*100</f>
        <v>18.629489569999997</v>
      </c>
    </row>
    <row r="1014" spans="1:8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f>(SingleBerryDW!F1014/SingleBerryFW!F1014)*100</f>
        <v>18.968877419999998</v>
      </c>
    </row>
    <row r="1015" spans="1:8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f>(SingleBerryDW!F1015/SingleBerryFW!F1015)*100</f>
        <v>18.861529709999999</v>
      </c>
    </row>
    <row r="1016" spans="1:8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f>(SingleBerryDW!F1016/SingleBerryFW!F1016)*100</f>
        <v>10.189048139999999</v>
      </c>
    </row>
    <row r="1017" spans="1:8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f>(SingleBerryDW!F1017/SingleBerryFW!F1017)*100</f>
        <v>13.187815029999999</v>
      </c>
    </row>
    <row r="1018" spans="1:8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f>(SingleBerryDW!F1018/SingleBerryFW!F1018)*100</f>
        <v>14.327754919999999</v>
      </c>
    </row>
    <row r="1019" spans="1:8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f>(SingleBerryDW!F1019/SingleBerryFW!F1019)*100</f>
        <v>14.806242410000001</v>
      </c>
    </row>
    <row r="1020" spans="1:8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f>(SingleBerryDW!F1020/SingleBerryFW!F1020)*100</f>
        <v>15.547038700000002</v>
      </c>
    </row>
    <row r="1021" spans="1:8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f>(SingleBerryDW!F1021/SingleBerryFW!F1021)*100</f>
        <v>15.93281812</v>
      </c>
    </row>
    <row r="1022" spans="1:8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f>(SingleBerryDW!F1022/SingleBerryFW!F1022)*100</f>
        <v>15.991152989999998</v>
      </c>
    </row>
    <row r="1023" spans="1:8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f>(SingleBerryDW!F1023/SingleBerryFW!F1023)*100</f>
        <v>16.40011294</v>
      </c>
    </row>
    <row r="1024" spans="1:8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f>(SingleBerryDW!F1024/SingleBerryFW!F1024)*100</f>
        <v>16.644749740000002</v>
      </c>
      <c r="G1024">
        <f>F1024</f>
        <v>16.644749740000002</v>
      </c>
      <c r="H1024" t="s">
        <v>27</v>
      </c>
    </row>
    <row r="1025" spans="1:6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f>(SingleBerryDW!F1025/SingleBerryFW!F1025)*100</f>
        <v>17.180538370000001</v>
      </c>
    </row>
    <row r="1026" spans="1:6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f>(SingleBerryDW!F1026/SingleBerryFW!F1026)*100</f>
        <v>17.54431529</v>
      </c>
    </row>
    <row r="1027" spans="1:6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f>(SingleBerryDW!F1027/SingleBerryFW!F1027)*100</f>
        <v>11.399999999999999</v>
      </c>
    </row>
    <row r="1028" spans="1:6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f>(SingleBerryDW!F1028/SingleBerryFW!F1028)*100</f>
        <v>13.4</v>
      </c>
    </row>
    <row r="1029" spans="1:6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f>(SingleBerryDW!F1029/SingleBerryFW!F1029)*100</f>
        <v>11.699999999999998</v>
      </c>
    </row>
    <row r="1030" spans="1:6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f>(SingleBerryDW!F1030/SingleBerryFW!F1030)*100</f>
        <v>12.4</v>
      </c>
    </row>
    <row r="1031" spans="1:6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f>(SingleBerryDW!F1031/SingleBerryFW!F1031)*100</f>
        <v>15.100000000000001</v>
      </c>
    </row>
    <row r="1032" spans="1:6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f>(SingleBerryDW!F1032/SingleBerryFW!F1032)*100</f>
        <v>15.2</v>
      </c>
    </row>
    <row r="1033" spans="1:6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f>(SingleBerryDW!F1033/SingleBerryFW!F1033)*100</f>
        <v>16</v>
      </c>
    </row>
    <row r="1034" spans="1:6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f>(SingleBerryDW!F1034/SingleBerryFW!F1034)*100</f>
        <v>16.100000000000001</v>
      </c>
    </row>
    <row r="1035" spans="1:6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f>(SingleBerryDW!F1035/SingleBerryFW!F1035)*100</f>
        <v>15.8</v>
      </c>
    </row>
    <row r="1036" spans="1:6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f>(SingleBerryDW!F1036/SingleBerryFW!F1036)*100</f>
        <v>15.5</v>
      </c>
    </row>
    <row r="1037" spans="1:6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f>(SingleBerryDW!F1037/SingleBerryFW!F1037)*100</f>
        <v>16.3</v>
      </c>
    </row>
    <row r="1038" spans="1:6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f>(SingleBerryDW!F1038/SingleBerryFW!F1038)*100</f>
        <v>11.6</v>
      </c>
    </row>
    <row r="1039" spans="1:6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f>(SingleBerryDW!F1039/SingleBerryFW!F1039)*100</f>
        <v>13.200000000000001</v>
      </c>
    </row>
    <row r="1040" spans="1:6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f>(SingleBerryDW!F1040/SingleBerryFW!F1040)*100</f>
        <v>13.3</v>
      </c>
    </row>
    <row r="1041" spans="1:6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f>(SingleBerryDW!F1041/SingleBerryFW!F1041)*100</f>
        <v>14.399999999999999</v>
      </c>
    </row>
    <row r="1042" spans="1:6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f>(SingleBerryDW!F1042/SingleBerryFW!F1042)*100</f>
        <v>16.799999999999997</v>
      </c>
    </row>
    <row r="1043" spans="1:6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f>(SingleBerryDW!F1043/SingleBerryFW!F1043)*100</f>
        <v>17.100000000000001</v>
      </c>
    </row>
    <row r="1044" spans="1:6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f>(SingleBerryDW!F1044/SingleBerryFW!F1044)*100</f>
        <v>17.600000000000001</v>
      </c>
    </row>
    <row r="1045" spans="1:6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f>(SingleBerryDW!F1045/SingleBerryFW!F1045)*100</f>
        <v>18</v>
      </c>
    </row>
    <row r="1046" spans="1:6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f>(SingleBerryDW!F1046/SingleBerryFW!F1046)*100</f>
        <v>18.3</v>
      </c>
    </row>
    <row r="1047" spans="1:6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f>(SingleBerryDW!F1047/SingleBerryFW!F1047)*100</f>
        <v>18.7</v>
      </c>
    </row>
    <row r="1048" spans="1:6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f>(SingleBerryDW!F1048/SingleBerryFW!F1048)*100</f>
        <v>17.899999999999995</v>
      </c>
    </row>
    <row r="1049" spans="1:6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f>(SingleBerryDW!F1049/SingleBerryFW!F1049)*100</f>
        <v>10.199999999999999</v>
      </c>
    </row>
    <row r="1050" spans="1:6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f>(SingleBerryDW!F1050/SingleBerryFW!F1050)*100</f>
        <v>12.9</v>
      </c>
    </row>
    <row r="1051" spans="1:6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f>(SingleBerryDW!F1051/SingleBerryFW!F1051)*100</f>
        <v>14.200000000000001</v>
      </c>
    </row>
    <row r="1052" spans="1:6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f>(SingleBerryDW!F1052/SingleBerryFW!F1052)*100</f>
        <v>16.2</v>
      </c>
    </row>
    <row r="1053" spans="1:6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f>(SingleBerryDW!F1053/SingleBerryFW!F1053)*100</f>
        <v>16.100000000000001</v>
      </c>
    </row>
    <row r="1054" spans="1:6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f>(SingleBerryDW!F1054/SingleBerryFW!F1054)*100</f>
        <v>16.600000000000001</v>
      </c>
    </row>
    <row r="1055" spans="1:6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f>(SingleBerryDW!F1055/SingleBerryFW!F1055)*100</f>
        <v>17.5</v>
      </c>
    </row>
    <row r="1056" spans="1:6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f>(SingleBerryDW!F1056/SingleBerryFW!F1056)*100</f>
        <v>17.2</v>
      </c>
    </row>
    <row r="1057" spans="1:6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f>(SingleBerryDW!F1057/SingleBerryFW!F1057)*100</f>
        <v>18.899999999999999</v>
      </c>
    </row>
    <row r="1058" spans="1:6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f>(SingleBerryDW!F1058/SingleBerryFW!F1058)*100</f>
        <v>17.600000000000001</v>
      </c>
    </row>
    <row r="1059" spans="1:6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f>(SingleBerryDW!F1059/SingleBerryFW!F1059)*100</f>
        <v>17.899999999999999</v>
      </c>
    </row>
    <row r="1060" spans="1:6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f>(SingleBerryDW!F1060/SingleBerryFW!F1060)*100</f>
        <v>10</v>
      </c>
    </row>
    <row r="1061" spans="1:6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f>(SingleBerryDW!F1061/SingleBerryFW!F1061)*100</f>
        <v>12.2</v>
      </c>
    </row>
    <row r="1062" spans="1:6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f>(SingleBerryDW!F1062/SingleBerryFW!F1062)*100</f>
        <v>14.099999999999998</v>
      </c>
    </row>
    <row r="1063" spans="1:6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f>(SingleBerryDW!F1063/SingleBerryFW!F1063)*100</f>
        <v>13.899999999999999</v>
      </c>
    </row>
    <row r="1064" spans="1:6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f>(SingleBerryDW!F1064/SingleBerryFW!F1064)*100</f>
        <v>17.2</v>
      </c>
    </row>
    <row r="1065" spans="1:6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f>(SingleBerryDW!F1065/SingleBerryFW!F1065)*100</f>
        <v>15.6</v>
      </c>
    </row>
    <row r="1066" spans="1:6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f>(SingleBerryDW!F1066/SingleBerryFW!F1066)*100</f>
        <v>15.9</v>
      </c>
    </row>
    <row r="1067" spans="1:6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f>(SingleBerryDW!F1067/SingleBerryFW!F1067)*100</f>
        <v>17.599999999999998</v>
      </c>
    </row>
    <row r="1068" spans="1:6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f>(SingleBerryDW!F1068/SingleBerryFW!F1068)*100</f>
        <v>18.199999999999996</v>
      </c>
    </row>
    <row r="1069" spans="1:6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f>(SingleBerryDW!F1069/SingleBerryFW!F1069)*100</f>
        <v>17.7</v>
      </c>
    </row>
    <row r="1070" spans="1:6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f>(SingleBerryDW!F1070/SingleBerryFW!F1070)*100</f>
        <v>18.100000000000001</v>
      </c>
    </row>
    <row r="1071" spans="1:6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f>(SingleBerryDW!F1071/SingleBerryFW!F1071)*100</f>
        <v>9.7000000000000011</v>
      </c>
    </row>
    <row r="1072" spans="1:6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f>(SingleBerryDW!F1072/SingleBerryFW!F1072)*100</f>
        <v>11.4</v>
      </c>
    </row>
    <row r="1073" spans="1:8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f>(SingleBerryDW!F1073/SingleBerryFW!F1073)*100</f>
        <v>12.8</v>
      </c>
    </row>
    <row r="1074" spans="1:8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f>(SingleBerryDW!F1074/SingleBerryFW!F1074)*100</f>
        <v>12.099999999999998</v>
      </c>
    </row>
    <row r="1075" spans="1:8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f>(SingleBerryDW!F1075/SingleBerryFW!F1075)*100</f>
        <v>14.6</v>
      </c>
    </row>
    <row r="1076" spans="1:8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f>(SingleBerryDW!F1076/SingleBerryFW!F1076)*100</f>
        <v>14.400000000000002</v>
      </c>
    </row>
    <row r="1077" spans="1:8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f>(SingleBerryDW!F1077/SingleBerryFW!F1077)*100</f>
        <v>14.799999999999999</v>
      </c>
    </row>
    <row r="1078" spans="1:8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f>(SingleBerryDW!F1078/SingleBerryFW!F1078)*100</f>
        <v>14.7</v>
      </c>
    </row>
    <row r="1079" spans="1:8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f>(SingleBerryDW!F1079/SingleBerryFW!F1079)*100</f>
        <v>14.6</v>
      </c>
      <c r="G1079">
        <v>17.16</v>
      </c>
      <c r="H1079" t="s">
        <v>27</v>
      </c>
    </row>
    <row r="1080" spans="1:8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f>(SingleBerryDW!F1080/SingleBerryFW!F1080)*100</f>
        <v>15.8</v>
      </c>
    </row>
    <row r="1081" spans="1:8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f>(SingleBerryDW!F1081/SingleBerryFW!F1081)*100</f>
        <v>16</v>
      </c>
    </row>
    <row r="1082" spans="1:8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f>(SingleBerryDW!F1082/SingleBerryFW!F1082)*100</f>
        <v>9.8000000000000007</v>
      </c>
    </row>
    <row r="1083" spans="1:8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f>(SingleBerryDW!F1083/SingleBerryFW!F1083)*100</f>
        <v>12.6</v>
      </c>
    </row>
    <row r="1084" spans="1:8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f>(SingleBerryDW!F1084/SingleBerryFW!F1084)*100</f>
        <v>14.7</v>
      </c>
    </row>
    <row r="1085" spans="1:8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f>(SingleBerryDW!F1085/SingleBerryFW!F1085)*100</f>
        <v>16.100000000000001</v>
      </c>
    </row>
    <row r="1086" spans="1:8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f>(SingleBerryDW!F1086/SingleBerryFW!F1086)*100</f>
        <v>15.299999999999999</v>
      </c>
    </row>
    <row r="1087" spans="1:8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f>(SingleBerryDW!F1087/SingleBerryFW!F1087)*100</f>
        <v>16.899999999999999</v>
      </c>
    </row>
    <row r="1088" spans="1:8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f>(SingleBerryDW!F1088/SingleBerryFW!F1088)*100</f>
        <v>16.899999999999999</v>
      </c>
    </row>
    <row r="1089" spans="1:8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f>(SingleBerryDW!F1089/SingleBerryFW!F1089)*100</f>
        <v>16.899999999999995</v>
      </c>
    </row>
    <row r="1090" spans="1:8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f>(SingleBerryDW!F1090/SingleBerryFW!F1090)*100</f>
        <v>17.7</v>
      </c>
    </row>
    <row r="1091" spans="1:8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f>(SingleBerryDW!F1091/SingleBerryFW!F1091)*100</f>
        <v>18.000000000000004</v>
      </c>
      <c r="G1091">
        <f>F1091</f>
        <v>18.000000000000004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f>(SingleBerryDW!F1092/SingleBerryFW!F1092)*100</f>
        <v>18.3</v>
      </c>
    </row>
    <row r="1093" spans="1:8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f>(SingleBerryDW!F1093/SingleBerryFW!F1093)*100</f>
        <v>9.4</v>
      </c>
    </row>
    <row r="1094" spans="1:8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f>(SingleBerryDW!F1094/SingleBerryFW!F1094)*100</f>
        <v>12.5</v>
      </c>
    </row>
    <row r="1095" spans="1:8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f>(SingleBerryDW!F1095/SingleBerryFW!F1095)*100</f>
        <v>14.099999999999998</v>
      </c>
    </row>
    <row r="1096" spans="1:8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f>(SingleBerryDW!F1096/SingleBerryFW!F1096)*100</f>
        <v>15</v>
      </c>
    </row>
    <row r="1097" spans="1:8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f>(SingleBerryDW!F1097/SingleBerryFW!F1097)*100</f>
        <v>15.5</v>
      </c>
    </row>
    <row r="1098" spans="1:8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f>(SingleBerryDW!F1098/SingleBerryFW!F1098)*100</f>
        <v>15.7</v>
      </c>
    </row>
    <row r="1099" spans="1:8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f>(SingleBerryDW!F1099/SingleBerryFW!F1099)*100</f>
        <v>16.5</v>
      </c>
    </row>
    <row r="1100" spans="1:8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f>(SingleBerryDW!F1100/SingleBerryFW!F1100)*100</f>
        <v>16.400000000000002</v>
      </c>
    </row>
    <row r="1101" spans="1:8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f>(SingleBerryDW!F1101/SingleBerryFW!F1101)*100</f>
        <v>16.7</v>
      </c>
    </row>
    <row r="1102" spans="1:8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f>(SingleBerryDW!F1102/SingleBerryFW!F1102)*100</f>
        <v>17</v>
      </c>
    </row>
    <row r="1103" spans="1:8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f>(SingleBerryDW!F1103/SingleBerryFW!F1103)*100</f>
        <v>17.100000000000001</v>
      </c>
    </row>
    <row r="1104" spans="1:8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f>(SingleBerryDW!F1104/SingleBerryFW!F1104)*100</f>
        <v>9.6</v>
      </c>
    </row>
    <row r="1105" spans="1:6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f>(SingleBerryDW!F1105/SingleBerryFW!F1105)*100</f>
        <v>12.4</v>
      </c>
    </row>
    <row r="1106" spans="1:6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f>(SingleBerryDW!F1106/SingleBerryFW!F1106)*100</f>
        <v>13.999999999999998</v>
      </c>
    </row>
    <row r="1107" spans="1:6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f>(SingleBerryDW!F1107/SingleBerryFW!F1107)*100</f>
        <v>15.299999999999999</v>
      </c>
    </row>
    <row r="1108" spans="1:6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f>(SingleBerryDW!F1108/SingleBerryFW!F1108)*100</f>
        <v>15.900000000000002</v>
      </c>
    </row>
    <row r="1109" spans="1:6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f>(SingleBerryDW!F1109/SingleBerryFW!F1109)*100</f>
        <v>16.7</v>
      </c>
    </row>
    <row r="1110" spans="1:6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f>(SingleBerryDW!F1110/SingleBerryFW!F1110)*100</f>
        <v>17.600000000000001</v>
      </c>
    </row>
    <row r="1111" spans="1:6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f>(SingleBerryDW!F1111/SingleBerryFW!F1111)*100</f>
        <v>17.2</v>
      </c>
    </row>
    <row r="1112" spans="1:6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f>(SingleBerryDW!F1112/SingleBerryFW!F1112)*100</f>
        <v>17.399999999999999</v>
      </c>
    </row>
    <row r="1113" spans="1:6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f>(SingleBerryDW!F1113/SingleBerryFW!F1113)*100</f>
        <v>17.399999999999995</v>
      </c>
    </row>
    <row r="1114" spans="1:6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f>(SingleBerryDW!F1114/SingleBerryFW!F1114)*100</f>
        <v>17.2</v>
      </c>
    </row>
    <row r="1115" spans="1:6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f>(SingleBerryDW!F1115/SingleBerryFW!F1115)*100</f>
        <v>9.6999999999999993</v>
      </c>
    </row>
    <row r="1116" spans="1:6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f>(SingleBerryDW!F1116/SingleBerryFW!F1116)*100</f>
        <v>12.699999999999998</v>
      </c>
    </row>
    <row r="1117" spans="1:6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f>(SingleBerryDW!F1117/SingleBerryFW!F1117)*100</f>
        <v>14.399999999999999</v>
      </c>
    </row>
    <row r="1118" spans="1:6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f>(SingleBerryDW!F1118/SingleBerryFW!F1118)*100</f>
        <v>16.100000000000001</v>
      </c>
    </row>
    <row r="1119" spans="1:6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f>(SingleBerryDW!F1119/SingleBerryFW!F1119)*100</f>
        <v>17</v>
      </c>
    </row>
    <row r="1120" spans="1:6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f>(SingleBerryDW!F1120/SingleBerryFW!F1120)*100</f>
        <v>17.600000000000001</v>
      </c>
    </row>
    <row r="1121" spans="1:6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f>(SingleBerryDW!F1121/SingleBerryFW!F1121)*100</f>
        <v>18.600000000000001</v>
      </c>
    </row>
    <row r="1122" spans="1:6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f>(SingleBerryDW!F1122/SingleBerryFW!F1122)*100</f>
        <v>18.699999999999996</v>
      </c>
    </row>
    <row r="1123" spans="1:6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f>(SingleBerryDW!F1123/SingleBerryFW!F1123)*100</f>
        <v>18.2</v>
      </c>
    </row>
    <row r="1124" spans="1:6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f>(SingleBerryDW!F1124/SingleBerryFW!F1124)*100</f>
        <v>18.7</v>
      </c>
    </row>
    <row r="1125" spans="1:6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f>(SingleBerryDW!F1125/SingleBerryFW!F1125)*100</f>
        <v>18.899999999999999</v>
      </c>
    </row>
    <row r="1126" spans="1:6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f>(SingleBerryDW!F1126/SingleBerryFW!F1126)*100</f>
        <v>9.0000000000000018</v>
      </c>
    </row>
    <row r="1127" spans="1:6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f>(SingleBerryDW!F1127/SingleBerryFW!F1127)*100</f>
        <v>11.300000000000002</v>
      </c>
    </row>
    <row r="1128" spans="1:6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f>(SingleBerryDW!F1128/SingleBerryFW!F1128)*100</f>
        <v>13.5</v>
      </c>
    </row>
    <row r="1129" spans="1:6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f>(SingleBerryDW!F1129/SingleBerryFW!F1129)*100</f>
        <v>15.299999999999999</v>
      </c>
    </row>
    <row r="1130" spans="1:6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f>(SingleBerryDW!F1130/SingleBerryFW!F1130)*100</f>
        <v>16</v>
      </c>
    </row>
    <row r="1131" spans="1:6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f>(SingleBerryDW!F1131/SingleBerryFW!F1131)*100</f>
        <v>16.7</v>
      </c>
    </row>
    <row r="1132" spans="1:6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f>(SingleBerryDW!F1132/SingleBerryFW!F1132)*100</f>
        <v>17.399999999999999</v>
      </c>
    </row>
    <row r="1133" spans="1:6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f>(SingleBerryDW!F1133/SingleBerryFW!F1133)*100</f>
        <v>17.5</v>
      </c>
    </row>
    <row r="1134" spans="1:6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f>(SingleBerryDW!F1134/SingleBerryFW!F1134)*100</f>
        <v>17.8</v>
      </c>
    </row>
    <row r="1135" spans="1:6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f>(SingleBerryDW!F1135/SingleBerryFW!F1135)*100</f>
        <v>17.8</v>
      </c>
    </row>
    <row r="1136" spans="1:6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f>(SingleBerryDW!F1136/SingleBerryFW!F1136)*100</f>
        <v>17.899999999999999</v>
      </c>
    </row>
    <row r="1137" spans="1:8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f>(SingleBerryDW!F1137/SingleBerryFW!F1137)*100</f>
        <v>8.2999999999999989</v>
      </c>
    </row>
    <row r="1138" spans="1:8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f>(SingleBerryDW!F1138/SingleBerryFW!F1138)*100</f>
        <v>10.5</v>
      </c>
    </row>
    <row r="1139" spans="1:8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f>(SingleBerryDW!F1139/SingleBerryFW!F1139)*100</f>
        <v>12.4</v>
      </c>
    </row>
    <row r="1140" spans="1:8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f>(SingleBerryDW!F1140/SingleBerryFW!F1140)*100</f>
        <v>14.299999999999999</v>
      </c>
    </row>
    <row r="1141" spans="1:8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f>(SingleBerryDW!F1141/SingleBerryFW!F1141)*100</f>
        <v>15.000000000000002</v>
      </c>
    </row>
    <row r="1142" spans="1:8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f>(SingleBerryDW!F1142/SingleBerryFW!F1142)*100</f>
        <v>15.5</v>
      </c>
    </row>
    <row r="1143" spans="1:8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f>(SingleBerryDW!F1143/SingleBerryFW!F1143)*100</f>
        <v>16</v>
      </c>
    </row>
    <row r="1144" spans="1:8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f>(SingleBerryDW!F1144/SingleBerryFW!F1144)*100</f>
        <v>15.6</v>
      </c>
      <c r="G1144">
        <v>17</v>
      </c>
      <c r="H1144" t="s">
        <v>27</v>
      </c>
    </row>
    <row r="1145" spans="1:8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f>(SingleBerryDW!F1145/SingleBerryFW!F1145)*100</f>
        <v>15.4</v>
      </c>
    </row>
    <row r="1146" spans="1:8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f>(SingleBerryDW!F1146/SingleBerryFW!F1146)*100</f>
        <v>16</v>
      </c>
    </row>
    <row r="1147" spans="1:8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f>(SingleBerryDW!F1147/SingleBerryFW!F1147)*100</f>
        <v>17</v>
      </c>
    </row>
    <row r="1148" spans="1:8" hidden="1" x14ac:dyDescent="0.25">
      <c r="A1148" t="s">
        <v>22</v>
      </c>
      <c r="B1148" s="2">
        <v>44949</v>
      </c>
      <c r="C1148">
        <v>2023</v>
      </c>
      <c r="E1148" t="s">
        <v>9</v>
      </c>
      <c r="F1148">
        <f>(SingleBerryDW!F1148/SingleBerryFW!F1148)*100</f>
        <v>9.4</v>
      </c>
    </row>
    <row r="1149" spans="1:8" hidden="1" x14ac:dyDescent="0.25">
      <c r="A1149" t="s">
        <v>22</v>
      </c>
      <c r="B1149" s="2">
        <v>44971</v>
      </c>
      <c r="C1149">
        <v>2023</v>
      </c>
      <c r="E1149" t="s">
        <v>9</v>
      </c>
      <c r="F1149">
        <f>(SingleBerryDW!F1149/SingleBerryFW!F1149)*100</f>
        <v>12.8</v>
      </c>
    </row>
    <row r="1150" spans="1:8" hidden="1" x14ac:dyDescent="0.25">
      <c r="A1150" t="s">
        <v>22</v>
      </c>
      <c r="B1150" s="2">
        <v>44987</v>
      </c>
      <c r="C1150">
        <v>2023</v>
      </c>
      <c r="E1150" t="s">
        <v>9</v>
      </c>
      <c r="F1150">
        <f>(SingleBerryDW!F1150/SingleBerryFW!F1150)*100</f>
        <v>15.4</v>
      </c>
    </row>
    <row r="1151" spans="1:8" hidden="1" x14ac:dyDescent="0.25">
      <c r="A1151" t="s">
        <v>22</v>
      </c>
      <c r="B1151" s="2">
        <v>44998</v>
      </c>
      <c r="C1151">
        <v>2023</v>
      </c>
      <c r="E1151" t="s">
        <v>9</v>
      </c>
      <c r="F1151">
        <f>(SingleBerryDW!F1151/SingleBerryFW!F1151)*100</f>
        <v>16.2</v>
      </c>
    </row>
    <row r="1152" spans="1:8" hidden="1" x14ac:dyDescent="0.25">
      <c r="A1152" t="s">
        <v>22</v>
      </c>
      <c r="B1152" s="2">
        <v>45014</v>
      </c>
      <c r="C1152">
        <v>2023</v>
      </c>
      <c r="E1152" t="s">
        <v>9</v>
      </c>
      <c r="F1152">
        <f>(SingleBerryDW!F1152/SingleBerryFW!F1152)*100</f>
        <v>17.200000000000003</v>
      </c>
    </row>
    <row r="1153" spans="1:8" hidden="1" x14ac:dyDescent="0.25">
      <c r="A1153" t="s">
        <v>22</v>
      </c>
      <c r="B1153" s="2">
        <v>45027</v>
      </c>
      <c r="C1153">
        <v>2023</v>
      </c>
      <c r="E1153" t="s">
        <v>9</v>
      </c>
      <c r="F1153">
        <f>(SingleBerryDW!F1153/SingleBerryFW!F1153)*100</f>
        <v>18</v>
      </c>
    </row>
    <row r="1154" spans="1:8" hidden="1" x14ac:dyDescent="0.25">
      <c r="A1154" t="s">
        <v>22</v>
      </c>
      <c r="B1154" s="2">
        <v>45040</v>
      </c>
      <c r="C1154">
        <v>2023</v>
      </c>
      <c r="E1154" t="s">
        <v>9</v>
      </c>
      <c r="F1154">
        <f>(SingleBerryDW!F1154/SingleBerryFW!F1154)*100</f>
        <v>18.399999999999999</v>
      </c>
    </row>
    <row r="1155" spans="1:8" hidden="1" x14ac:dyDescent="0.25">
      <c r="A1155" t="s">
        <v>22</v>
      </c>
      <c r="B1155" s="2">
        <v>45047</v>
      </c>
      <c r="C1155">
        <v>2023</v>
      </c>
      <c r="E1155" t="s">
        <v>9</v>
      </c>
      <c r="F1155">
        <f>(SingleBerryDW!F1155/SingleBerryFW!F1155)*100</f>
        <v>18.500000000000004</v>
      </c>
    </row>
    <row r="1156" spans="1:8" hidden="1" x14ac:dyDescent="0.25">
      <c r="A1156" t="s">
        <v>22</v>
      </c>
      <c r="B1156" s="2">
        <v>45062</v>
      </c>
      <c r="C1156">
        <v>2023</v>
      </c>
      <c r="E1156" t="s">
        <v>9</v>
      </c>
      <c r="F1156">
        <f>(SingleBerryDW!F1156/SingleBerryFW!F1156)*100</f>
        <v>18.800000000000004</v>
      </c>
      <c r="G1156">
        <f>F1156</f>
        <v>18.800000000000004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E1157" t="s">
        <v>9</v>
      </c>
      <c r="F1157">
        <f>(SingleBerryDW!F1157/SingleBerryFW!F1157)*100</f>
        <v>19.300000000000004</v>
      </c>
    </row>
    <row r="1158" spans="1:8" hidden="1" x14ac:dyDescent="0.25">
      <c r="A1158" t="s">
        <v>22</v>
      </c>
      <c r="B1158" s="2">
        <v>45083</v>
      </c>
      <c r="C1158">
        <v>2023</v>
      </c>
      <c r="E1158" t="s">
        <v>9</v>
      </c>
      <c r="F1158">
        <f>(SingleBerryDW!F1158/SingleBerryFW!F1158)*100</f>
        <v>19.300000000000004</v>
      </c>
    </row>
    <row r="1159" spans="1:8" x14ac:dyDescent="0.25">
      <c r="A1159" t="s">
        <v>18</v>
      </c>
      <c r="B1159" s="2">
        <v>45316</v>
      </c>
      <c r="C1159">
        <v>2024</v>
      </c>
      <c r="E1159" t="s">
        <v>6</v>
      </c>
      <c r="F1159">
        <f>(SingleBerryDW!F1159/SingleBerryFW!F1159)*100</f>
        <v>9</v>
      </c>
    </row>
    <row r="1160" spans="1:8" x14ac:dyDescent="0.25">
      <c r="A1160" t="s">
        <v>18</v>
      </c>
      <c r="B1160" s="2">
        <v>45337</v>
      </c>
      <c r="C1160">
        <v>2024</v>
      </c>
      <c r="E1160" t="s">
        <v>6</v>
      </c>
      <c r="F1160">
        <f>(SingleBerryDW!F1160/SingleBerryFW!F1160)*100</f>
        <v>12.000000000000002</v>
      </c>
    </row>
    <row r="1161" spans="1:8" x14ac:dyDescent="0.25">
      <c r="A1161" t="s">
        <v>18</v>
      </c>
      <c r="B1161" s="2">
        <v>45350</v>
      </c>
      <c r="C1161">
        <v>2024</v>
      </c>
      <c r="E1161" t="s">
        <v>6</v>
      </c>
      <c r="F1161">
        <f>(SingleBerryDW!F1161/SingleBerryFW!F1161)*100</f>
        <v>13.5</v>
      </c>
    </row>
    <row r="1162" spans="1:8" x14ac:dyDescent="0.25">
      <c r="A1162" t="s">
        <v>18</v>
      </c>
      <c r="B1162" s="2">
        <v>45364</v>
      </c>
      <c r="C1162">
        <v>2024</v>
      </c>
      <c r="E1162" t="s">
        <v>6</v>
      </c>
      <c r="F1162">
        <f>(SingleBerryDW!F1162/SingleBerryFW!F1162)*100</f>
        <v>14.6</v>
      </c>
    </row>
    <row r="1163" spans="1:8" x14ac:dyDescent="0.25">
      <c r="A1163" t="s">
        <v>18</v>
      </c>
      <c r="B1163" s="2">
        <v>45378</v>
      </c>
      <c r="C1163">
        <v>2024</v>
      </c>
      <c r="E1163" t="s">
        <v>6</v>
      </c>
      <c r="F1163">
        <f>(SingleBerryDW!F1163/SingleBerryFW!F1163)*100</f>
        <v>15.300000000000002</v>
      </c>
    </row>
    <row r="1164" spans="1:8" x14ac:dyDescent="0.25">
      <c r="A1164" t="s">
        <v>18</v>
      </c>
      <c r="B1164" s="2">
        <v>45390</v>
      </c>
      <c r="C1164">
        <v>2024</v>
      </c>
      <c r="E1164" t="s">
        <v>6</v>
      </c>
      <c r="F1164">
        <f>(SingleBerryDW!F1164/SingleBerryFW!F1164)*100</f>
        <v>15.5</v>
      </c>
    </row>
    <row r="1165" spans="1:8" x14ac:dyDescent="0.25">
      <c r="A1165" t="s">
        <v>18</v>
      </c>
      <c r="B1165" s="2">
        <v>45404</v>
      </c>
      <c r="C1165">
        <v>2024</v>
      </c>
      <c r="E1165" t="s">
        <v>6</v>
      </c>
      <c r="F1165">
        <f>(SingleBerryDW!F1165/SingleBerryFW!F1165)*100</f>
        <v>16.399999999999999</v>
      </c>
    </row>
    <row r="1166" spans="1:8" x14ac:dyDescent="0.25">
      <c r="A1166" t="s">
        <v>18</v>
      </c>
      <c r="B1166" s="2">
        <v>45414</v>
      </c>
      <c r="C1166">
        <v>2024</v>
      </c>
      <c r="E1166" t="s">
        <v>6</v>
      </c>
      <c r="F1166">
        <f>(SingleBerryDW!F1166/SingleBerryFW!F1166)*100</f>
        <v>16.8</v>
      </c>
    </row>
    <row r="1167" spans="1:8" x14ac:dyDescent="0.25">
      <c r="A1167" t="s">
        <v>18</v>
      </c>
      <c r="B1167" s="2">
        <v>45425</v>
      </c>
      <c r="C1167">
        <v>2024</v>
      </c>
      <c r="E1167" t="s">
        <v>6</v>
      </c>
      <c r="F1167">
        <f>(SingleBerryDW!F1167/SingleBerryFW!F1167)*100</f>
        <v>17.200000000000003</v>
      </c>
    </row>
    <row r="1168" spans="1:8" x14ac:dyDescent="0.25">
      <c r="A1168" t="s">
        <v>18</v>
      </c>
      <c r="B1168" s="2">
        <v>45439</v>
      </c>
      <c r="C1168">
        <v>2024</v>
      </c>
      <c r="E1168" t="s">
        <v>6</v>
      </c>
      <c r="F1168">
        <f>(SingleBerryDW!F1168/SingleBerryFW!F1168)*100</f>
        <v>15.1</v>
      </c>
    </row>
    <row r="1169" spans="1:6" x14ac:dyDescent="0.25">
      <c r="A1169" t="s">
        <v>18</v>
      </c>
      <c r="B1169" s="2">
        <v>45454</v>
      </c>
      <c r="C1169">
        <v>2024</v>
      </c>
      <c r="E1169" t="s">
        <v>6</v>
      </c>
      <c r="F1169">
        <f>(SingleBerryDW!F1169/SingleBerryFW!F1169)*100</f>
        <v>17.100000000000001</v>
      </c>
    </row>
    <row r="1170" spans="1:6" x14ac:dyDescent="0.25">
      <c r="A1170" t="s">
        <v>18</v>
      </c>
      <c r="B1170" s="2">
        <v>45314</v>
      </c>
      <c r="C1170">
        <v>2024</v>
      </c>
      <c r="E1170" t="s">
        <v>6</v>
      </c>
      <c r="F1170">
        <f>(SingleBerryDW!F1170/SingleBerryFW!F1170)*100</f>
        <v>8.8000000000000025</v>
      </c>
    </row>
    <row r="1171" spans="1:6" x14ac:dyDescent="0.25">
      <c r="A1171" t="s">
        <v>18</v>
      </c>
      <c r="B1171" s="2">
        <v>45337</v>
      </c>
      <c r="C1171">
        <v>2024</v>
      </c>
      <c r="E1171" t="s">
        <v>6</v>
      </c>
      <c r="F1171">
        <f>(SingleBerryDW!F1171/SingleBerryFW!F1171)*100</f>
        <v>12.699999999999998</v>
      </c>
    </row>
    <row r="1172" spans="1:6" x14ac:dyDescent="0.25">
      <c r="A1172" t="s">
        <v>18</v>
      </c>
      <c r="B1172" s="2">
        <v>45348</v>
      </c>
      <c r="C1172">
        <v>2024</v>
      </c>
      <c r="E1172" t="s">
        <v>6</v>
      </c>
      <c r="F1172">
        <f>(SingleBerryDW!F1172/SingleBerryFW!F1172)*100</f>
        <v>13.600000000000001</v>
      </c>
    </row>
    <row r="1173" spans="1:6" x14ac:dyDescent="0.25">
      <c r="A1173" t="s">
        <v>18</v>
      </c>
      <c r="B1173" s="2">
        <v>45365</v>
      </c>
      <c r="C1173">
        <v>2024</v>
      </c>
      <c r="E1173" t="s">
        <v>6</v>
      </c>
      <c r="F1173">
        <f>(SingleBerryDW!F1173/SingleBerryFW!F1173)*100</f>
        <v>15.300000000000002</v>
      </c>
    </row>
    <row r="1174" spans="1:6" x14ac:dyDescent="0.25">
      <c r="A1174" t="s">
        <v>18</v>
      </c>
      <c r="B1174" s="2">
        <v>45379</v>
      </c>
      <c r="C1174">
        <v>2024</v>
      </c>
      <c r="E1174" t="s">
        <v>6</v>
      </c>
      <c r="F1174">
        <f>(SingleBerryDW!F1174/SingleBerryFW!F1174)*100</f>
        <v>16.600000000000001</v>
      </c>
    </row>
    <row r="1175" spans="1:6" x14ac:dyDescent="0.25">
      <c r="A1175" t="s">
        <v>18</v>
      </c>
      <c r="B1175" s="2">
        <v>45393</v>
      </c>
      <c r="C1175">
        <v>2024</v>
      </c>
      <c r="E1175" t="s">
        <v>6</v>
      </c>
      <c r="F1175">
        <f>(SingleBerryDW!F1175/SingleBerryFW!F1175)*100</f>
        <v>17</v>
      </c>
    </row>
    <row r="1176" spans="1:6" x14ac:dyDescent="0.25">
      <c r="A1176" t="s">
        <v>18</v>
      </c>
      <c r="B1176" s="2">
        <v>45407</v>
      </c>
      <c r="C1176">
        <v>2024</v>
      </c>
      <c r="E1176" t="s">
        <v>6</v>
      </c>
      <c r="F1176">
        <f>(SingleBerryDW!F1176/SingleBerryFW!F1176)*100</f>
        <v>17.399999999999999</v>
      </c>
    </row>
    <row r="1177" spans="1:6" x14ac:dyDescent="0.25">
      <c r="A1177" t="s">
        <v>18</v>
      </c>
      <c r="B1177" s="2">
        <v>45414</v>
      </c>
      <c r="C1177">
        <v>2024</v>
      </c>
      <c r="E1177" t="s">
        <v>6</v>
      </c>
      <c r="F1177">
        <f>(SingleBerryDW!F1177/SingleBerryFW!F1177)*100</f>
        <v>17.600000000000001</v>
      </c>
    </row>
    <row r="1178" spans="1:6" x14ac:dyDescent="0.25">
      <c r="A1178" t="s">
        <v>18</v>
      </c>
      <c r="B1178" s="2">
        <v>45425</v>
      </c>
      <c r="C1178">
        <v>2024</v>
      </c>
      <c r="E1178" t="s">
        <v>6</v>
      </c>
      <c r="F1178">
        <f>(SingleBerryDW!F1178/SingleBerryFW!F1178)*100</f>
        <v>18.399999999999999</v>
      </c>
    </row>
    <row r="1179" spans="1:6" x14ac:dyDescent="0.25">
      <c r="A1179" t="s">
        <v>18</v>
      </c>
      <c r="B1179" s="2">
        <v>45441</v>
      </c>
      <c r="C1179">
        <v>2024</v>
      </c>
      <c r="E1179" t="s">
        <v>6</v>
      </c>
      <c r="F1179">
        <f>(SingleBerryDW!F1179/SingleBerryFW!F1179)*100</f>
        <v>18.099999999999998</v>
      </c>
    </row>
    <row r="1180" spans="1:6" x14ac:dyDescent="0.25">
      <c r="A1180" t="s">
        <v>18</v>
      </c>
      <c r="B1180" s="2">
        <v>45453</v>
      </c>
      <c r="C1180">
        <v>2024</v>
      </c>
      <c r="E1180" t="s">
        <v>6</v>
      </c>
      <c r="F1180">
        <f>(SingleBerryDW!F1180/SingleBerryFW!F1180)*100</f>
        <v>17.899999999999995</v>
      </c>
    </row>
    <row r="1181" spans="1:6" x14ac:dyDescent="0.25">
      <c r="A1181" t="s">
        <v>18</v>
      </c>
      <c r="B1181" s="2">
        <v>45314</v>
      </c>
      <c r="C1181">
        <v>2024</v>
      </c>
      <c r="E1181" t="s">
        <v>6</v>
      </c>
      <c r="F1181">
        <f>(SingleBerryDW!F1181/SingleBerryFW!F1181)*100</f>
        <v>8.3000000000000007</v>
      </c>
    </row>
    <row r="1182" spans="1:6" x14ac:dyDescent="0.25">
      <c r="A1182" t="s">
        <v>18</v>
      </c>
      <c r="B1182" s="2">
        <v>45336</v>
      </c>
      <c r="C1182">
        <v>2024</v>
      </c>
      <c r="E1182" t="s">
        <v>6</v>
      </c>
      <c r="F1182">
        <f>(SingleBerryDW!F1182/SingleBerryFW!F1182)*100</f>
        <v>11.9</v>
      </c>
    </row>
    <row r="1183" spans="1:6" x14ac:dyDescent="0.25">
      <c r="A1183" t="s">
        <v>18</v>
      </c>
      <c r="B1183" s="2">
        <v>45348</v>
      </c>
      <c r="C1183">
        <v>2024</v>
      </c>
      <c r="E1183" t="s">
        <v>6</v>
      </c>
      <c r="F1183">
        <f>(SingleBerryDW!F1183/SingleBerryFW!F1183)*100</f>
        <v>13.5</v>
      </c>
    </row>
    <row r="1184" spans="1:6" x14ac:dyDescent="0.25">
      <c r="A1184" t="s">
        <v>18</v>
      </c>
      <c r="B1184" s="2">
        <v>45365</v>
      </c>
      <c r="C1184">
        <v>2024</v>
      </c>
      <c r="E1184" t="s">
        <v>6</v>
      </c>
      <c r="F1184">
        <f>(SingleBerryDW!F1184/SingleBerryFW!F1184)*100</f>
        <v>15.2</v>
      </c>
    </row>
    <row r="1185" spans="1:6" x14ac:dyDescent="0.25">
      <c r="A1185" t="s">
        <v>18</v>
      </c>
      <c r="B1185" s="2">
        <v>45379</v>
      </c>
      <c r="C1185">
        <v>2024</v>
      </c>
      <c r="E1185" t="s">
        <v>6</v>
      </c>
      <c r="F1185">
        <f>(SingleBerryDW!F1185/SingleBerryFW!F1185)*100</f>
        <v>16.400000000000002</v>
      </c>
    </row>
    <row r="1186" spans="1:6" x14ac:dyDescent="0.25">
      <c r="A1186" t="s">
        <v>18</v>
      </c>
      <c r="B1186" s="2">
        <v>45390</v>
      </c>
      <c r="C1186">
        <v>2024</v>
      </c>
      <c r="E1186" t="s">
        <v>6</v>
      </c>
      <c r="F1186">
        <f>(SingleBerryDW!F1186/SingleBerryFW!F1186)*100</f>
        <v>16.8</v>
      </c>
    </row>
    <row r="1187" spans="1:6" x14ac:dyDescent="0.25">
      <c r="A1187" t="s">
        <v>18</v>
      </c>
      <c r="B1187" s="2">
        <v>45404</v>
      </c>
      <c r="C1187">
        <v>2024</v>
      </c>
      <c r="E1187" t="s">
        <v>6</v>
      </c>
      <c r="F1187">
        <f>(SingleBerryDW!F1187/SingleBerryFW!F1187)*100</f>
        <v>17.2</v>
      </c>
    </row>
    <row r="1188" spans="1:6" x14ac:dyDescent="0.25">
      <c r="A1188" t="s">
        <v>18</v>
      </c>
      <c r="B1188" s="2">
        <v>45413</v>
      </c>
      <c r="C1188">
        <v>2024</v>
      </c>
      <c r="E1188" t="s">
        <v>6</v>
      </c>
      <c r="F1188">
        <f>(SingleBerryDW!F1188/SingleBerryFW!F1188)*100</f>
        <v>17.699999999999996</v>
      </c>
    </row>
    <row r="1189" spans="1:6" x14ac:dyDescent="0.25">
      <c r="A1189" t="s">
        <v>18</v>
      </c>
      <c r="B1189" s="2">
        <v>45425</v>
      </c>
      <c r="C1189">
        <v>2024</v>
      </c>
      <c r="E1189" t="s">
        <v>6</v>
      </c>
      <c r="F1189">
        <f>(SingleBerryDW!F1189/SingleBerryFW!F1189)*100</f>
        <v>18.399999999999999</v>
      </c>
    </row>
    <row r="1190" spans="1:6" x14ac:dyDescent="0.25">
      <c r="A1190" t="s">
        <v>18</v>
      </c>
      <c r="B1190" s="2">
        <v>45441</v>
      </c>
      <c r="C1190">
        <v>2024</v>
      </c>
      <c r="E1190" t="s">
        <v>6</v>
      </c>
      <c r="F1190">
        <f>(SingleBerryDW!F1190/SingleBerryFW!F1190)*100</f>
        <v>17.899999999999995</v>
      </c>
    </row>
    <row r="1191" spans="1:6" x14ac:dyDescent="0.25">
      <c r="A1191" t="s">
        <v>18</v>
      </c>
      <c r="B1191" s="2">
        <v>45453</v>
      </c>
      <c r="C1191">
        <v>2024</v>
      </c>
      <c r="E1191" t="s">
        <v>6</v>
      </c>
      <c r="F1191">
        <f>(SingleBerryDW!F1191/SingleBerryFW!F1191)*100</f>
        <v>18</v>
      </c>
    </row>
    <row r="1192" spans="1:6" x14ac:dyDescent="0.25">
      <c r="A1192" t="s">
        <v>18</v>
      </c>
      <c r="B1192" s="2">
        <v>45316</v>
      </c>
      <c r="C1192">
        <v>2024</v>
      </c>
      <c r="E1192" t="s">
        <v>6</v>
      </c>
      <c r="F1192">
        <f>(SingleBerryDW!F1192/SingleBerryFW!F1192)*100</f>
        <v>8.3000000000000025</v>
      </c>
    </row>
    <row r="1193" spans="1:6" x14ac:dyDescent="0.25">
      <c r="A1193" t="s">
        <v>18</v>
      </c>
      <c r="B1193" s="2">
        <v>45337</v>
      </c>
      <c r="C1193">
        <v>2024</v>
      </c>
      <c r="E1193" t="s">
        <v>6</v>
      </c>
      <c r="F1193">
        <f>(SingleBerryDW!F1193/SingleBerryFW!F1193)*100</f>
        <v>11.700000000000001</v>
      </c>
    </row>
    <row r="1194" spans="1:6" x14ac:dyDescent="0.25">
      <c r="A1194" t="s">
        <v>18</v>
      </c>
      <c r="B1194" s="2">
        <v>45350</v>
      </c>
      <c r="C1194">
        <v>2024</v>
      </c>
      <c r="E1194" t="s">
        <v>6</v>
      </c>
      <c r="F1194">
        <f>(SingleBerryDW!F1194/SingleBerryFW!F1194)*100</f>
        <v>13.600000000000001</v>
      </c>
    </row>
    <row r="1195" spans="1:6" x14ac:dyDescent="0.25">
      <c r="A1195" t="s">
        <v>18</v>
      </c>
      <c r="B1195" s="2">
        <v>45364</v>
      </c>
      <c r="C1195">
        <v>2024</v>
      </c>
      <c r="E1195" t="s">
        <v>6</v>
      </c>
      <c r="F1195">
        <f>(SingleBerryDW!F1195/SingleBerryFW!F1195)*100</f>
        <v>15.000000000000002</v>
      </c>
    </row>
    <row r="1196" spans="1:6" x14ac:dyDescent="0.25">
      <c r="A1196" t="s">
        <v>18</v>
      </c>
      <c r="B1196" s="2">
        <v>45378</v>
      </c>
      <c r="C1196">
        <v>2024</v>
      </c>
      <c r="E1196" t="s">
        <v>6</v>
      </c>
      <c r="F1196">
        <f>(SingleBerryDW!F1196/SingleBerryFW!F1196)*100</f>
        <v>15.9</v>
      </c>
    </row>
    <row r="1197" spans="1:6" x14ac:dyDescent="0.25">
      <c r="A1197" t="s">
        <v>18</v>
      </c>
      <c r="B1197" s="2">
        <v>45393</v>
      </c>
      <c r="C1197">
        <v>2024</v>
      </c>
      <c r="E1197" t="s">
        <v>6</v>
      </c>
      <c r="F1197">
        <f>(SingleBerryDW!F1197/SingleBerryFW!F1197)*100</f>
        <v>16.3</v>
      </c>
    </row>
    <row r="1198" spans="1:6" x14ac:dyDescent="0.25">
      <c r="A1198" t="s">
        <v>18</v>
      </c>
      <c r="B1198" s="2">
        <v>45404</v>
      </c>
      <c r="C1198">
        <v>2024</v>
      </c>
      <c r="E1198" t="s">
        <v>6</v>
      </c>
      <c r="F1198">
        <f>(SingleBerryDW!F1198/SingleBerryFW!F1198)*100</f>
        <v>16.2</v>
      </c>
    </row>
    <row r="1199" spans="1:6" x14ac:dyDescent="0.25">
      <c r="A1199" t="s">
        <v>18</v>
      </c>
      <c r="B1199" s="2">
        <v>45414</v>
      </c>
      <c r="C1199">
        <v>2024</v>
      </c>
      <c r="E1199" t="s">
        <v>6</v>
      </c>
      <c r="F1199">
        <f>(SingleBerryDW!F1199/SingleBerryFW!F1199)*100</f>
        <v>17.099999999999998</v>
      </c>
    </row>
    <row r="1200" spans="1:6" x14ac:dyDescent="0.25">
      <c r="A1200" t="s">
        <v>18</v>
      </c>
      <c r="B1200" s="2">
        <v>45425</v>
      </c>
      <c r="C1200">
        <v>2024</v>
      </c>
      <c r="E1200" t="s">
        <v>6</v>
      </c>
      <c r="F1200">
        <f>(SingleBerryDW!F1200/SingleBerryFW!F1200)*100</f>
        <v>17.3</v>
      </c>
    </row>
    <row r="1201" spans="1:8" x14ac:dyDescent="0.25">
      <c r="A1201" t="s">
        <v>18</v>
      </c>
      <c r="B1201" s="2">
        <v>45441</v>
      </c>
      <c r="C1201">
        <v>2024</v>
      </c>
      <c r="E1201" t="s">
        <v>6</v>
      </c>
      <c r="F1201">
        <f>(SingleBerryDW!F1201/SingleBerryFW!F1201)*100</f>
        <v>17.7</v>
      </c>
    </row>
    <row r="1202" spans="1:8" x14ac:dyDescent="0.25">
      <c r="A1202" t="s">
        <v>18</v>
      </c>
      <c r="B1202" s="2">
        <v>45453</v>
      </c>
      <c r="C1202">
        <v>2024</v>
      </c>
      <c r="E1202" t="s">
        <v>6</v>
      </c>
      <c r="F1202">
        <f>(SingleBerryDW!F1202/SingleBerryFW!F1202)*100</f>
        <v>17.8</v>
      </c>
    </row>
    <row r="1203" spans="1:8" x14ac:dyDescent="0.25">
      <c r="A1203" t="s">
        <v>18</v>
      </c>
      <c r="B1203" s="2">
        <v>45316</v>
      </c>
      <c r="C1203">
        <v>2024</v>
      </c>
      <c r="E1203" t="s">
        <v>6</v>
      </c>
      <c r="F1203">
        <f>(SingleBerryDW!F1203/SingleBerryFW!F1203)*100</f>
        <v>8.6999999999999975</v>
      </c>
    </row>
    <row r="1204" spans="1:8" x14ac:dyDescent="0.25">
      <c r="A1204" t="s">
        <v>18</v>
      </c>
      <c r="B1204" s="2">
        <v>45337</v>
      </c>
      <c r="C1204">
        <v>2024</v>
      </c>
      <c r="E1204" t="s">
        <v>6</v>
      </c>
      <c r="F1204">
        <f>(SingleBerryDW!F1204/SingleBerryFW!F1204)*100</f>
        <v>12.1</v>
      </c>
    </row>
    <row r="1205" spans="1:8" x14ac:dyDescent="0.25">
      <c r="A1205" t="s">
        <v>18</v>
      </c>
      <c r="B1205" s="2">
        <v>45350</v>
      </c>
      <c r="C1205">
        <v>2024</v>
      </c>
      <c r="E1205" t="s">
        <v>6</v>
      </c>
      <c r="F1205">
        <f>(SingleBerryDW!F1205/SingleBerryFW!F1205)*100</f>
        <v>13.5</v>
      </c>
    </row>
    <row r="1206" spans="1:8" x14ac:dyDescent="0.25">
      <c r="A1206" t="s">
        <v>18</v>
      </c>
      <c r="B1206" s="2">
        <v>45364</v>
      </c>
      <c r="C1206">
        <v>2024</v>
      </c>
      <c r="E1206" t="s">
        <v>6</v>
      </c>
      <c r="F1206">
        <f>(SingleBerryDW!F1206/SingleBerryFW!F1206)*100</f>
        <v>14.7</v>
      </c>
    </row>
    <row r="1207" spans="1:8" x14ac:dyDescent="0.25">
      <c r="A1207" t="s">
        <v>18</v>
      </c>
      <c r="B1207" s="2">
        <v>45378</v>
      </c>
      <c r="C1207">
        <v>2024</v>
      </c>
      <c r="E1207" t="s">
        <v>6</v>
      </c>
      <c r="F1207">
        <f>(SingleBerryDW!F1207/SingleBerryFW!F1207)*100</f>
        <v>15.7</v>
      </c>
    </row>
    <row r="1208" spans="1:8" x14ac:dyDescent="0.25">
      <c r="A1208" t="s">
        <v>18</v>
      </c>
      <c r="B1208" s="2">
        <v>45390</v>
      </c>
      <c r="C1208">
        <v>2024</v>
      </c>
      <c r="E1208" t="s">
        <v>6</v>
      </c>
      <c r="F1208">
        <f>(SingleBerryDW!F1208/SingleBerryFW!F1208)*100</f>
        <v>16.499999999999996</v>
      </c>
      <c r="G1208">
        <f>F1208</f>
        <v>16.499999999999996</v>
      </c>
      <c r="H1208" t="s">
        <v>27</v>
      </c>
    </row>
    <row r="1209" spans="1:8" x14ac:dyDescent="0.25">
      <c r="A1209" t="s">
        <v>18</v>
      </c>
      <c r="B1209" s="2">
        <v>45407</v>
      </c>
      <c r="C1209">
        <v>2024</v>
      </c>
      <c r="E1209" t="s">
        <v>6</v>
      </c>
      <c r="F1209">
        <f>(SingleBerryDW!F1209/SingleBerryFW!F1209)*100</f>
        <v>16.5</v>
      </c>
    </row>
    <row r="1210" spans="1:8" x14ac:dyDescent="0.25">
      <c r="A1210" t="s">
        <v>18</v>
      </c>
      <c r="B1210" s="2">
        <v>45413</v>
      </c>
      <c r="C1210">
        <v>2024</v>
      </c>
      <c r="E1210" t="s">
        <v>6</v>
      </c>
      <c r="F1210">
        <f>(SingleBerryDW!F1210/SingleBerryFW!F1210)*100</f>
        <v>16.8</v>
      </c>
    </row>
    <row r="1211" spans="1:8" x14ac:dyDescent="0.25">
      <c r="A1211" t="s">
        <v>18</v>
      </c>
      <c r="B1211" s="2">
        <v>45425</v>
      </c>
      <c r="C1211">
        <v>2024</v>
      </c>
      <c r="E1211" t="s">
        <v>6</v>
      </c>
      <c r="F1211">
        <f>(SingleBerryDW!F1211/SingleBerryFW!F1211)*100</f>
        <v>17.8</v>
      </c>
    </row>
    <row r="1212" spans="1:8" x14ac:dyDescent="0.25">
      <c r="A1212" t="s">
        <v>18</v>
      </c>
      <c r="B1212" s="2">
        <v>45439</v>
      </c>
      <c r="C1212">
        <v>2024</v>
      </c>
      <c r="E1212" t="s">
        <v>6</v>
      </c>
      <c r="F1212">
        <f>(SingleBerryDW!F1212/SingleBerryFW!F1212)*100</f>
        <v>15</v>
      </c>
    </row>
    <row r="1213" spans="1:8" x14ac:dyDescent="0.25">
      <c r="A1213" t="s">
        <v>18</v>
      </c>
      <c r="B1213" s="2">
        <v>45454</v>
      </c>
      <c r="C1213">
        <v>2024</v>
      </c>
      <c r="E1213" t="s">
        <v>6</v>
      </c>
      <c r="F1213">
        <f>(SingleBerryDW!F1213/SingleBerryFW!F1213)*100</f>
        <v>17.5</v>
      </c>
    </row>
    <row r="1214" spans="1:8" hidden="1" x14ac:dyDescent="0.25">
      <c r="A1214" t="s">
        <v>23</v>
      </c>
      <c r="B1214" s="2">
        <v>45315</v>
      </c>
      <c r="C1214">
        <v>2024</v>
      </c>
      <c r="E1214" t="s">
        <v>9</v>
      </c>
      <c r="F1214">
        <f>(SingleBerryDW!F1214/SingleBerryFW!F1214)*100</f>
        <v>9.9</v>
      </c>
    </row>
    <row r="1215" spans="1:8" hidden="1" x14ac:dyDescent="0.25">
      <c r="A1215" t="s">
        <v>23</v>
      </c>
      <c r="B1215" s="2">
        <v>45335</v>
      </c>
      <c r="C1215">
        <v>2024</v>
      </c>
      <c r="E1215" t="s">
        <v>9</v>
      </c>
      <c r="F1215">
        <f>(SingleBerryDW!F1215/SingleBerryFW!F1215)*100</f>
        <v>13.100000000000001</v>
      </c>
    </row>
    <row r="1216" spans="1:8" hidden="1" x14ac:dyDescent="0.25">
      <c r="A1216" t="s">
        <v>23</v>
      </c>
      <c r="B1216" s="2">
        <v>45349</v>
      </c>
      <c r="C1216">
        <v>2024</v>
      </c>
      <c r="E1216" t="s">
        <v>9</v>
      </c>
      <c r="F1216">
        <f>(SingleBerryDW!F1216/SingleBerryFW!F1216)*100</f>
        <v>14.900000000000002</v>
      </c>
    </row>
    <row r="1217" spans="1:8" hidden="1" x14ac:dyDescent="0.25">
      <c r="A1217" t="s">
        <v>23</v>
      </c>
      <c r="B1217" s="2">
        <v>45363</v>
      </c>
      <c r="C1217">
        <v>2024</v>
      </c>
      <c r="E1217" t="s">
        <v>9</v>
      </c>
      <c r="F1217">
        <f>(SingleBerryDW!F1217/SingleBerryFW!F1217)*100</f>
        <v>16</v>
      </c>
    </row>
    <row r="1218" spans="1:8" hidden="1" x14ac:dyDescent="0.25">
      <c r="A1218" t="s">
        <v>23</v>
      </c>
      <c r="B1218" s="2">
        <v>45378</v>
      </c>
      <c r="C1218">
        <v>2024</v>
      </c>
      <c r="E1218" t="s">
        <v>9</v>
      </c>
      <c r="F1218">
        <f>(SingleBerryDW!F1218/SingleBerryFW!F1218)*100</f>
        <v>16.7</v>
      </c>
    </row>
    <row r="1219" spans="1:8" hidden="1" x14ac:dyDescent="0.25">
      <c r="A1219" t="s">
        <v>23</v>
      </c>
      <c r="B1219" s="2">
        <v>45390</v>
      </c>
      <c r="C1219">
        <v>2024</v>
      </c>
      <c r="E1219" t="s">
        <v>9</v>
      </c>
      <c r="F1219">
        <f>(SingleBerryDW!F1219/SingleBerryFW!F1219)*100</f>
        <v>17</v>
      </c>
    </row>
    <row r="1220" spans="1:8" hidden="1" x14ac:dyDescent="0.25">
      <c r="A1220" t="s">
        <v>23</v>
      </c>
      <c r="B1220" s="2">
        <v>45406</v>
      </c>
      <c r="C1220">
        <v>2024</v>
      </c>
      <c r="E1220" t="s">
        <v>9</v>
      </c>
      <c r="F1220">
        <f>(SingleBerryDW!F1220/SingleBerryFW!F1220)*100</f>
        <v>17.3</v>
      </c>
      <c r="G1220">
        <v>17.5</v>
      </c>
      <c r="H1220" t="s">
        <v>27</v>
      </c>
    </row>
    <row r="1221" spans="1:8" hidden="1" x14ac:dyDescent="0.25">
      <c r="A1221" t="s">
        <v>23</v>
      </c>
      <c r="B1221" s="2">
        <v>45412</v>
      </c>
      <c r="C1221">
        <v>2024</v>
      </c>
      <c r="E1221" t="s">
        <v>9</v>
      </c>
      <c r="F1221">
        <f>(SingleBerryDW!F1221/SingleBerryFW!F1221)*100</f>
        <v>17.7</v>
      </c>
    </row>
    <row r="1222" spans="1:8" hidden="1" x14ac:dyDescent="0.25">
      <c r="A1222" t="s">
        <v>23</v>
      </c>
      <c r="B1222" s="2">
        <v>45427</v>
      </c>
      <c r="C1222">
        <v>2024</v>
      </c>
      <c r="E1222" t="s">
        <v>9</v>
      </c>
      <c r="F1222">
        <f>(SingleBerryDW!F1222/SingleBerryFW!F1222)*100</f>
        <v>17.899999999999995</v>
      </c>
    </row>
    <row r="1223" spans="1:8" hidden="1" x14ac:dyDescent="0.25">
      <c r="A1223" t="s">
        <v>23</v>
      </c>
      <c r="B1223" s="2">
        <v>45441</v>
      </c>
      <c r="C1223">
        <v>2024</v>
      </c>
      <c r="E1223" t="s">
        <v>9</v>
      </c>
      <c r="F1223">
        <f>(SingleBerryDW!F1223/SingleBerryFW!F1223)*100</f>
        <v>17.8</v>
      </c>
    </row>
    <row r="1224" spans="1:8" hidden="1" x14ac:dyDescent="0.25">
      <c r="A1224" t="s">
        <v>23</v>
      </c>
      <c r="B1224" s="2">
        <v>45454</v>
      </c>
      <c r="C1224">
        <v>2024</v>
      </c>
      <c r="E1224" t="s">
        <v>9</v>
      </c>
      <c r="F1224">
        <f>(SingleBerryDW!F1224/SingleBerryFW!F1224)*100</f>
        <v>17.899999999999999</v>
      </c>
    </row>
    <row r="1225" spans="1:8" hidden="1" x14ac:dyDescent="0.25">
      <c r="B1225" s="2"/>
    </row>
    <row r="1226" spans="1:8" hidden="1" x14ac:dyDescent="0.25">
      <c r="B1226" s="2"/>
    </row>
    <row r="1227" spans="1:8" hidden="1" x14ac:dyDescent="0.25">
      <c r="B1227" s="2"/>
    </row>
    <row r="1228" spans="1:8" hidden="1" x14ac:dyDescent="0.25">
      <c r="B1228" s="2"/>
    </row>
  </sheetData>
  <autoFilter ref="A1:A1228" xr:uid="{B3CAF195-1F50-4308-BA2B-F7BFA06853CA}">
    <filterColumn colId="0">
      <filters>
        <filter val="TPHW2024"/>
      </filters>
    </filterColumn>
  </autoFilter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zoomScale="70" zoomScaleNormal="70" workbookViewId="0">
      <pane ySplit="1" topLeftCell="A576" activePane="bottomLeft" state="frozen"/>
      <selection pane="bottomLeft" activeCell="I607" sqref="I60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0" max="10" width="21.140625" customWidth="1"/>
    <col min="13" max="13" width="29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25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25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25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25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25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25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25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25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25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25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25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25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25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25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25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25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25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25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25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25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25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25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25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25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25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25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25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25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25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25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25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25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25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25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25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25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25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25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25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25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25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25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25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25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25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25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25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25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25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25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25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25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25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25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25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25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25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25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25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25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25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25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25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25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25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25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25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25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25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25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25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25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25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25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25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25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25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25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25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25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25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25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25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25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25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25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25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25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25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25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25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25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25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25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25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25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25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25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25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25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25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25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25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25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25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25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25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25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25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25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25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25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25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25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25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25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25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25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25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25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25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25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25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25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25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25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25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25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25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25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25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25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25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25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25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25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25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25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25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25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25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25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25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25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25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25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25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25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25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25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25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25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25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25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25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25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25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25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25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25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25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25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25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25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25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25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25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25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25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25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25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25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25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25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25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25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25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25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25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25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25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25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25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25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25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25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25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25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25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25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25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25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25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25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25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25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25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25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25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25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25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25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25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25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25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25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25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25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25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25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25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25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25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25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25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25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25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25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25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25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25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25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25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25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25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25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25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25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25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25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25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25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25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25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25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25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25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25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25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25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25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25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25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25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25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25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25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25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25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25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25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25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25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25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25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25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25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25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25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25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25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25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25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25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25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25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25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25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25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25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25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25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25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25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25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25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25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25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25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25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25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25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25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25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25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25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25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25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25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25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25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25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25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25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25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25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25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25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25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25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25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25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25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25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25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25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25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25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25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25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25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25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25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25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25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25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25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25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25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25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25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25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25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25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25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25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25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25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25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25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25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25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25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25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25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25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25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25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25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25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25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25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25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25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25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25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25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25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25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25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25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25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25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25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25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25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25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25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25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25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25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25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25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25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25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25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25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25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25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25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25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25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25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25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25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25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25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25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25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25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25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25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25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25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25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25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25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25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25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25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25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25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25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25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25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25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25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25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25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25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25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25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25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25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25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25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25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25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25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25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25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25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25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25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25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25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25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25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25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25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25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25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25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25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25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25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25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25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25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25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25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25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25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25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25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25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25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25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25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25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25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25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25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25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25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25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25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25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25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25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25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25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25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25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25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25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25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25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25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25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25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25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25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25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25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25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25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25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25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25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25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25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25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25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25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25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25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25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25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25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25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25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25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25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25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25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25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25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25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25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25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25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25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25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25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25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25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25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25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25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25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25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25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25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25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25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25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25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25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25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25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25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25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25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25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25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25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25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25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25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25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25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25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25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25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25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25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25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25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25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25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25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25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25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25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25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25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25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25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25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25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25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25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25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25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25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25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25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25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25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25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25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25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25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25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25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25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25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25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25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25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25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25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25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25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25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25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25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25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25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25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25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25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25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25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25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25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25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25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25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25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25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25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25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25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25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25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25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25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25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25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25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25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25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25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25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25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25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25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25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25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25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25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4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25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25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25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25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25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25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25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25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SingleBerryFW</vt:lpstr>
      <vt:lpstr>SingleBerryDW</vt:lpstr>
      <vt:lpstr>SingleBerryDMC</vt:lpstr>
      <vt:lpstr>FullBloom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2025-09-13T08:17:18Z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