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 repos\APSIMX\Prototypes\KiwiFruit\"/>
    </mc:Choice>
  </mc:AlternateContent>
  <xr:revisionPtr revIDLastSave="0" documentId="13_ncr:1_{2729CE0D-5023-49FB-B595-1A6DCEB47BF0}" xr6:coauthVersionLast="47" xr6:coauthVersionMax="47" xr10:uidLastSave="{00000000-0000-0000-0000-000000000000}"/>
  <bookViews>
    <workbookView xWindow="-108" yWindow="12852" windowWidth="23256" windowHeight="12456" activeTab="4" xr2:uid="{00000000-000D-0000-FFFF-FFFF00000000}"/>
  </bookViews>
  <sheets>
    <sheet name="SingleBerryFW" sheetId="1" r:id="rId1"/>
    <sheet name="SingleBerryDW" sheetId="3" r:id="rId2"/>
    <sheet name="SingleBerryDMC" sheetId="4" r:id="rId3"/>
    <sheet name="FullBloom" sheetId="5" r:id="rId4"/>
    <sheet name="Calculations" sheetId="6" r:id="rId5"/>
  </sheets>
  <definedNames>
    <definedName name="_xlnm._FilterDatabase" localSheetId="3" hidden="1">FullBloom!$A$1:$A$612</definedName>
    <definedName name="_xlnm._FilterDatabase" localSheetId="2" hidden="1">SingleBerryDMC!$A$1:$A$1432</definedName>
    <definedName name="_xlnm._FilterDatabase" localSheetId="1" hidden="1">SingleBerryDW!$A$1:$A$1428</definedName>
    <definedName name="_xlnm._FilterDatabase" localSheetId="0" hidden="1">SingleBerryFW!$A$1:$A$1428</definedName>
    <definedName name="_xlchart.v1.0" hidden="1">SingleBerryFW!$D$614:$D$696</definedName>
    <definedName name="_xlchart.v1.1" hidden="1">SingleBerryFW!$F$614:$F$696</definedName>
    <definedName name="_xlchart.v1.2" hidden="1">SingleBerryFW!$D$614:$D$696</definedName>
    <definedName name="_xlchart.v1.3" hidden="1">SingleBerryFW!$F$614:$F$696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7" i="4" l="1"/>
  <c r="G1303" i="4"/>
  <c r="G1281" i="4"/>
  <c r="G1261" i="4"/>
  <c r="G1238" i="4"/>
  <c r="G1220" i="4"/>
  <c r="G1156" i="4"/>
  <c r="G1091" i="4"/>
  <c r="G1024" i="4"/>
  <c r="G959" i="4"/>
  <c r="G1209" i="4"/>
  <c r="G1144" i="4"/>
  <c r="G1079" i="4"/>
  <c r="G1004" i="4"/>
  <c r="G947" i="4"/>
  <c r="G910" i="4"/>
  <c r="G852" i="4"/>
  <c r="G770" i="4"/>
  <c r="G682" i="4"/>
  <c r="G1317" i="3"/>
  <c r="G1299" i="3"/>
  <c r="G1276" i="3"/>
  <c r="G1254" i="3"/>
  <c r="G1234" i="3"/>
  <c r="G1220" i="3"/>
  <c r="G1156" i="3"/>
  <c r="G1091" i="3"/>
  <c r="G1024" i="3"/>
  <c r="G959" i="3"/>
  <c r="G1164" i="3"/>
  <c r="G1100" i="3"/>
  <c r="G1034" i="3"/>
  <c r="G968" i="3"/>
  <c r="G932" i="3"/>
  <c r="G870" i="3"/>
  <c r="G802" i="3"/>
  <c r="G713" i="3"/>
  <c r="G630" i="3"/>
  <c r="G1164" i="1"/>
  <c r="G1100" i="1"/>
  <c r="G1046" i="1"/>
  <c r="G967" i="1"/>
  <c r="G925" i="1"/>
  <c r="G870" i="1"/>
  <c r="G802" i="1"/>
  <c r="G713" i="1"/>
  <c r="G630" i="1"/>
  <c r="G1220" i="1"/>
  <c r="G1156" i="1"/>
  <c r="G1091" i="1"/>
  <c r="G1024" i="1"/>
  <c r="G959" i="1"/>
  <c r="G1318" i="1"/>
  <c r="G1299" i="1"/>
  <c r="G1278" i="1"/>
  <c r="G1254" i="1"/>
  <c r="G1234" i="1"/>
  <c r="F20" i="6"/>
  <c r="F19" i="6"/>
  <c r="F18" i="6"/>
  <c r="F17" i="6"/>
  <c r="F16" i="6"/>
  <c r="F15" i="6"/>
  <c r="D1215" i="4"/>
  <c r="D1216" i="4"/>
  <c r="D1217" i="4"/>
  <c r="D1218" i="4"/>
  <c r="D1219" i="4"/>
  <c r="D1220" i="4"/>
  <c r="D1221" i="4"/>
  <c r="D1222" i="4"/>
  <c r="D1223" i="4"/>
  <c r="D1224" i="4"/>
  <c r="D1214" i="4"/>
  <c r="F14" i="6"/>
  <c r="F13" i="6"/>
  <c r="F12" i="6"/>
  <c r="F11" i="6"/>
  <c r="F10" i="6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159" i="4"/>
  <c r="F9" i="6"/>
  <c r="F8" i="6"/>
  <c r="F7" i="6"/>
  <c r="F6" i="6"/>
  <c r="F5" i="6"/>
  <c r="F4" i="6"/>
  <c r="F3" i="6"/>
  <c r="F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3" i="4"/>
  <c r="D2" i="4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" i="6"/>
  <c r="D1432" i="4"/>
  <c r="C1432" i="4"/>
  <c r="D1431" i="4"/>
  <c r="C1431" i="4"/>
  <c r="D1430" i="4"/>
  <c r="C1430" i="4"/>
  <c r="D1429" i="4"/>
  <c r="C1429" i="4"/>
  <c r="D1428" i="4"/>
  <c r="C1428" i="4"/>
  <c r="D1427" i="4"/>
  <c r="C1427" i="4"/>
  <c r="D1426" i="4"/>
  <c r="C1426" i="4"/>
  <c r="D1425" i="4"/>
  <c r="C1425" i="4"/>
  <c r="D1424" i="4"/>
  <c r="C1424" i="4"/>
  <c r="D1423" i="4"/>
  <c r="C1423" i="4"/>
  <c r="D1422" i="4"/>
  <c r="C1422" i="4"/>
  <c r="D1421" i="4"/>
  <c r="C1421" i="4"/>
  <c r="D1420" i="4"/>
  <c r="C1420" i="4"/>
  <c r="D1419" i="4"/>
  <c r="C1419" i="4"/>
  <c r="D1418" i="4"/>
  <c r="C1418" i="4"/>
  <c r="D1417" i="4"/>
  <c r="C1417" i="4"/>
  <c r="D1416" i="4"/>
  <c r="C1416" i="4"/>
  <c r="D1415" i="4"/>
  <c r="C1415" i="4"/>
  <c r="D1414" i="4"/>
  <c r="C1414" i="4"/>
  <c r="D1413" i="4"/>
  <c r="C1413" i="4"/>
  <c r="D1412" i="4"/>
  <c r="C1412" i="4"/>
  <c r="D1411" i="4"/>
  <c r="C1411" i="4"/>
  <c r="D1410" i="4"/>
  <c r="C1410" i="4"/>
  <c r="D1409" i="4"/>
  <c r="C1409" i="4"/>
  <c r="D1408" i="4"/>
  <c r="C1408" i="4"/>
  <c r="D1407" i="4"/>
  <c r="C1407" i="4"/>
  <c r="D1406" i="4"/>
  <c r="C1406" i="4"/>
  <c r="D1405" i="4"/>
  <c r="C1405" i="4"/>
  <c r="D1404" i="4"/>
  <c r="C1404" i="4"/>
  <c r="D1403" i="4"/>
  <c r="C1403" i="4"/>
  <c r="D1402" i="4"/>
  <c r="C1402" i="4"/>
  <c r="D1401" i="4"/>
  <c r="C1401" i="4"/>
  <c r="D1400" i="4"/>
  <c r="C1400" i="4"/>
  <c r="D1399" i="4"/>
  <c r="C1399" i="4"/>
  <c r="D1398" i="4"/>
  <c r="C1398" i="4"/>
  <c r="D1397" i="4"/>
  <c r="C1397" i="4"/>
  <c r="D1396" i="4"/>
  <c r="C1396" i="4"/>
  <c r="D1395" i="4"/>
  <c r="C1395" i="4"/>
  <c r="D1394" i="4"/>
  <c r="C1394" i="4"/>
  <c r="D1393" i="4"/>
  <c r="C1393" i="4"/>
  <c r="D1392" i="4"/>
  <c r="C1392" i="4"/>
  <c r="D1391" i="4"/>
  <c r="C1391" i="4"/>
  <c r="D1390" i="4"/>
  <c r="C1390" i="4"/>
  <c r="D1389" i="4"/>
  <c r="C1389" i="4"/>
  <c r="D1388" i="4"/>
  <c r="C1388" i="4"/>
  <c r="D1387" i="4"/>
  <c r="C1387" i="4"/>
  <c r="D1386" i="4"/>
  <c r="C1386" i="4"/>
  <c r="D1385" i="4"/>
  <c r="C1385" i="4"/>
  <c r="D1384" i="4"/>
  <c r="C1384" i="4"/>
  <c r="D1383" i="4"/>
  <c r="C1383" i="4"/>
  <c r="D1382" i="4"/>
  <c r="C1382" i="4"/>
  <c r="D1381" i="4"/>
  <c r="C1381" i="4"/>
  <c r="D1380" i="4"/>
  <c r="C1380" i="4"/>
  <c r="D1379" i="4"/>
  <c r="C1379" i="4"/>
  <c r="D1378" i="4"/>
  <c r="C1378" i="4"/>
  <c r="D1377" i="4"/>
  <c r="C1377" i="4"/>
  <c r="D1376" i="4"/>
  <c r="C1376" i="4"/>
  <c r="D1375" i="4"/>
  <c r="C1375" i="4"/>
  <c r="D1374" i="4"/>
  <c r="C1374" i="4"/>
  <c r="D1373" i="4"/>
  <c r="C1373" i="4"/>
  <c r="D1372" i="4"/>
  <c r="C1372" i="4"/>
  <c r="D1371" i="4"/>
  <c r="C1371" i="4"/>
  <c r="D1370" i="4"/>
  <c r="C1370" i="4"/>
  <c r="D1369" i="4"/>
  <c r="C1369" i="4"/>
  <c r="D1368" i="4"/>
  <c r="C1368" i="4"/>
  <c r="D1367" i="4"/>
  <c r="C1367" i="4"/>
  <c r="D1366" i="4"/>
  <c r="C1366" i="4"/>
  <c r="D1365" i="4"/>
  <c r="C1365" i="4"/>
  <c r="D1364" i="4"/>
  <c r="C1364" i="4"/>
  <c r="D1363" i="4"/>
  <c r="C1363" i="4"/>
  <c r="D1362" i="4"/>
  <c r="C1362" i="4"/>
  <c r="D1361" i="4"/>
  <c r="C1361" i="4"/>
  <c r="D1360" i="4"/>
  <c r="C1360" i="4"/>
  <c r="D1359" i="4"/>
  <c r="C1359" i="4"/>
  <c r="D1358" i="4"/>
  <c r="C1358" i="4"/>
  <c r="D1357" i="4"/>
  <c r="C1357" i="4"/>
  <c r="D1356" i="4"/>
  <c r="C1356" i="4"/>
  <c r="D1355" i="4"/>
  <c r="C1355" i="4"/>
  <c r="D1354" i="4"/>
  <c r="C1354" i="4"/>
  <c r="D1353" i="4"/>
  <c r="C1353" i="4"/>
  <c r="D1352" i="4"/>
  <c r="C1352" i="4"/>
  <c r="D1351" i="4"/>
  <c r="C1351" i="4"/>
  <c r="D1350" i="4"/>
  <c r="C1350" i="4"/>
  <c r="D1349" i="4"/>
  <c r="C1349" i="4"/>
  <c r="D1348" i="4"/>
  <c r="C1348" i="4"/>
  <c r="D1347" i="4"/>
  <c r="C1347" i="4"/>
  <c r="D1346" i="4"/>
  <c r="C1346" i="4"/>
  <c r="D1345" i="4"/>
  <c r="C1345" i="4"/>
  <c r="D1344" i="4"/>
  <c r="C1344" i="4"/>
  <c r="D1343" i="4"/>
  <c r="C1343" i="4"/>
  <c r="D1342" i="4"/>
  <c r="C1342" i="4"/>
  <c r="D1341" i="4"/>
  <c r="C1341" i="4"/>
  <c r="D1340" i="4"/>
  <c r="C1340" i="4"/>
  <c r="D1339" i="4"/>
  <c r="C1339" i="4"/>
  <c r="D1338" i="4"/>
  <c r="C1338" i="4"/>
  <c r="D1337" i="4"/>
  <c r="C1337" i="4"/>
  <c r="D1336" i="4"/>
  <c r="C1336" i="4"/>
  <c r="D1335" i="4"/>
  <c r="C1335" i="4"/>
  <c r="D1334" i="4"/>
  <c r="C1334" i="4"/>
  <c r="D1333" i="4"/>
  <c r="C1333" i="4"/>
  <c r="D1332" i="4"/>
  <c r="C1332" i="4"/>
  <c r="D1331" i="4"/>
  <c r="C1331" i="4"/>
  <c r="D1330" i="4"/>
  <c r="C1330" i="4"/>
  <c r="D1329" i="4"/>
  <c r="C1329" i="4"/>
  <c r="D1328" i="4"/>
  <c r="C1328" i="4"/>
  <c r="D1327" i="4"/>
  <c r="C1327" i="4"/>
  <c r="D1326" i="4"/>
  <c r="C1326" i="4"/>
  <c r="D1325" i="4"/>
  <c r="C1325" i="4"/>
  <c r="D1324" i="4"/>
  <c r="C1324" i="4"/>
  <c r="D1323" i="4"/>
  <c r="C1323" i="4"/>
  <c r="D1322" i="4"/>
  <c r="C1322" i="4"/>
  <c r="D1321" i="4"/>
  <c r="C1321" i="4"/>
  <c r="D1320" i="4"/>
  <c r="C1320" i="4"/>
  <c r="D1319" i="4"/>
  <c r="C1319" i="4"/>
  <c r="D1318" i="4"/>
  <c r="C1318" i="4"/>
  <c r="D1317" i="4"/>
  <c r="C1317" i="4"/>
  <c r="D1316" i="4"/>
  <c r="C1316" i="4"/>
  <c r="D1315" i="4"/>
  <c r="C1315" i="4"/>
  <c r="D1314" i="4"/>
  <c r="C1314" i="4"/>
  <c r="D1313" i="4"/>
  <c r="C1313" i="4"/>
  <c r="D1312" i="4"/>
  <c r="C1312" i="4"/>
  <c r="D1311" i="4"/>
  <c r="C1311" i="4"/>
  <c r="D1310" i="4"/>
  <c r="C1310" i="4"/>
  <c r="D1309" i="4"/>
  <c r="C1309" i="4"/>
  <c r="D1308" i="4"/>
  <c r="C1308" i="4"/>
  <c r="D1307" i="4"/>
  <c r="C1307" i="4"/>
  <c r="D1306" i="4"/>
  <c r="C1306" i="4"/>
  <c r="D1305" i="4"/>
  <c r="C1305" i="4"/>
  <c r="D1304" i="4"/>
  <c r="C1304" i="4"/>
  <c r="D1303" i="4"/>
  <c r="C1303" i="4"/>
  <c r="D1302" i="4"/>
  <c r="C1302" i="4"/>
  <c r="D1301" i="4"/>
  <c r="C1301" i="4"/>
  <c r="D1300" i="4"/>
  <c r="C1300" i="4"/>
  <c r="D1299" i="4"/>
  <c r="C1299" i="4"/>
  <c r="D1298" i="4"/>
  <c r="C1298" i="4"/>
  <c r="D1297" i="4"/>
  <c r="C1297" i="4"/>
  <c r="D1296" i="4"/>
  <c r="C1296" i="4"/>
  <c r="D1295" i="4"/>
  <c r="C1295" i="4"/>
  <c r="D1294" i="4"/>
  <c r="C1294" i="4"/>
  <c r="D1293" i="4"/>
  <c r="C1293" i="4"/>
  <c r="D1292" i="4"/>
  <c r="C1292" i="4"/>
  <c r="D1291" i="4"/>
  <c r="C1291" i="4"/>
  <c r="D1290" i="4"/>
  <c r="C1290" i="4"/>
  <c r="D1289" i="4"/>
  <c r="C1289" i="4"/>
  <c r="D1288" i="4"/>
  <c r="C1288" i="4"/>
  <c r="D1287" i="4"/>
  <c r="C1287" i="4"/>
  <c r="D1286" i="4"/>
  <c r="C1286" i="4"/>
  <c r="D1285" i="4"/>
  <c r="C1285" i="4"/>
  <c r="D1284" i="4"/>
  <c r="C1284" i="4"/>
  <c r="D1283" i="4"/>
  <c r="C1283" i="4"/>
  <c r="D1282" i="4"/>
  <c r="C1282" i="4"/>
  <c r="D1281" i="4"/>
  <c r="C1281" i="4"/>
  <c r="D1280" i="4"/>
  <c r="C1280" i="4"/>
  <c r="D1279" i="4"/>
  <c r="C1279" i="4"/>
  <c r="D1278" i="4"/>
  <c r="C1278" i="4"/>
  <c r="D1277" i="4"/>
  <c r="C1277" i="4"/>
  <c r="D1276" i="4"/>
  <c r="C1276" i="4"/>
  <c r="D1275" i="4"/>
  <c r="C1275" i="4"/>
  <c r="D1274" i="4"/>
  <c r="C1274" i="4"/>
  <c r="D1273" i="4"/>
  <c r="C1273" i="4"/>
  <c r="D1272" i="4"/>
  <c r="C1272" i="4"/>
  <c r="D1271" i="4"/>
  <c r="C1271" i="4"/>
  <c r="D1270" i="4"/>
  <c r="C1270" i="4"/>
  <c r="D1269" i="4"/>
  <c r="C1269" i="4"/>
  <c r="D1268" i="4"/>
  <c r="C1268" i="4"/>
  <c r="D1267" i="4"/>
  <c r="C1267" i="4"/>
  <c r="D1266" i="4"/>
  <c r="C1266" i="4"/>
  <c r="D1265" i="4"/>
  <c r="C1265" i="4"/>
  <c r="D1264" i="4"/>
  <c r="C1264" i="4"/>
  <c r="D1263" i="4"/>
  <c r="C1263" i="4"/>
  <c r="D1262" i="4"/>
  <c r="C1262" i="4"/>
  <c r="D1261" i="4"/>
  <c r="C1261" i="4"/>
  <c r="D1260" i="4"/>
  <c r="C1260" i="4"/>
  <c r="D1259" i="4"/>
  <c r="C1259" i="4"/>
  <c r="D1258" i="4"/>
  <c r="C1258" i="4"/>
  <c r="D1257" i="4"/>
  <c r="C1257" i="4"/>
  <c r="D1256" i="4"/>
  <c r="C1256" i="4"/>
  <c r="D1255" i="4"/>
  <c r="C1255" i="4"/>
  <c r="D1254" i="4"/>
  <c r="C1254" i="4"/>
  <c r="D1253" i="4"/>
  <c r="C1253" i="4"/>
  <c r="D1252" i="4"/>
  <c r="C1252" i="4"/>
  <c r="D1251" i="4"/>
  <c r="C1251" i="4"/>
  <c r="D1250" i="4"/>
  <c r="C1250" i="4"/>
  <c r="D1249" i="4"/>
  <c r="C1249" i="4"/>
  <c r="D1248" i="4"/>
  <c r="C1248" i="4"/>
  <c r="D1247" i="4"/>
  <c r="C1247" i="4"/>
  <c r="D1246" i="4"/>
  <c r="C1246" i="4"/>
  <c r="D1245" i="4"/>
  <c r="C1245" i="4"/>
  <c r="D1244" i="4"/>
  <c r="C1244" i="4"/>
  <c r="D1243" i="4"/>
  <c r="C1243" i="4"/>
  <c r="D1242" i="4"/>
  <c r="C1242" i="4"/>
  <c r="D1241" i="4"/>
  <c r="C1241" i="4"/>
  <c r="D1240" i="4"/>
  <c r="C1240" i="4"/>
  <c r="D1239" i="4"/>
  <c r="C1239" i="4"/>
  <c r="D1238" i="4"/>
  <c r="C1238" i="4"/>
  <c r="D1237" i="4"/>
  <c r="C1237" i="4"/>
  <c r="D1236" i="4"/>
  <c r="C1236" i="4"/>
  <c r="D1235" i="4"/>
  <c r="C1235" i="4"/>
  <c r="D1234" i="4"/>
  <c r="C1234" i="4"/>
  <c r="D1233" i="4"/>
  <c r="C1233" i="4"/>
  <c r="D1232" i="4"/>
  <c r="C1232" i="4"/>
  <c r="D1231" i="4"/>
  <c r="C1231" i="4"/>
  <c r="D1230" i="4"/>
  <c r="C1230" i="4"/>
  <c r="D1229" i="4"/>
  <c r="C1229" i="4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I1428" i="1"/>
  <c r="D1428" i="1"/>
  <c r="C1428" i="1"/>
  <c r="I1427" i="1"/>
  <c r="D1427" i="1"/>
  <c r="C1427" i="1"/>
  <c r="I1426" i="1"/>
  <c r="D1426" i="1"/>
  <c r="C1426" i="1"/>
  <c r="I1425" i="1"/>
  <c r="D1425" i="1"/>
  <c r="C1425" i="1"/>
  <c r="I1424" i="1"/>
  <c r="D1424" i="1"/>
  <c r="C1424" i="1"/>
  <c r="I1423" i="1"/>
  <c r="D1423" i="1"/>
  <c r="C1423" i="1"/>
  <c r="I1422" i="1"/>
  <c r="D1422" i="1"/>
  <c r="C1422" i="1"/>
  <c r="I1421" i="1"/>
  <c r="D1421" i="1"/>
  <c r="C1421" i="1"/>
  <c r="I1420" i="1"/>
  <c r="D1420" i="1"/>
  <c r="C1420" i="1"/>
  <c r="I1419" i="1"/>
  <c r="D1419" i="1"/>
  <c r="C1419" i="1"/>
  <c r="I1418" i="1"/>
  <c r="D1418" i="1"/>
  <c r="C1418" i="1"/>
  <c r="I1417" i="1"/>
  <c r="D1417" i="1"/>
  <c r="C1417" i="1"/>
  <c r="I1416" i="1"/>
  <c r="D1416" i="1"/>
  <c r="C1416" i="1"/>
  <c r="I1415" i="1"/>
  <c r="D1415" i="1"/>
  <c r="C1415" i="1"/>
  <c r="I1414" i="1"/>
  <c r="D1414" i="1"/>
  <c r="C1414" i="1"/>
  <c r="I1413" i="1"/>
  <c r="D1413" i="1"/>
  <c r="C1413" i="1"/>
  <c r="I1412" i="1"/>
  <c r="D1412" i="1"/>
  <c r="C1412" i="1"/>
  <c r="I1411" i="1"/>
  <c r="D1411" i="1"/>
  <c r="C1411" i="1"/>
  <c r="I1410" i="1"/>
  <c r="D1410" i="1"/>
  <c r="C1410" i="1"/>
  <c r="I1409" i="1"/>
  <c r="D1409" i="1"/>
  <c r="C1409" i="1"/>
  <c r="I1408" i="1"/>
  <c r="D1408" i="1"/>
  <c r="C1408" i="1"/>
  <c r="I1407" i="1"/>
  <c r="D1407" i="1"/>
  <c r="C1407" i="1"/>
  <c r="I1406" i="1"/>
  <c r="D1406" i="1"/>
  <c r="C1406" i="1"/>
  <c r="I1405" i="1"/>
  <c r="D1405" i="1"/>
  <c r="C1405" i="1"/>
  <c r="I1404" i="1"/>
  <c r="D1404" i="1"/>
  <c r="C1404" i="1"/>
  <c r="I1403" i="1"/>
  <c r="D1403" i="1"/>
  <c r="C1403" i="1"/>
  <c r="I1402" i="1"/>
  <c r="D1402" i="1"/>
  <c r="C1402" i="1"/>
  <c r="I1401" i="1"/>
  <c r="D1401" i="1"/>
  <c r="C1401" i="1"/>
  <c r="I1400" i="1"/>
  <c r="D1400" i="1"/>
  <c r="C1400" i="1"/>
  <c r="I1399" i="1"/>
  <c r="D1399" i="1"/>
  <c r="C1399" i="1"/>
  <c r="I1398" i="1"/>
  <c r="D1398" i="1"/>
  <c r="C1398" i="1"/>
  <c r="I1397" i="1"/>
  <c r="D1397" i="1"/>
  <c r="C1397" i="1"/>
  <c r="I1396" i="1"/>
  <c r="D1396" i="1"/>
  <c r="C1396" i="1"/>
  <c r="I1395" i="1"/>
  <c r="D1395" i="1"/>
  <c r="C1395" i="1"/>
  <c r="I1394" i="1"/>
  <c r="D1394" i="1"/>
  <c r="C1394" i="1"/>
  <c r="I1393" i="1"/>
  <c r="D1393" i="1"/>
  <c r="C1393" i="1"/>
  <c r="I1392" i="1"/>
  <c r="D1392" i="1"/>
  <c r="C1392" i="1"/>
  <c r="I1391" i="1"/>
  <c r="D1391" i="1"/>
  <c r="C1391" i="1"/>
  <c r="I1390" i="1"/>
  <c r="D1390" i="1"/>
  <c r="C1390" i="1"/>
  <c r="I1389" i="1"/>
  <c r="D1389" i="1"/>
  <c r="C1389" i="1"/>
  <c r="I1388" i="1"/>
  <c r="D1388" i="1"/>
  <c r="C1388" i="1"/>
  <c r="I1387" i="1"/>
  <c r="D1387" i="1"/>
  <c r="C1387" i="1"/>
  <c r="I1386" i="1"/>
  <c r="D1386" i="1"/>
  <c r="C1386" i="1"/>
  <c r="I1385" i="1"/>
  <c r="D1385" i="1"/>
  <c r="C1385" i="1"/>
  <c r="I1384" i="1"/>
  <c r="D1384" i="1"/>
  <c r="C1384" i="1"/>
  <c r="I1383" i="1"/>
  <c r="D1383" i="1"/>
  <c r="C1383" i="1"/>
  <c r="I1382" i="1"/>
  <c r="D1382" i="1"/>
  <c r="C1382" i="1"/>
  <c r="I1381" i="1"/>
  <c r="D1381" i="1"/>
  <c r="C1381" i="1"/>
  <c r="I1380" i="1"/>
  <c r="D1380" i="1"/>
  <c r="C1380" i="1"/>
  <c r="I1379" i="1"/>
  <c r="D1379" i="1"/>
  <c r="C1379" i="1"/>
  <c r="I1378" i="1"/>
  <c r="D1378" i="1"/>
  <c r="C1378" i="1"/>
  <c r="I1377" i="1"/>
  <c r="D1377" i="1"/>
  <c r="C1377" i="1"/>
  <c r="I1376" i="1"/>
  <c r="D1376" i="1"/>
  <c r="C1376" i="1"/>
  <c r="I1375" i="1"/>
  <c r="D1375" i="1"/>
  <c r="C1375" i="1"/>
  <c r="I1374" i="1"/>
  <c r="D1374" i="1"/>
  <c r="C1374" i="1"/>
  <c r="I1373" i="1"/>
  <c r="D1373" i="1"/>
  <c r="C1373" i="1"/>
  <c r="I1372" i="1"/>
  <c r="D1372" i="1"/>
  <c r="C1372" i="1"/>
  <c r="I1371" i="1"/>
  <c r="D1371" i="1"/>
  <c r="C1371" i="1"/>
  <c r="I1370" i="1"/>
  <c r="D1370" i="1"/>
  <c r="C1370" i="1"/>
  <c r="I1369" i="1"/>
  <c r="D1369" i="1"/>
  <c r="C1369" i="1"/>
  <c r="I1368" i="1"/>
  <c r="D1368" i="1"/>
  <c r="C1368" i="1"/>
  <c r="I1367" i="1"/>
  <c r="D1367" i="1"/>
  <c r="C1367" i="1"/>
  <c r="I1366" i="1"/>
  <c r="D1366" i="1"/>
  <c r="C1366" i="1"/>
  <c r="I1365" i="1"/>
  <c r="D1365" i="1"/>
  <c r="C1365" i="1"/>
  <c r="I1364" i="1"/>
  <c r="D1364" i="1"/>
  <c r="C1364" i="1"/>
  <c r="I1363" i="1"/>
  <c r="D1363" i="1"/>
  <c r="C1363" i="1"/>
  <c r="I1362" i="1"/>
  <c r="D1362" i="1"/>
  <c r="C1362" i="1"/>
  <c r="I1361" i="1"/>
  <c r="D1361" i="1"/>
  <c r="C1361" i="1"/>
  <c r="I1360" i="1"/>
  <c r="D1360" i="1"/>
  <c r="C1360" i="1"/>
  <c r="I1359" i="1"/>
  <c r="D1359" i="1"/>
  <c r="C1359" i="1"/>
  <c r="I1358" i="1"/>
  <c r="D1358" i="1"/>
  <c r="C1358" i="1"/>
  <c r="I1357" i="1"/>
  <c r="D1357" i="1"/>
  <c r="C1357" i="1"/>
  <c r="I1356" i="1"/>
  <c r="D1356" i="1"/>
  <c r="C1356" i="1"/>
  <c r="I1355" i="1"/>
  <c r="D1355" i="1"/>
  <c r="C1355" i="1"/>
  <c r="I1354" i="1"/>
  <c r="D1354" i="1"/>
  <c r="C1354" i="1"/>
  <c r="I1353" i="1"/>
  <c r="D1353" i="1"/>
  <c r="C1353" i="1"/>
  <c r="I1352" i="1"/>
  <c r="D1352" i="1"/>
  <c r="C1352" i="1"/>
  <c r="I1351" i="1"/>
  <c r="D1351" i="1"/>
  <c r="C1351" i="1"/>
  <c r="I1350" i="1"/>
  <c r="D1350" i="1"/>
  <c r="C1350" i="1"/>
  <c r="I1349" i="1"/>
  <c r="D1349" i="1"/>
  <c r="C1349" i="1"/>
  <c r="I1348" i="1"/>
  <c r="D1348" i="1"/>
  <c r="C1348" i="1"/>
  <c r="I1347" i="1"/>
  <c r="D1347" i="1"/>
  <c r="C1347" i="1"/>
  <c r="I1346" i="1"/>
  <c r="D1346" i="1"/>
  <c r="C1346" i="1"/>
  <c r="I1345" i="1"/>
  <c r="D1345" i="1"/>
  <c r="C1345" i="1"/>
  <c r="I1344" i="1"/>
  <c r="D1344" i="1"/>
  <c r="C1344" i="1"/>
  <c r="I1343" i="1"/>
  <c r="D1343" i="1"/>
  <c r="C1343" i="1"/>
  <c r="I1342" i="1"/>
  <c r="D1342" i="1"/>
  <c r="C1342" i="1"/>
  <c r="I1341" i="1"/>
  <c r="D1341" i="1"/>
  <c r="C1341" i="1"/>
  <c r="I1340" i="1"/>
  <c r="D1340" i="1"/>
  <c r="C1340" i="1"/>
  <c r="I1339" i="1"/>
  <c r="D1339" i="1"/>
  <c r="C1339" i="1"/>
  <c r="I1338" i="1"/>
  <c r="D1338" i="1"/>
  <c r="C1338" i="1"/>
  <c r="I1337" i="1"/>
  <c r="D1337" i="1"/>
  <c r="C1337" i="1"/>
  <c r="I1336" i="1"/>
  <c r="D1336" i="1"/>
  <c r="C1336" i="1"/>
  <c r="I1335" i="1"/>
  <c r="D1335" i="1"/>
  <c r="C1335" i="1"/>
  <c r="I1334" i="1"/>
  <c r="D1334" i="1"/>
  <c r="C1334" i="1"/>
  <c r="I1333" i="1"/>
  <c r="D1333" i="1"/>
  <c r="C1333" i="1"/>
  <c r="I1332" i="1"/>
  <c r="D1332" i="1"/>
  <c r="C1332" i="1"/>
  <c r="I1331" i="1"/>
  <c r="D1331" i="1"/>
  <c r="C1331" i="1"/>
  <c r="I1330" i="1"/>
  <c r="D1330" i="1"/>
  <c r="C1330" i="1"/>
  <c r="I1329" i="1"/>
  <c r="D1329" i="1"/>
  <c r="C1329" i="1"/>
  <c r="I1328" i="1"/>
  <c r="D1328" i="1"/>
  <c r="C1328" i="1"/>
  <c r="I1327" i="1"/>
  <c r="D1327" i="1"/>
  <c r="C1327" i="1"/>
  <c r="C1225" i="1"/>
  <c r="D1225" i="1"/>
  <c r="I1225" i="1"/>
  <c r="C1226" i="1"/>
  <c r="D1226" i="1"/>
  <c r="I1226" i="1"/>
  <c r="C1227" i="1"/>
  <c r="D1227" i="1"/>
  <c r="I1227" i="1"/>
  <c r="C1228" i="1"/>
  <c r="D1228" i="1"/>
  <c r="I1228" i="1"/>
  <c r="C1229" i="1"/>
  <c r="D1229" i="1"/>
  <c r="I1229" i="1"/>
  <c r="C1230" i="1"/>
  <c r="D1230" i="1"/>
  <c r="I1230" i="1"/>
  <c r="C1231" i="1"/>
  <c r="D1231" i="1"/>
  <c r="I1231" i="1"/>
  <c r="C1232" i="1"/>
  <c r="D1232" i="1"/>
  <c r="I1232" i="1"/>
  <c r="C1233" i="1"/>
  <c r="D1233" i="1"/>
  <c r="I1233" i="1"/>
  <c r="C1234" i="1"/>
  <c r="D1234" i="1"/>
  <c r="I1234" i="1"/>
  <c r="C1235" i="1"/>
  <c r="D1235" i="1"/>
  <c r="I1235" i="1"/>
  <c r="C1236" i="1"/>
  <c r="D1236" i="1"/>
  <c r="I1236" i="1"/>
  <c r="C1237" i="1"/>
  <c r="D1237" i="1"/>
  <c r="I1237" i="1"/>
  <c r="C1238" i="1"/>
  <c r="D1238" i="1"/>
  <c r="I1238" i="1"/>
  <c r="C1239" i="1"/>
  <c r="D1239" i="1"/>
  <c r="I1239" i="1"/>
  <c r="C1240" i="1"/>
  <c r="D1240" i="1"/>
  <c r="I1240" i="1"/>
  <c r="C1241" i="1"/>
  <c r="D1241" i="1"/>
  <c r="I1241" i="1"/>
  <c r="C1242" i="1"/>
  <c r="D1242" i="1"/>
  <c r="I1242" i="1"/>
  <c r="C1243" i="1"/>
  <c r="D1243" i="1"/>
  <c r="I1243" i="1"/>
  <c r="C1244" i="1"/>
  <c r="D1244" i="1"/>
  <c r="I1244" i="1"/>
  <c r="C1245" i="1"/>
  <c r="D1245" i="1"/>
  <c r="I1245" i="1"/>
  <c r="C1246" i="1"/>
  <c r="D1246" i="1"/>
  <c r="I1246" i="1"/>
  <c r="C1247" i="1"/>
  <c r="D1247" i="1"/>
  <c r="I1247" i="1"/>
  <c r="C1248" i="1"/>
  <c r="D1248" i="1"/>
  <c r="I1248" i="1"/>
  <c r="C1249" i="1"/>
  <c r="D1249" i="1"/>
  <c r="I1249" i="1"/>
  <c r="C1250" i="1"/>
  <c r="D1250" i="1"/>
  <c r="I1250" i="1"/>
  <c r="C1251" i="1"/>
  <c r="D1251" i="1"/>
  <c r="I1251" i="1"/>
  <c r="C1252" i="1"/>
  <c r="D1252" i="1"/>
  <c r="I1252" i="1"/>
  <c r="C1253" i="1"/>
  <c r="D1253" i="1"/>
  <c r="I1253" i="1"/>
  <c r="C1254" i="1"/>
  <c r="D1254" i="1"/>
  <c r="I1254" i="1"/>
  <c r="C1255" i="1"/>
  <c r="D1255" i="1"/>
  <c r="I1255" i="1"/>
  <c r="C1256" i="1"/>
  <c r="D1256" i="1"/>
  <c r="I1256" i="1"/>
  <c r="C1257" i="1"/>
  <c r="D1257" i="1"/>
  <c r="I1257" i="1"/>
  <c r="C1258" i="1"/>
  <c r="D1258" i="1"/>
  <c r="I1258" i="1"/>
  <c r="C1259" i="1"/>
  <c r="D1259" i="1"/>
  <c r="I1259" i="1"/>
  <c r="C1260" i="1"/>
  <c r="D1260" i="1"/>
  <c r="I1260" i="1"/>
  <c r="C1261" i="1"/>
  <c r="D1261" i="1"/>
  <c r="I1261" i="1"/>
  <c r="C1262" i="1"/>
  <c r="D1262" i="1"/>
  <c r="I1262" i="1"/>
  <c r="C1263" i="1"/>
  <c r="D1263" i="1"/>
  <c r="I1263" i="1"/>
  <c r="C1264" i="1"/>
  <c r="D1264" i="1"/>
  <c r="I1264" i="1"/>
  <c r="C1265" i="1"/>
  <c r="D1265" i="1"/>
  <c r="I1265" i="1"/>
  <c r="C1266" i="1"/>
  <c r="D1266" i="1"/>
  <c r="I1266" i="1"/>
  <c r="C1267" i="1"/>
  <c r="D1267" i="1"/>
  <c r="I1267" i="1"/>
  <c r="C1268" i="1"/>
  <c r="D1268" i="1"/>
  <c r="I1268" i="1"/>
  <c r="C1269" i="1"/>
  <c r="D1269" i="1"/>
  <c r="I1269" i="1"/>
  <c r="C1270" i="1"/>
  <c r="D1270" i="1"/>
  <c r="I1270" i="1"/>
  <c r="C1271" i="1"/>
  <c r="D1271" i="1"/>
  <c r="I1271" i="1"/>
  <c r="C1272" i="1"/>
  <c r="D1272" i="1"/>
  <c r="I1272" i="1"/>
  <c r="C1273" i="1"/>
  <c r="D1273" i="1"/>
  <c r="I1273" i="1"/>
  <c r="C1274" i="1"/>
  <c r="D1274" i="1"/>
  <c r="I1274" i="1"/>
  <c r="C1275" i="1"/>
  <c r="D1275" i="1"/>
  <c r="I1275" i="1"/>
  <c r="C1276" i="1"/>
  <c r="D1276" i="1"/>
  <c r="I1276" i="1"/>
  <c r="C1277" i="1"/>
  <c r="D1277" i="1"/>
  <c r="I1277" i="1"/>
  <c r="C1278" i="1"/>
  <c r="D1278" i="1"/>
  <c r="I1278" i="1"/>
  <c r="C1279" i="1"/>
  <c r="D1279" i="1"/>
  <c r="I1279" i="1"/>
  <c r="C1280" i="1"/>
  <c r="D1280" i="1"/>
  <c r="I1280" i="1"/>
  <c r="C1281" i="1"/>
  <c r="D1281" i="1"/>
  <c r="I1281" i="1"/>
  <c r="C1282" i="1"/>
  <c r="D1282" i="1"/>
  <c r="I1282" i="1"/>
  <c r="C1283" i="1"/>
  <c r="D1283" i="1"/>
  <c r="I1283" i="1"/>
  <c r="C1284" i="1"/>
  <c r="D1284" i="1"/>
  <c r="I1284" i="1"/>
  <c r="C1285" i="1"/>
  <c r="D1285" i="1"/>
  <c r="I1285" i="1"/>
  <c r="C1286" i="1"/>
  <c r="D1286" i="1"/>
  <c r="I1286" i="1"/>
  <c r="C1287" i="1"/>
  <c r="D1287" i="1"/>
  <c r="I1287" i="1"/>
  <c r="C1288" i="1"/>
  <c r="D1288" i="1"/>
  <c r="I1288" i="1"/>
  <c r="C1289" i="1"/>
  <c r="D1289" i="1"/>
  <c r="I1289" i="1"/>
  <c r="C1290" i="1"/>
  <c r="D1290" i="1"/>
  <c r="I1290" i="1"/>
  <c r="C1291" i="1"/>
  <c r="D1291" i="1"/>
  <c r="I1291" i="1"/>
  <c r="C1292" i="1"/>
  <c r="D1292" i="1"/>
  <c r="I1292" i="1"/>
  <c r="C1293" i="1"/>
  <c r="D1293" i="1"/>
  <c r="I1293" i="1"/>
  <c r="C1294" i="1"/>
  <c r="D1294" i="1"/>
  <c r="I1294" i="1"/>
  <c r="C1295" i="1"/>
  <c r="D1295" i="1"/>
  <c r="I1295" i="1"/>
  <c r="C1296" i="1"/>
  <c r="D1296" i="1"/>
  <c r="I1296" i="1"/>
  <c r="C1297" i="1"/>
  <c r="D1297" i="1"/>
  <c r="I1297" i="1"/>
  <c r="C1298" i="1"/>
  <c r="D1298" i="1"/>
  <c r="I1298" i="1"/>
  <c r="C1299" i="1"/>
  <c r="D1299" i="1"/>
  <c r="I1299" i="1"/>
  <c r="C1300" i="1"/>
  <c r="D1300" i="1"/>
  <c r="I1300" i="1"/>
  <c r="C1301" i="1"/>
  <c r="D1301" i="1"/>
  <c r="I1301" i="1"/>
  <c r="C1302" i="1"/>
  <c r="D1302" i="1"/>
  <c r="I1302" i="1"/>
  <c r="C1303" i="1"/>
  <c r="D1303" i="1"/>
  <c r="I1303" i="1"/>
  <c r="C1304" i="1"/>
  <c r="D1304" i="1"/>
  <c r="I1304" i="1"/>
  <c r="C1305" i="1"/>
  <c r="D1305" i="1"/>
  <c r="I1305" i="1"/>
  <c r="C1306" i="1"/>
  <c r="D1306" i="1"/>
  <c r="I1306" i="1"/>
  <c r="C1307" i="1"/>
  <c r="D1307" i="1"/>
  <c r="I1307" i="1"/>
  <c r="C1308" i="1"/>
  <c r="D1308" i="1"/>
  <c r="I1308" i="1"/>
  <c r="C1309" i="1"/>
  <c r="D1309" i="1"/>
  <c r="I1309" i="1"/>
  <c r="C1310" i="1"/>
  <c r="D1310" i="1"/>
  <c r="I1310" i="1"/>
  <c r="C1311" i="1"/>
  <c r="D1311" i="1"/>
  <c r="I1311" i="1"/>
  <c r="C1312" i="1"/>
  <c r="D1312" i="1"/>
  <c r="I1312" i="1"/>
  <c r="C1313" i="1"/>
  <c r="D1313" i="1"/>
  <c r="I1313" i="1"/>
  <c r="C1314" i="1"/>
  <c r="D1314" i="1"/>
  <c r="I1314" i="1"/>
  <c r="C1315" i="1"/>
  <c r="D1315" i="1"/>
  <c r="I1315" i="1"/>
  <c r="C1316" i="1"/>
  <c r="D1316" i="1"/>
  <c r="I1316" i="1"/>
  <c r="C1317" i="1"/>
  <c r="D1317" i="1"/>
  <c r="I1317" i="1"/>
  <c r="C1318" i="1"/>
  <c r="D1318" i="1"/>
  <c r="I1318" i="1"/>
  <c r="C1319" i="1"/>
  <c r="D1319" i="1"/>
  <c r="I1319" i="1"/>
  <c r="C1320" i="1"/>
  <c r="D1320" i="1"/>
  <c r="I1320" i="1"/>
  <c r="C1321" i="1"/>
  <c r="D1321" i="1"/>
  <c r="I1321" i="1"/>
  <c r="C1322" i="1"/>
  <c r="D1322" i="1"/>
  <c r="I1322" i="1"/>
  <c r="C1323" i="1"/>
  <c r="D1323" i="1"/>
  <c r="I1323" i="1"/>
  <c r="C1324" i="1"/>
  <c r="D1324" i="1"/>
  <c r="I1324" i="1"/>
  <c r="C1325" i="1"/>
  <c r="D1325" i="1"/>
  <c r="I1325" i="1"/>
  <c r="I1326" i="1"/>
  <c r="D13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2" i="1"/>
  <c r="C1326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214" i="3"/>
  <c r="D1215" i="3"/>
  <c r="D1216" i="3"/>
  <c r="D1217" i="3"/>
  <c r="D1218" i="3"/>
  <c r="D1219" i="3"/>
  <c r="D1220" i="3"/>
  <c r="D1221" i="3"/>
  <c r="D1222" i="3"/>
  <c r="D1223" i="3"/>
  <c r="D1224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159" i="3"/>
  <c r="D1160" i="3"/>
  <c r="D1161" i="3"/>
  <c r="D1162" i="3"/>
  <c r="D1149" i="4"/>
  <c r="D1150" i="4"/>
  <c r="D1151" i="4"/>
  <c r="D1152" i="4"/>
  <c r="D1153" i="4"/>
  <c r="D1154" i="4"/>
  <c r="D1155" i="4"/>
  <c r="D1156" i="4"/>
  <c r="D1157" i="4"/>
  <c r="D1158" i="4"/>
  <c r="D1148" i="4"/>
  <c r="G631" i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2" i="5"/>
  <c r="I612" i="5"/>
  <c r="G612" i="5"/>
  <c r="I611" i="5"/>
  <c r="G611" i="5"/>
  <c r="I610" i="5"/>
  <c r="G610" i="5"/>
  <c r="I609" i="5"/>
  <c r="G609" i="5"/>
  <c r="I608" i="5"/>
  <c r="G608" i="5"/>
  <c r="I607" i="5"/>
  <c r="G607" i="5"/>
  <c r="I606" i="5"/>
  <c r="G606" i="5"/>
  <c r="I605" i="5"/>
  <c r="G605" i="5"/>
  <c r="I604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14" i="1"/>
  <c r="I1224" i="1" l="1"/>
  <c r="I1223" i="1"/>
  <c r="I1222" i="1"/>
  <c r="I1221" i="1"/>
  <c r="I1220" i="1"/>
  <c r="I1219" i="1"/>
  <c r="I1218" i="1"/>
  <c r="I1217" i="1"/>
  <c r="I1216" i="1"/>
  <c r="I1215" i="1"/>
  <c r="I1214" i="1"/>
  <c r="I1158" i="1"/>
  <c r="I1157" i="1"/>
  <c r="I1156" i="1"/>
  <c r="I1155" i="1"/>
  <c r="I1154" i="1"/>
  <c r="I1153" i="1"/>
  <c r="I1152" i="1"/>
  <c r="I1151" i="1"/>
  <c r="I1150" i="1"/>
  <c r="I1149" i="1"/>
  <c r="I1148" i="1"/>
  <c r="I1092" i="1"/>
  <c r="I1091" i="1"/>
  <c r="I1090" i="1"/>
  <c r="I1089" i="1"/>
  <c r="I1088" i="1"/>
  <c r="I1087" i="1"/>
  <c r="I1086" i="1"/>
  <c r="I1085" i="1"/>
  <c r="I1084" i="1"/>
  <c r="I1083" i="1"/>
  <c r="I1082" i="1"/>
  <c r="I1026" i="1"/>
  <c r="I1025" i="1"/>
  <c r="I1024" i="1"/>
  <c r="I1023" i="1"/>
  <c r="I1022" i="1"/>
  <c r="I1021" i="1"/>
  <c r="I1020" i="1"/>
  <c r="I1019" i="1"/>
  <c r="I1018" i="1"/>
  <c r="I1017" i="1"/>
  <c r="I1016" i="1"/>
  <c r="I961" i="1"/>
  <c r="I960" i="1"/>
  <c r="I959" i="1"/>
  <c r="I958" i="1"/>
  <c r="I957" i="1"/>
  <c r="I956" i="1"/>
  <c r="I955" i="1"/>
  <c r="G1212" i="1"/>
  <c r="G1213" i="1"/>
  <c r="G1214" i="1"/>
  <c r="G1215" i="1"/>
  <c r="G1216" i="1"/>
  <c r="G1217" i="1"/>
  <c r="G1218" i="1"/>
  <c r="G1219" i="1"/>
  <c r="G1221" i="1"/>
  <c r="G1222" i="1"/>
  <c r="G1223" i="1"/>
  <c r="G1224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7" i="1"/>
  <c r="G1158" i="1"/>
  <c r="G1159" i="1"/>
  <c r="G1160" i="1"/>
  <c r="G1161" i="1"/>
  <c r="G1162" i="1"/>
  <c r="G1163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2" i="1"/>
  <c r="G1093" i="1"/>
  <c r="G1094" i="1"/>
  <c r="G1095" i="1"/>
  <c r="G1096" i="1"/>
  <c r="G1097" i="1"/>
  <c r="G1098" i="1"/>
  <c r="G1099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60" i="1"/>
  <c r="G961" i="1"/>
  <c r="G962" i="1"/>
  <c r="G963" i="1"/>
  <c r="G964" i="1"/>
  <c r="G965" i="1"/>
  <c r="G966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614" i="1"/>
  <c r="F1221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2" i="4"/>
  <c r="F1223" i="4"/>
  <c r="F1224" i="4"/>
  <c r="F615" i="4"/>
  <c r="F616" i="4"/>
  <c r="F61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3" i="4"/>
  <c r="F2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591" i="1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</calcChain>
</file>

<file path=xl/sharedStrings.xml><?xml version="1.0" encoding="utf-8"?>
<sst xmlns="http://schemas.openxmlformats.org/spreadsheetml/2006/main" count="9930" uniqueCount="45">
  <si>
    <t>SimulationName</t>
  </si>
  <si>
    <t>Clock.Today</t>
  </si>
  <si>
    <t>Clock.Today.Year</t>
  </si>
  <si>
    <t>DOY</t>
  </si>
  <si>
    <t>Location</t>
  </si>
  <si>
    <t>KiwiFruit.Phenology.CurrentStageName</t>
  </si>
  <si>
    <t>Te Puke</t>
  </si>
  <si>
    <t>TPHW2016_2024</t>
  </si>
  <si>
    <t>KKHW2020_2024</t>
  </si>
  <si>
    <t>Kerikeri</t>
  </si>
  <si>
    <t>TPHW2016</t>
  </si>
  <si>
    <t>TPHW2017</t>
  </si>
  <si>
    <t>TPHW2018</t>
  </si>
  <si>
    <t>TPHW2019</t>
  </si>
  <si>
    <t>TPHW2020</t>
  </si>
  <si>
    <t>TPHW2021</t>
  </si>
  <si>
    <t>TPHW2022</t>
  </si>
  <si>
    <t>TPHW2023</t>
  </si>
  <si>
    <t>TPHW2024</t>
  </si>
  <si>
    <t>KKHW2020</t>
  </si>
  <si>
    <t>KKHW2021</t>
  </si>
  <si>
    <t>KKHW2022</t>
  </si>
  <si>
    <t>KKHW2023</t>
  </si>
  <si>
    <t>KKHW2024</t>
  </si>
  <si>
    <t>KiwiFruit.Fruit.SingleBerryDMC</t>
  </si>
  <si>
    <t>KiwiFruit.Fruit.SingleBerryFW</t>
  </si>
  <si>
    <t>KiwiFruit.Fruit.SingleBerryDW</t>
  </si>
  <si>
    <t>FruitMature</t>
  </si>
  <si>
    <t>KiwiFruit.Fruit.MaxSingleBerryDMC</t>
  </si>
  <si>
    <t>KiwiFruit.Fruit.MaxSingleBerryDW</t>
  </si>
  <si>
    <t>KiwiFruit.Fruit.MaxSingleBerryFW</t>
  </si>
  <si>
    <t>KiwiFruit.Phenology.FullBloomDOY</t>
  </si>
  <si>
    <t>EndFlowering</t>
  </si>
  <si>
    <t>AKLDHW2020</t>
  </si>
  <si>
    <t>AKLDHW2021</t>
  </si>
  <si>
    <t>AKLDHW2022</t>
  </si>
  <si>
    <t>AKLDHW2023</t>
  </si>
  <si>
    <t>AKLDHW2024</t>
  </si>
  <si>
    <t>Auckland</t>
  </si>
  <si>
    <t>AKLDHW2020_2024</t>
  </si>
  <si>
    <t>MatureFW</t>
  </si>
  <si>
    <t>MatureDW</t>
  </si>
  <si>
    <t>MatureDMC</t>
  </si>
  <si>
    <t>Maturity date</t>
  </si>
  <si>
    <t>Maturity 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</si>
</sst>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4" fillId="0" borderId="0" xfId="0" applyFont="1"/>
    <xf numFmtId="1" fontId="2" fillId="0" borderId="0" xfId="0" applyNumberFormat="1" applyFont="1"/>
    <xf numFmtId="1" fontId="0" fillId="0" borderId="0" xfId="0" applyNumberFormat="1"/>
    <xf numFmtId="164" fontId="2" fillId="2" borderId="0" xfId="0" applyNumberFormat="1" applyFont="1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64" fontId="2" fillId="3" borderId="0" xfId="0" applyNumberFormat="1" applyFont="1" applyFill="1"/>
    <xf numFmtId="0" fontId="2" fillId="0" borderId="0" xfId="0" applyFont="1"/>
    <xf numFmtId="0" fontId="2" fillId="3" borderId="0" xfId="0" applyFont="1" applyFill="1"/>
    <xf numFmtId="0" fontId="1" fillId="0" borderId="2" xfId="0" applyFont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NumberFormat="1" applyFill="1" applyBorder="1"/>
    <xf numFmtId="0" fontId="0" fillId="5" borderId="1" xfId="0" applyNumberFormat="1" applyFill="1" applyBorder="1"/>
    <xf numFmtId="0" fontId="0" fillId="6" borderId="1" xfId="0" applyNumberFormat="1" applyFill="1" applyBorder="1"/>
    <xf numFmtId="14" fontId="4" fillId="4" borderId="1" xfId="0" applyNumberFormat="1" applyFont="1" applyFill="1" applyBorder="1"/>
    <xf numFmtId="14" fontId="4" fillId="5" borderId="1" xfId="0" applyNumberFormat="1" applyFont="1" applyFill="1" applyBorder="1"/>
    <xf numFmtId="14" fontId="4" fillId="6" borderId="1" xfId="0" applyNumberFormat="1" applyFont="1" applyFill="1" applyBorder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35"/>
  <sheetViews>
    <sheetView zoomScale="60" zoomScaleNormal="60" workbookViewId="0">
      <pane ySplit="1" topLeftCell="A1185" activePane="bottomLeft" state="frozen"/>
      <selection pane="bottomLeft" activeCell="G1164" sqref="G1164"/>
    </sheetView>
  </sheetViews>
  <sheetFormatPr defaultRowHeight="15" x14ac:dyDescent="0.25"/>
  <cols>
    <col min="1" max="1" width="22.28515625" customWidth="1"/>
    <col min="2" max="2" width="17.7109375" customWidth="1"/>
    <col min="3" max="3" width="19.28515625" customWidth="1"/>
    <col min="4" max="4" width="12.28515625" customWidth="1"/>
    <col min="5" max="5" width="17.5703125" customWidth="1"/>
    <col min="6" max="6" width="44.5703125" customWidth="1"/>
    <col min="7" max="7" width="39.85546875" customWidth="1"/>
    <col min="8" max="8" width="47.140625" customWidth="1"/>
    <col min="9" max="9" width="51.140625" customWidth="1"/>
    <col min="13" max="13" width="29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30</v>
      </c>
      <c r="H1" s="1" t="s">
        <v>5</v>
      </c>
      <c r="I1" s="3" t="s">
        <v>31</v>
      </c>
    </row>
    <row r="2" spans="1:9" hidden="1" x14ac:dyDescent="0.25">
      <c r="A2" t="s">
        <v>7</v>
      </c>
      <c r="B2" s="2">
        <v>44603</v>
      </c>
      <c r="C2">
        <v>2022</v>
      </c>
      <c r="D2" s="11">
        <f>B2-DATE(YEAR(B2),1,0)</f>
        <v>42</v>
      </c>
      <c r="E2" t="s">
        <v>6</v>
      </c>
      <c r="F2">
        <v>65.7</v>
      </c>
    </row>
    <row r="3" spans="1:9" hidden="1" x14ac:dyDescent="0.25">
      <c r="A3" t="s">
        <v>7</v>
      </c>
      <c r="B3" s="2">
        <v>44608</v>
      </c>
      <c r="C3">
        <v>2022</v>
      </c>
      <c r="D3" s="11">
        <f t="shared" ref="D3:D66" si="0">B3-DATE(YEAR(B3),1,0)</f>
        <v>47</v>
      </c>
      <c r="E3" t="s">
        <v>6</v>
      </c>
      <c r="F3">
        <v>77</v>
      </c>
    </row>
    <row r="4" spans="1:9" hidden="1" x14ac:dyDescent="0.25">
      <c r="A4" t="s">
        <v>7</v>
      </c>
      <c r="B4" s="2">
        <v>44622</v>
      </c>
      <c r="C4">
        <v>2022</v>
      </c>
      <c r="D4" s="11">
        <f t="shared" si="0"/>
        <v>61</v>
      </c>
      <c r="E4" t="s">
        <v>6</v>
      </c>
      <c r="F4">
        <v>108.9</v>
      </c>
    </row>
    <row r="5" spans="1:9" hidden="1" x14ac:dyDescent="0.25">
      <c r="A5" t="s">
        <v>7</v>
      </c>
      <c r="B5" s="2">
        <v>44636</v>
      </c>
      <c r="C5">
        <v>2022</v>
      </c>
      <c r="D5" s="11">
        <f t="shared" si="0"/>
        <v>75</v>
      </c>
      <c r="E5" t="s">
        <v>6</v>
      </c>
      <c r="F5">
        <v>87.8</v>
      </c>
    </row>
    <row r="6" spans="1:9" hidden="1" x14ac:dyDescent="0.25">
      <c r="A6" t="s">
        <v>7</v>
      </c>
      <c r="B6" s="2">
        <v>44650</v>
      </c>
      <c r="C6">
        <v>2022</v>
      </c>
      <c r="D6" s="11">
        <f t="shared" si="0"/>
        <v>89</v>
      </c>
      <c r="E6" t="s">
        <v>6</v>
      </c>
      <c r="F6">
        <v>92</v>
      </c>
    </row>
    <row r="7" spans="1:9" hidden="1" x14ac:dyDescent="0.25">
      <c r="A7" t="s">
        <v>7</v>
      </c>
      <c r="B7" s="2">
        <v>44664</v>
      </c>
      <c r="C7">
        <v>2022</v>
      </c>
      <c r="D7" s="11">
        <f t="shared" si="0"/>
        <v>103</v>
      </c>
      <c r="E7" t="s">
        <v>6</v>
      </c>
      <c r="F7">
        <v>100</v>
      </c>
    </row>
    <row r="8" spans="1:9" hidden="1" x14ac:dyDescent="0.25">
      <c r="A8" t="s">
        <v>7</v>
      </c>
      <c r="B8" s="2">
        <v>44672</v>
      </c>
      <c r="C8">
        <v>2022</v>
      </c>
      <c r="D8" s="11">
        <f t="shared" si="0"/>
        <v>111</v>
      </c>
      <c r="E8" t="s">
        <v>6</v>
      </c>
      <c r="F8">
        <v>102.7</v>
      </c>
    </row>
    <row r="9" spans="1:9" hidden="1" x14ac:dyDescent="0.25">
      <c r="A9" t="s">
        <v>7</v>
      </c>
      <c r="B9" s="2">
        <v>44680</v>
      </c>
      <c r="C9">
        <v>2022</v>
      </c>
      <c r="D9" s="11">
        <f t="shared" si="0"/>
        <v>119</v>
      </c>
      <c r="E9" t="s">
        <v>6</v>
      </c>
      <c r="F9">
        <v>102.5</v>
      </c>
    </row>
    <row r="10" spans="1:9" hidden="1" x14ac:dyDescent="0.25">
      <c r="A10" t="s">
        <v>7</v>
      </c>
      <c r="B10" s="2">
        <v>44685</v>
      </c>
      <c r="C10">
        <v>2022</v>
      </c>
      <c r="D10" s="11">
        <f t="shared" si="0"/>
        <v>124</v>
      </c>
      <c r="E10" t="s">
        <v>6</v>
      </c>
      <c r="F10">
        <v>105.9</v>
      </c>
    </row>
    <row r="11" spans="1:9" hidden="1" x14ac:dyDescent="0.25">
      <c r="A11" t="s">
        <v>7</v>
      </c>
      <c r="B11" s="2">
        <v>44699</v>
      </c>
      <c r="C11">
        <v>2022</v>
      </c>
      <c r="D11" s="11">
        <f t="shared" si="0"/>
        <v>138</v>
      </c>
      <c r="E11" t="s">
        <v>6</v>
      </c>
      <c r="F11">
        <v>110.1</v>
      </c>
    </row>
    <row r="12" spans="1:9" hidden="1" x14ac:dyDescent="0.25">
      <c r="A12" t="s">
        <v>7</v>
      </c>
      <c r="B12" s="2">
        <v>44713</v>
      </c>
      <c r="C12">
        <v>2022</v>
      </c>
      <c r="D12" s="11">
        <f t="shared" si="0"/>
        <v>152</v>
      </c>
      <c r="E12" t="s">
        <v>6</v>
      </c>
      <c r="F12">
        <v>108.5</v>
      </c>
    </row>
    <row r="13" spans="1:9" hidden="1" x14ac:dyDescent="0.25">
      <c r="A13" t="s">
        <v>7</v>
      </c>
      <c r="B13" s="2">
        <v>44952</v>
      </c>
      <c r="C13">
        <v>2023</v>
      </c>
      <c r="D13" s="11">
        <f t="shared" si="0"/>
        <v>26</v>
      </c>
      <c r="E13" t="s">
        <v>6</v>
      </c>
      <c r="F13">
        <v>67.400000000000006</v>
      </c>
    </row>
    <row r="14" spans="1:9" hidden="1" x14ac:dyDescent="0.25">
      <c r="A14" t="s">
        <v>7</v>
      </c>
      <c r="B14" s="2">
        <v>44973</v>
      </c>
      <c r="C14">
        <v>2023</v>
      </c>
      <c r="D14" s="11">
        <f t="shared" si="0"/>
        <v>47</v>
      </c>
      <c r="E14" t="s">
        <v>6</v>
      </c>
      <c r="F14">
        <v>75.3</v>
      </c>
    </row>
    <row r="15" spans="1:9" hidden="1" x14ac:dyDescent="0.25">
      <c r="A15" t="s">
        <v>7</v>
      </c>
      <c r="B15" s="2">
        <v>44984</v>
      </c>
      <c r="C15">
        <v>2023</v>
      </c>
      <c r="D15" s="11">
        <f t="shared" si="0"/>
        <v>58</v>
      </c>
      <c r="E15" t="s">
        <v>6</v>
      </c>
      <c r="F15">
        <v>83.9</v>
      </c>
    </row>
    <row r="16" spans="1:9" hidden="1" x14ac:dyDescent="0.25">
      <c r="A16" t="s">
        <v>7</v>
      </c>
      <c r="B16" s="2">
        <v>45000</v>
      </c>
      <c r="C16">
        <v>2023</v>
      </c>
      <c r="D16" s="11">
        <f t="shared" si="0"/>
        <v>74</v>
      </c>
      <c r="E16" t="s">
        <v>6</v>
      </c>
      <c r="F16">
        <v>94.4</v>
      </c>
    </row>
    <row r="17" spans="1:6" hidden="1" x14ac:dyDescent="0.25">
      <c r="A17" t="s">
        <v>7</v>
      </c>
      <c r="B17" s="2">
        <v>45015</v>
      </c>
      <c r="C17">
        <v>2023</v>
      </c>
      <c r="D17" s="11">
        <f t="shared" si="0"/>
        <v>89</v>
      </c>
      <c r="E17" t="s">
        <v>6</v>
      </c>
      <c r="F17">
        <v>100.6</v>
      </c>
    </row>
    <row r="18" spans="1:6" hidden="1" x14ac:dyDescent="0.25">
      <c r="A18" t="s">
        <v>7</v>
      </c>
      <c r="B18" s="2">
        <v>45029</v>
      </c>
      <c r="C18">
        <v>2023</v>
      </c>
      <c r="D18" s="11">
        <f t="shared" si="0"/>
        <v>103</v>
      </c>
      <c r="E18" t="s">
        <v>6</v>
      </c>
      <c r="F18">
        <v>103</v>
      </c>
    </row>
    <row r="19" spans="1:6" hidden="1" x14ac:dyDescent="0.25">
      <c r="A19" t="s">
        <v>7</v>
      </c>
      <c r="B19" s="2">
        <v>45041</v>
      </c>
      <c r="C19">
        <v>2023</v>
      </c>
      <c r="D19" s="11">
        <f t="shared" si="0"/>
        <v>115</v>
      </c>
      <c r="E19" t="s">
        <v>6</v>
      </c>
      <c r="F19">
        <v>110.6</v>
      </c>
    </row>
    <row r="20" spans="1:6" hidden="1" x14ac:dyDescent="0.25">
      <c r="A20" t="s">
        <v>7</v>
      </c>
      <c r="B20" s="2">
        <v>45049</v>
      </c>
      <c r="C20">
        <v>2023</v>
      </c>
      <c r="D20" s="11">
        <f t="shared" si="0"/>
        <v>123</v>
      </c>
      <c r="E20" t="s">
        <v>6</v>
      </c>
      <c r="F20">
        <v>114.6</v>
      </c>
    </row>
    <row r="21" spans="1:6" hidden="1" x14ac:dyDescent="0.25">
      <c r="A21" t="s">
        <v>7</v>
      </c>
      <c r="B21" s="2">
        <v>45062</v>
      </c>
      <c r="C21">
        <v>2023</v>
      </c>
      <c r="D21" s="11">
        <f t="shared" si="0"/>
        <v>136</v>
      </c>
      <c r="E21" t="s">
        <v>6</v>
      </c>
      <c r="F21">
        <v>116.7</v>
      </c>
    </row>
    <row r="22" spans="1:6" hidden="1" x14ac:dyDescent="0.25">
      <c r="A22" t="s">
        <v>7</v>
      </c>
      <c r="B22" s="2">
        <v>45076</v>
      </c>
      <c r="C22">
        <v>2023</v>
      </c>
      <c r="D22" s="11">
        <f t="shared" si="0"/>
        <v>150</v>
      </c>
      <c r="E22" t="s">
        <v>6</v>
      </c>
      <c r="F22">
        <v>118.8</v>
      </c>
    </row>
    <row r="23" spans="1:6" hidden="1" x14ac:dyDescent="0.25">
      <c r="A23" t="s">
        <v>7</v>
      </c>
      <c r="B23" s="2">
        <v>45083</v>
      </c>
      <c r="C23">
        <v>2023</v>
      </c>
      <c r="D23" s="11">
        <f t="shared" si="0"/>
        <v>157</v>
      </c>
      <c r="E23" t="s">
        <v>6</v>
      </c>
      <c r="F23">
        <v>114.3</v>
      </c>
    </row>
    <row r="24" spans="1:6" hidden="1" x14ac:dyDescent="0.25">
      <c r="A24" t="s">
        <v>7</v>
      </c>
      <c r="B24" s="2">
        <v>45316</v>
      </c>
      <c r="C24">
        <v>2024</v>
      </c>
      <c r="D24" s="11">
        <f t="shared" si="0"/>
        <v>25</v>
      </c>
      <c r="E24" t="s">
        <v>6</v>
      </c>
      <c r="F24">
        <v>58</v>
      </c>
    </row>
    <row r="25" spans="1:6" hidden="1" x14ac:dyDescent="0.25">
      <c r="A25" t="s">
        <v>7</v>
      </c>
      <c r="B25" s="2">
        <v>45337</v>
      </c>
      <c r="C25">
        <v>2024</v>
      </c>
      <c r="D25" s="11">
        <f t="shared" si="0"/>
        <v>46</v>
      </c>
      <c r="E25" t="s">
        <v>6</v>
      </c>
      <c r="F25">
        <v>70.2</v>
      </c>
    </row>
    <row r="26" spans="1:6" hidden="1" x14ac:dyDescent="0.25">
      <c r="A26" t="s">
        <v>7</v>
      </c>
      <c r="B26" s="2">
        <v>45350</v>
      </c>
      <c r="C26">
        <v>2024</v>
      </c>
      <c r="D26" s="11">
        <f t="shared" si="0"/>
        <v>59</v>
      </c>
      <c r="E26" t="s">
        <v>6</v>
      </c>
      <c r="F26">
        <v>77.8</v>
      </c>
    </row>
    <row r="27" spans="1:6" hidden="1" x14ac:dyDescent="0.25">
      <c r="A27" t="s">
        <v>7</v>
      </c>
      <c r="B27" s="2">
        <v>45364</v>
      </c>
      <c r="C27">
        <v>2024</v>
      </c>
      <c r="D27" s="11">
        <f t="shared" si="0"/>
        <v>73</v>
      </c>
      <c r="E27" t="s">
        <v>6</v>
      </c>
      <c r="F27">
        <v>83.2</v>
      </c>
    </row>
    <row r="28" spans="1:6" hidden="1" x14ac:dyDescent="0.25">
      <c r="A28" t="s">
        <v>7</v>
      </c>
      <c r="B28" s="2">
        <v>45378</v>
      </c>
      <c r="C28">
        <v>2024</v>
      </c>
      <c r="D28" s="11">
        <f t="shared" si="0"/>
        <v>87</v>
      </c>
      <c r="E28" t="s">
        <v>6</v>
      </c>
      <c r="F28">
        <v>87</v>
      </c>
    </row>
    <row r="29" spans="1:6" hidden="1" x14ac:dyDescent="0.25">
      <c r="A29" t="s">
        <v>7</v>
      </c>
      <c r="B29" s="2">
        <v>45390</v>
      </c>
      <c r="C29">
        <v>2024</v>
      </c>
      <c r="D29" s="11">
        <f t="shared" si="0"/>
        <v>99</v>
      </c>
      <c r="E29" t="s">
        <v>6</v>
      </c>
      <c r="F29">
        <v>83.7</v>
      </c>
    </row>
    <row r="30" spans="1:6" hidden="1" x14ac:dyDescent="0.25">
      <c r="A30" t="s">
        <v>7</v>
      </c>
      <c r="B30" s="2">
        <v>45404</v>
      </c>
      <c r="C30">
        <v>2024</v>
      </c>
      <c r="D30" s="11">
        <f t="shared" si="0"/>
        <v>113</v>
      </c>
      <c r="E30" t="s">
        <v>6</v>
      </c>
      <c r="F30">
        <v>87</v>
      </c>
    </row>
    <row r="31" spans="1:6" hidden="1" x14ac:dyDescent="0.25">
      <c r="A31" t="s">
        <v>7</v>
      </c>
      <c r="B31" s="2">
        <v>45414</v>
      </c>
      <c r="C31">
        <v>2024</v>
      </c>
      <c r="D31" s="11">
        <f t="shared" si="0"/>
        <v>123</v>
      </c>
      <c r="E31" t="s">
        <v>6</v>
      </c>
      <c r="F31">
        <v>93</v>
      </c>
    </row>
    <row r="32" spans="1:6" hidden="1" x14ac:dyDescent="0.25">
      <c r="A32" t="s">
        <v>7</v>
      </c>
      <c r="B32" s="2">
        <v>45425</v>
      </c>
      <c r="C32">
        <v>2024</v>
      </c>
      <c r="D32" s="11">
        <f t="shared" si="0"/>
        <v>134</v>
      </c>
      <c r="E32" t="s">
        <v>6</v>
      </c>
      <c r="F32">
        <v>91</v>
      </c>
    </row>
    <row r="33" spans="1:6" hidden="1" x14ac:dyDescent="0.25">
      <c r="A33" t="s">
        <v>7</v>
      </c>
      <c r="B33" s="2">
        <v>45439</v>
      </c>
      <c r="C33">
        <v>2024</v>
      </c>
      <c r="D33" s="11">
        <f t="shared" si="0"/>
        <v>148</v>
      </c>
      <c r="E33" t="s">
        <v>6</v>
      </c>
      <c r="F33">
        <v>98.4</v>
      </c>
    </row>
    <row r="34" spans="1:6" hidden="1" x14ac:dyDescent="0.25">
      <c r="A34" t="s">
        <v>7</v>
      </c>
      <c r="B34" s="2">
        <v>45454</v>
      </c>
      <c r="C34">
        <v>2024</v>
      </c>
      <c r="D34" s="11">
        <f t="shared" si="0"/>
        <v>163</v>
      </c>
      <c r="E34" t="s">
        <v>6</v>
      </c>
      <c r="F34">
        <v>84.8</v>
      </c>
    </row>
    <row r="35" spans="1:6" hidden="1" x14ac:dyDescent="0.25">
      <c r="A35" t="s">
        <v>7</v>
      </c>
      <c r="B35" s="2">
        <v>44595</v>
      </c>
      <c r="C35">
        <v>2022</v>
      </c>
      <c r="D35" s="11">
        <f t="shared" si="0"/>
        <v>34</v>
      </c>
      <c r="E35" t="s">
        <v>6</v>
      </c>
      <c r="F35">
        <v>82.8</v>
      </c>
    </row>
    <row r="36" spans="1:6" hidden="1" x14ac:dyDescent="0.25">
      <c r="A36" t="s">
        <v>7</v>
      </c>
      <c r="B36" s="2">
        <v>44608</v>
      </c>
      <c r="C36">
        <v>2022</v>
      </c>
      <c r="D36" s="11">
        <f t="shared" si="0"/>
        <v>47</v>
      </c>
      <c r="E36" t="s">
        <v>6</v>
      </c>
      <c r="F36">
        <v>96.5</v>
      </c>
    </row>
    <row r="37" spans="1:6" hidden="1" x14ac:dyDescent="0.25">
      <c r="A37" t="s">
        <v>7</v>
      </c>
      <c r="B37" s="2">
        <v>44622</v>
      </c>
      <c r="C37">
        <v>2022</v>
      </c>
      <c r="D37" s="11">
        <f t="shared" si="0"/>
        <v>61</v>
      </c>
      <c r="E37" t="s">
        <v>6</v>
      </c>
      <c r="F37">
        <v>109</v>
      </c>
    </row>
    <row r="38" spans="1:6" hidden="1" x14ac:dyDescent="0.25">
      <c r="A38" t="s">
        <v>7</v>
      </c>
      <c r="B38" s="2">
        <v>44636</v>
      </c>
      <c r="C38">
        <v>2022</v>
      </c>
      <c r="D38" s="11">
        <f t="shared" si="0"/>
        <v>75</v>
      </c>
      <c r="E38" t="s">
        <v>6</v>
      </c>
      <c r="F38">
        <v>118.6</v>
      </c>
    </row>
    <row r="39" spans="1:6" hidden="1" x14ac:dyDescent="0.25">
      <c r="A39" t="s">
        <v>7</v>
      </c>
      <c r="B39" s="2">
        <v>44650</v>
      </c>
      <c r="C39">
        <v>2022</v>
      </c>
      <c r="D39" s="11">
        <f t="shared" si="0"/>
        <v>89</v>
      </c>
      <c r="E39" t="s">
        <v>6</v>
      </c>
      <c r="F39">
        <v>122</v>
      </c>
    </row>
    <row r="40" spans="1:6" hidden="1" x14ac:dyDescent="0.25">
      <c r="A40" t="s">
        <v>7</v>
      </c>
      <c r="B40" s="2">
        <v>44664</v>
      </c>
      <c r="C40">
        <v>2022</v>
      </c>
      <c r="D40" s="11">
        <f t="shared" si="0"/>
        <v>103</v>
      </c>
      <c r="E40" t="s">
        <v>6</v>
      </c>
      <c r="F40">
        <v>130.69999999999999</v>
      </c>
    </row>
    <row r="41" spans="1:6" hidden="1" x14ac:dyDescent="0.25">
      <c r="A41" t="s">
        <v>7</v>
      </c>
      <c r="B41" s="2">
        <v>44672</v>
      </c>
      <c r="C41">
        <v>2022</v>
      </c>
      <c r="D41" s="11">
        <f t="shared" si="0"/>
        <v>111</v>
      </c>
      <c r="E41" t="s">
        <v>6</v>
      </c>
      <c r="F41">
        <v>130.80000000000001</v>
      </c>
    </row>
    <row r="42" spans="1:6" hidden="1" x14ac:dyDescent="0.25">
      <c r="A42" t="s">
        <v>7</v>
      </c>
      <c r="B42" s="2">
        <v>44680</v>
      </c>
      <c r="C42">
        <v>2022</v>
      </c>
      <c r="D42" s="11">
        <f t="shared" si="0"/>
        <v>119</v>
      </c>
      <c r="E42" t="s">
        <v>6</v>
      </c>
      <c r="F42">
        <v>131.6</v>
      </c>
    </row>
    <row r="43" spans="1:6" hidden="1" x14ac:dyDescent="0.25">
      <c r="A43" t="s">
        <v>7</v>
      </c>
      <c r="B43" s="2">
        <v>44685</v>
      </c>
      <c r="C43">
        <v>2022</v>
      </c>
      <c r="D43" s="11">
        <f t="shared" si="0"/>
        <v>124</v>
      </c>
      <c r="E43" t="s">
        <v>6</v>
      </c>
      <c r="F43">
        <v>134.6</v>
      </c>
    </row>
    <row r="44" spans="1:6" hidden="1" x14ac:dyDescent="0.25">
      <c r="A44" t="s">
        <v>7</v>
      </c>
      <c r="B44" s="2">
        <v>44699</v>
      </c>
      <c r="C44">
        <v>2022</v>
      </c>
      <c r="D44" s="11">
        <f t="shared" si="0"/>
        <v>138</v>
      </c>
      <c r="E44" t="s">
        <v>6</v>
      </c>
      <c r="F44">
        <v>134.80000000000001</v>
      </c>
    </row>
    <row r="45" spans="1:6" hidden="1" x14ac:dyDescent="0.25">
      <c r="A45" t="s">
        <v>7</v>
      </c>
      <c r="B45" s="2">
        <v>44713</v>
      </c>
      <c r="C45">
        <v>2022</v>
      </c>
      <c r="D45" s="11">
        <f t="shared" si="0"/>
        <v>152</v>
      </c>
      <c r="E45" t="s">
        <v>6</v>
      </c>
      <c r="F45">
        <v>134.30000000000001</v>
      </c>
    </row>
    <row r="46" spans="1:6" hidden="1" x14ac:dyDescent="0.25">
      <c r="A46" t="s">
        <v>7</v>
      </c>
      <c r="B46" s="2">
        <v>44952</v>
      </c>
      <c r="C46">
        <v>2023</v>
      </c>
      <c r="D46" s="11">
        <f t="shared" si="0"/>
        <v>26</v>
      </c>
      <c r="E46" t="s">
        <v>6</v>
      </c>
      <c r="F46">
        <v>80</v>
      </c>
    </row>
    <row r="47" spans="1:6" hidden="1" x14ac:dyDescent="0.25">
      <c r="A47" t="s">
        <v>7</v>
      </c>
      <c r="B47" s="2">
        <v>44974</v>
      </c>
      <c r="C47">
        <v>2023</v>
      </c>
      <c r="D47" s="11">
        <f t="shared" si="0"/>
        <v>48</v>
      </c>
      <c r="E47" t="s">
        <v>6</v>
      </c>
      <c r="F47">
        <v>90.7</v>
      </c>
    </row>
    <row r="48" spans="1:6" hidden="1" x14ac:dyDescent="0.25">
      <c r="A48" t="s">
        <v>7</v>
      </c>
      <c r="B48" s="2">
        <v>44984</v>
      </c>
      <c r="C48">
        <v>2023</v>
      </c>
      <c r="D48" s="11">
        <f t="shared" si="0"/>
        <v>58</v>
      </c>
      <c r="E48" t="s">
        <v>6</v>
      </c>
      <c r="F48">
        <v>104.6</v>
      </c>
    </row>
    <row r="49" spans="1:6" hidden="1" x14ac:dyDescent="0.25">
      <c r="A49" t="s">
        <v>7</v>
      </c>
      <c r="B49" s="2">
        <v>45000</v>
      </c>
      <c r="C49">
        <v>2023</v>
      </c>
      <c r="D49" s="11">
        <f t="shared" si="0"/>
        <v>74</v>
      </c>
      <c r="E49" t="s">
        <v>6</v>
      </c>
      <c r="F49">
        <v>119.5</v>
      </c>
    </row>
    <row r="50" spans="1:6" hidden="1" x14ac:dyDescent="0.25">
      <c r="A50" t="s">
        <v>7</v>
      </c>
      <c r="B50" s="2">
        <v>45015</v>
      </c>
      <c r="C50">
        <v>2023</v>
      </c>
      <c r="D50" s="11">
        <f t="shared" si="0"/>
        <v>89</v>
      </c>
      <c r="E50" t="s">
        <v>6</v>
      </c>
      <c r="F50">
        <v>129.5</v>
      </c>
    </row>
    <row r="51" spans="1:6" hidden="1" x14ac:dyDescent="0.25">
      <c r="A51" t="s">
        <v>7</v>
      </c>
      <c r="B51" s="2">
        <v>45029</v>
      </c>
      <c r="C51">
        <v>2023</v>
      </c>
      <c r="D51" s="11">
        <f t="shared" si="0"/>
        <v>103</v>
      </c>
      <c r="E51" t="s">
        <v>6</v>
      </c>
      <c r="F51">
        <v>136.80000000000001</v>
      </c>
    </row>
    <row r="52" spans="1:6" hidden="1" x14ac:dyDescent="0.25">
      <c r="A52" t="s">
        <v>7</v>
      </c>
      <c r="B52" s="2">
        <v>45041</v>
      </c>
      <c r="C52">
        <v>2023</v>
      </c>
      <c r="D52" s="11">
        <f t="shared" si="0"/>
        <v>115</v>
      </c>
      <c r="E52" t="s">
        <v>6</v>
      </c>
      <c r="F52">
        <v>135.19999999999999</v>
      </c>
    </row>
    <row r="53" spans="1:6" hidden="1" x14ac:dyDescent="0.25">
      <c r="A53" t="s">
        <v>7</v>
      </c>
      <c r="B53" s="2">
        <v>45049</v>
      </c>
      <c r="C53">
        <v>2023</v>
      </c>
      <c r="D53" s="11">
        <f t="shared" si="0"/>
        <v>123</v>
      </c>
      <c r="E53" t="s">
        <v>6</v>
      </c>
      <c r="F53">
        <v>141.4</v>
      </c>
    </row>
    <row r="54" spans="1:6" hidden="1" x14ac:dyDescent="0.25">
      <c r="A54" t="s">
        <v>7</v>
      </c>
      <c r="B54" s="2">
        <v>45062</v>
      </c>
      <c r="C54">
        <v>2023</v>
      </c>
      <c r="D54" s="11">
        <f t="shared" si="0"/>
        <v>136</v>
      </c>
      <c r="E54" t="s">
        <v>6</v>
      </c>
      <c r="F54">
        <v>140.5</v>
      </c>
    </row>
    <row r="55" spans="1:6" hidden="1" x14ac:dyDescent="0.25">
      <c r="A55" t="s">
        <v>7</v>
      </c>
      <c r="B55" s="2">
        <v>45077</v>
      </c>
      <c r="C55">
        <v>2023</v>
      </c>
      <c r="D55" s="11">
        <f t="shared" si="0"/>
        <v>151</v>
      </c>
      <c r="E55" t="s">
        <v>6</v>
      </c>
      <c r="F55">
        <v>142.80000000000001</v>
      </c>
    </row>
    <row r="56" spans="1:6" hidden="1" x14ac:dyDescent="0.25">
      <c r="A56" t="s">
        <v>7</v>
      </c>
      <c r="B56" s="2">
        <v>45083</v>
      </c>
      <c r="C56">
        <v>2023</v>
      </c>
      <c r="D56" s="11">
        <f t="shared" si="0"/>
        <v>157</v>
      </c>
      <c r="E56" t="s">
        <v>6</v>
      </c>
      <c r="F56">
        <v>131</v>
      </c>
    </row>
    <row r="57" spans="1:6" hidden="1" x14ac:dyDescent="0.25">
      <c r="A57" t="s">
        <v>7</v>
      </c>
      <c r="B57" s="2">
        <v>44595</v>
      </c>
      <c r="C57">
        <v>2022</v>
      </c>
      <c r="D57" s="11">
        <f t="shared" si="0"/>
        <v>34</v>
      </c>
      <c r="E57" t="s">
        <v>6</v>
      </c>
      <c r="F57">
        <v>73.099999999999994</v>
      </c>
    </row>
    <row r="58" spans="1:6" hidden="1" x14ac:dyDescent="0.25">
      <c r="A58" t="s">
        <v>7</v>
      </c>
      <c r="B58" s="2">
        <v>44608</v>
      </c>
      <c r="C58">
        <v>2022</v>
      </c>
      <c r="D58" s="11">
        <f t="shared" si="0"/>
        <v>47</v>
      </c>
      <c r="E58" t="s">
        <v>6</v>
      </c>
      <c r="F58">
        <v>85.9</v>
      </c>
    </row>
    <row r="59" spans="1:6" hidden="1" x14ac:dyDescent="0.25">
      <c r="A59" t="s">
        <v>7</v>
      </c>
      <c r="B59" s="2">
        <v>44622</v>
      </c>
      <c r="C59">
        <v>2022</v>
      </c>
      <c r="D59" s="11">
        <f t="shared" si="0"/>
        <v>61</v>
      </c>
      <c r="E59" t="s">
        <v>6</v>
      </c>
      <c r="F59">
        <v>91</v>
      </c>
    </row>
    <row r="60" spans="1:6" hidden="1" x14ac:dyDescent="0.25">
      <c r="A60" t="s">
        <v>7</v>
      </c>
      <c r="B60" s="2">
        <v>44636</v>
      </c>
      <c r="C60">
        <v>2022</v>
      </c>
      <c r="D60" s="11">
        <f t="shared" si="0"/>
        <v>75</v>
      </c>
      <c r="E60" t="s">
        <v>6</v>
      </c>
      <c r="F60">
        <v>102.2</v>
      </c>
    </row>
    <row r="61" spans="1:6" hidden="1" x14ac:dyDescent="0.25">
      <c r="A61" t="s">
        <v>7</v>
      </c>
      <c r="B61" s="2">
        <v>44650</v>
      </c>
      <c r="C61">
        <v>2022</v>
      </c>
      <c r="D61" s="11">
        <f t="shared" si="0"/>
        <v>89</v>
      </c>
      <c r="E61" t="s">
        <v>6</v>
      </c>
      <c r="F61">
        <v>107.1</v>
      </c>
    </row>
    <row r="62" spans="1:6" hidden="1" x14ac:dyDescent="0.25">
      <c r="A62" t="s">
        <v>7</v>
      </c>
      <c r="B62" s="2">
        <v>44664</v>
      </c>
      <c r="C62">
        <v>2022</v>
      </c>
      <c r="D62" s="11">
        <f t="shared" si="0"/>
        <v>103</v>
      </c>
      <c r="E62" t="s">
        <v>6</v>
      </c>
      <c r="F62">
        <v>113.7</v>
      </c>
    </row>
    <row r="63" spans="1:6" hidden="1" x14ac:dyDescent="0.25">
      <c r="A63" t="s">
        <v>7</v>
      </c>
      <c r="B63" s="2">
        <v>44673</v>
      </c>
      <c r="C63">
        <v>2022</v>
      </c>
      <c r="D63" s="11">
        <f t="shared" si="0"/>
        <v>112</v>
      </c>
      <c r="E63" t="s">
        <v>6</v>
      </c>
      <c r="F63">
        <v>111.4</v>
      </c>
    </row>
    <row r="64" spans="1:6" hidden="1" x14ac:dyDescent="0.25">
      <c r="A64" t="s">
        <v>7</v>
      </c>
      <c r="B64" s="2">
        <v>44680</v>
      </c>
      <c r="C64">
        <v>2022</v>
      </c>
      <c r="D64" s="11">
        <f t="shared" si="0"/>
        <v>119</v>
      </c>
      <c r="E64" t="s">
        <v>6</v>
      </c>
      <c r="F64">
        <v>118.6</v>
      </c>
    </row>
    <row r="65" spans="1:6" hidden="1" x14ac:dyDescent="0.25">
      <c r="A65" t="s">
        <v>7</v>
      </c>
      <c r="B65" s="2">
        <v>44685</v>
      </c>
      <c r="C65">
        <v>2022</v>
      </c>
      <c r="D65" s="11">
        <f t="shared" si="0"/>
        <v>124</v>
      </c>
      <c r="E65" t="s">
        <v>6</v>
      </c>
      <c r="F65">
        <v>120.7</v>
      </c>
    </row>
    <row r="66" spans="1:6" hidden="1" x14ac:dyDescent="0.25">
      <c r="A66" t="s">
        <v>7</v>
      </c>
      <c r="B66" s="2">
        <v>44699</v>
      </c>
      <c r="C66">
        <v>2022</v>
      </c>
      <c r="D66" s="11">
        <f t="shared" si="0"/>
        <v>138</v>
      </c>
      <c r="E66" t="s">
        <v>6</v>
      </c>
      <c r="F66">
        <v>127</v>
      </c>
    </row>
    <row r="67" spans="1:6" hidden="1" x14ac:dyDescent="0.25">
      <c r="A67" t="s">
        <v>7</v>
      </c>
      <c r="B67" s="2">
        <v>44713</v>
      </c>
      <c r="C67">
        <v>2022</v>
      </c>
      <c r="D67" s="11">
        <f t="shared" ref="D67:D130" si="1">B67-DATE(YEAR(B67),1,0)</f>
        <v>152</v>
      </c>
      <c r="E67" t="s">
        <v>6</v>
      </c>
      <c r="F67">
        <v>126.8</v>
      </c>
    </row>
    <row r="68" spans="1:6" hidden="1" x14ac:dyDescent="0.25">
      <c r="A68" t="s">
        <v>7</v>
      </c>
      <c r="B68" s="2">
        <v>44952</v>
      </c>
      <c r="C68">
        <v>2023</v>
      </c>
      <c r="D68" s="11">
        <f t="shared" si="1"/>
        <v>26</v>
      </c>
      <c r="E68" t="s">
        <v>6</v>
      </c>
      <c r="F68">
        <v>75.400000000000006</v>
      </c>
    </row>
    <row r="69" spans="1:6" hidden="1" x14ac:dyDescent="0.25">
      <c r="A69" t="s">
        <v>7</v>
      </c>
      <c r="B69" s="2">
        <v>44973</v>
      </c>
      <c r="C69">
        <v>2023</v>
      </c>
      <c r="D69" s="11">
        <f t="shared" si="1"/>
        <v>47</v>
      </c>
      <c r="E69" t="s">
        <v>6</v>
      </c>
      <c r="F69">
        <v>86.8</v>
      </c>
    </row>
    <row r="70" spans="1:6" hidden="1" x14ac:dyDescent="0.25">
      <c r="A70" t="s">
        <v>7</v>
      </c>
      <c r="B70" s="2">
        <v>44987</v>
      </c>
      <c r="C70">
        <v>2023</v>
      </c>
      <c r="D70" s="11">
        <f t="shared" si="1"/>
        <v>61</v>
      </c>
      <c r="E70" t="s">
        <v>6</v>
      </c>
      <c r="F70">
        <v>93.7</v>
      </c>
    </row>
    <row r="71" spans="1:6" hidden="1" x14ac:dyDescent="0.25">
      <c r="A71" t="s">
        <v>7</v>
      </c>
      <c r="B71" s="2">
        <v>45001</v>
      </c>
      <c r="C71">
        <v>2023</v>
      </c>
      <c r="D71" s="11">
        <f t="shared" si="1"/>
        <v>75</v>
      </c>
      <c r="E71" t="s">
        <v>6</v>
      </c>
      <c r="F71">
        <v>104.6</v>
      </c>
    </row>
    <row r="72" spans="1:6" hidden="1" x14ac:dyDescent="0.25">
      <c r="A72" t="s">
        <v>7</v>
      </c>
      <c r="B72" s="2">
        <v>45014</v>
      </c>
      <c r="C72">
        <v>2023</v>
      </c>
      <c r="D72" s="11">
        <f t="shared" si="1"/>
        <v>88</v>
      </c>
      <c r="E72" t="s">
        <v>6</v>
      </c>
      <c r="F72">
        <v>114.6</v>
      </c>
    </row>
    <row r="73" spans="1:6" hidden="1" x14ac:dyDescent="0.25">
      <c r="A73" t="s">
        <v>7</v>
      </c>
      <c r="B73" s="2">
        <v>45029</v>
      </c>
      <c r="C73">
        <v>2023</v>
      </c>
      <c r="D73" s="11">
        <f t="shared" si="1"/>
        <v>103</v>
      </c>
      <c r="E73" t="s">
        <v>6</v>
      </c>
      <c r="F73">
        <v>128.6</v>
      </c>
    </row>
    <row r="74" spans="1:6" hidden="1" x14ac:dyDescent="0.25">
      <c r="A74" t="s">
        <v>7</v>
      </c>
      <c r="B74" s="2">
        <v>45041</v>
      </c>
      <c r="C74">
        <v>2023</v>
      </c>
      <c r="D74" s="11">
        <f t="shared" si="1"/>
        <v>115</v>
      </c>
      <c r="E74" t="s">
        <v>6</v>
      </c>
      <c r="F74">
        <v>129.6</v>
      </c>
    </row>
    <row r="75" spans="1:6" hidden="1" x14ac:dyDescent="0.25">
      <c r="A75" t="s">
        <v>7</v>
      </c>
      <c r="B75" s="2">
        <v>45049</v>
      </c>
      <c r="C75">
        <v>2023</v>
      </c>
      <c r="D75" s="11">
        <f t="shared" si="1"/>
        <v>123</v>
      </c>
      <c r="E75" t="s">
        <v>6</v>
      </c>
      <c r="F75">
        <v>138.69999999999999</v>
      </c>
    </row>
    <row r="76" spans="1:6" hidden="1" x14ac:dyDescent="0.25">
      <c r="A76" t="s">
        <v>7</v>
      </c>
      <c r="B76" s="2">
        <v>45062</v>
      </c>
      <c r="C76">
        <v>2023</v>
      </c>
      <c r="D76" s="11">
        <f t="shared" si="1"/>
        <v>136</v>
      </c>
      <c r="E76" t="s">
        <v>6</v>
      </c>
      <c r="F76">
        <v>136.9</v>
      </c>
    </row>
    <row r="77" spans="1:6" hidden="1" x14ac:dyDescent="0.25">
      <c r="A77" t="s">
        <v>7</v>
      </c>
      <c r="B77" s="2">
        <v>45076</v>
      </c>
      <c r="C77">
        <v>2023</v>
      </c>
      <c r="D77" s="11">
        <f t="shared" si="1"/>
        <v>150</v>
      </c>
      <c r="E77" t="s">
        <v>6</v>
      </c>
      <c r="F77">
        <v>131.5</v>
      </c>
    </row>
    <row r="78" spans="1:6" hidden="1" x14ac:dyDescent="0.25">
      <c r="A78" t="s">
        <v>7</v>
      </c>
      <c r="B78" s="2">
        <v>45083</v>
      </c>
      <c r="C78">
        <v>2023</v>
      </c>
      <c r="D78" s="11">
        <f t="shared" si="1"/>
        <v>157</v>
      </c>
      <c r="E78" t="s">
        <v>6</v>
      </c>
      <c r="F78">
        <v>133</v>
      </c>
    </row>
    <row r="79" spans="1:6" hidden="1" x14ac:dyDescent="0.25">
      <c r="A79" t="s">
        <v>7</v>
      </c>
      <c r="B79" s="2">
        <v>45314</v>
      </c>
      <c r="C79">
        <v>2024</v>
      </c>
      <c r="D79" s="11">
        <f t="shared" si="1"/>
        <v>23</v>
      </c>
      <c r="E79" t="s">
        <v>6</v>
      </c>
      <c r="F79">
        <v>65.2</v>
      </c>
    </row>
    <row r="80" spans="1:6" hidden="1" x14ac:dyDescent="0.25">
      <c r="A80" t="s">
        <v>7</v>
      </c>
      <c r="B80" s="2">
        <v>45337</v>
      </c>
      <c r="C80">
        <v>2024</v>
      </c>
      <c r="D80" s="11">
        <f t="shared" si="1"/>
        <v>46</v>
      </c>
      <c r="E80" t="s">
        <v>6</v>
      </c>
      <c r="F80">
        <v>83.2</v>
      </c>
    </row>
    <row r="81" spans="1:6" hidden="1" x14ac:dyDescent="0.25">
      <c r="A81" t="s">
        <v>7</v>
      </c>
      <c r="B81" s="2">
        <v>45348</v>
      </c>
      <c r="C81">
        <v>2024</v>
      </c>
      <c r="D81" s="11">
        <f t="shared" si="1"/>
        <v>57</v>
      </c>
      <c r="E81" t="s">
        <v>6</v>
      </c>
      <c r="F81">
        <v>84.1</v>
      </c>
    </row>
    <row r="82" spans="1:6" hidden="1" x14ac:dyDescent="0.25">
      <c r="A82" t="s">
        <v>7</v>
      </c>
      <c r="B82" s="2">
        <v>45365</v>
      </c>
      <c r="C82">
        <v>2024</v>
      </c>
      <c r="D82" s="11">
        <f t="shared" si="1"/>
        <v>74</v>
      </c>
      <c r="E82" t="s">
        <v>6</v>
      </c>
      <c r="F82">
        <v>93.8</v>
      </c>
    </row>
    <row r="83" spans="1:6" hidden="1" x14ac:dyDescent="0.25">
      <c r="A83" t="s">
        <v>7</v>
      </c>
      <c r="B83" s="2">
        <v>45379</v>
      </c>
      <c r="C83">
        <v>2024</v>
      </c>
      <c r="D83" s="11">
        <f t="shared" si="1"/>
        <v>88</v>
      </c>
      <c r="E83" t="s">
        <v>6</v>
      </c>
      <c r="F83">
        <v>99.2</v>
      </c>
    </row>
    <row r="84" spans="1:6" hidden="1" x14ac:dyDescent="0.25">
      <c r="A84" t="s">
        <v>7</v>
      </c>
      <c r="B84" s="2">
        <v>45393</v>
      </c>
      <c r="C84">
        <v>2024</v>
      </c>
      <c r="D84" s="11">
        <f t="shared" si="1"/>
        <v>102</v>
      </c>
      <c r="E84" t="s">
        <v>6</v>
      </c>
      <c r="F84">
        <v>103.7</v>
      </c>
    </row>
    <row r="85" spans="1:6" hidden="1" x14ac:dyDescent="0.25">
      <c r="A85" t="s">
        <v>7</v>
      </c>
      <c r="B85" s="2">
        <v>45407</v>
      </c>
      <c r="C85">
        <v>2024</v>
      </c>
      <c r="D85" s="11">
        <f t="shared" si="1"/>
        <v>116</v>
      </c>
      <c r="E85" t="s">
        <v>6</v>
      </c>
      <c r="F85">
        <v>108.9</v>
      </c>
    </row>
    <row r="86" spans="1:6" hidden="1" x14ac:dyDescent="0.25">
      <c r="A86" t="s">
        <v>7</v>
      </c>
      <c r="B86" s="2">
        <v>45414</v>
      </c>
      <c r="C86">
        <v>2024</v>
      </c>
      <c r="D86" s="11">
        <f t="shared" si="1"/>
        <v>123</v>
      </c>
      <c r="E86" t="s">
        <v>6</v>
      </c>
      <c r="F86">
        <v>117.1</v>
      </c>
    </row>
    <row r="87" spans="1:6" hidden="1" x14ac:dyDescent="0.25">
      <c r="A87" t="s">
        <v>7</v>
      </c>
      <c r="B87" s="2">
        <v>45425</v>
      </c>
      <c r="C87">
        <v>2024</v>
      </c>
      <c r="D87" s="11">
        <f t="shared" si="1"/>
        <v>134</v>
      </c>
      <c r="E87" t="s">
        <v>6</v>
      </c>
      <c r="F87">
        <v>113.1</v>
      </c>
    </row>
    <row r="88" spans="1:6" hidden="1" x14ac:dyDescent="0.25">
      <c r="A88" t="s">
        <v>7</v>
      </c>
      <c r="B88" s="2">
        <v>45441</v>
      </c>
      <c r="C88">
        <v>2024</v>
      </c>
      <c r="D88" s="11">
        <f t="shared" si="1"/>
        <v>150</v>
      </c>
      <c r="E88" t="s">
        <v>6</v>
      </c>
      <c r="F88">
        <v>115.1</v>
      </c>
    </row>
    <row r="89" spans="1:6" hidden="1" x14ac:dyDescent="0.25">
      <c r="A89" t="s">
        <v>7</v>
      </c>
      <c r="B89" s="2">
        <v>45453</v>
      </c>
      <c r="C89">
        <v>2024</v>
      </c>
      <c r="D89" s="11">
        <f t="shared" si="1"/>
        <v>162</v>
      </c>
      <c r="E89" t="s">
        <v>6</v>
      </c>
      <c r="F89">
        <v>114.5</v>
      </c>
    </row>
    <row r="90" spans="1:6" hidden="1" x14ac:dyDescent="0.25">
      <c r="A90" t="s">
        <v>7</v>
      </c>
      <c r="B90" s="2">
        <v>44595</v>
      </c>
      <c r="C90">
        <f>YEAR((B90))</f>
        <v>2022</v>
      </c>
      <c r="D90" s="11">
        <f t="shared" si="1"/>
        <v>34</v>
      </c>
      <c r="E90" t="s">
        <v>6</v>
      </c>
      <c r="F90">
        <v>69.599999999999994</v>
      </c>
    </row>
    <row r="91" spans="1:6" hidden="1" x14ac:dyDescent="0.25">
      <c r="A91" t="s">
        <v>7</v>
      </c>
      <c r="B91" s="2">
        <v>44608</v>
      </c>
      <c r="C91">
        <f t="shared" ref="C91:C122" si="2">YEAR((B91))</f>
        <v>2022</v>
      </c>
      <c r="D91" s="11">
        <f t="shared" si="1"/>
        <v>47</v>
      </c>
      <c r="E91" t="s">
        <v>6</v>
      </c>
      <c r="F91">
        <v>80.2</v>
      </c>
    </row>
    <row r="92" spans="1:6" hidden="1" x14ac:dyDescent="0.25">
      <c r="A92" t="s">
        <v>7</v>
      </c>
      <c r="B92" s="2">
        <v>44622</v>
      </c>
      <c r="C92">
        <f t="shared" si="2"/>
        <v>2022</v>
      </c>
      <c r="D92" s="11">
        <f t="shared" si="1"/>
        <v>61</v>
      </c>
      <c r="E92" t="s">
        <v>6</v>
      </c>
      <c r="F92">
        <v>85.8</v>
      </c>
    </row>
    <row r="93" spans="1:6" hidden="1" x14ac:dyDescent="0.25">
      <c r="A93" t="s">
        <v>7</v>
      </c>
      <c r="B93" s="2">
        <v>44636</v>
      </c>
      <c r="C93">
        <f t="shared" si="2"/>
        <v>2022</v>
      </c>
      <c r="D93" s="11">
        <f t="shared" si="1"/>
        <v>75</v>
      </c>
      <c r="E93" t="s">
        <v>6</v>
      </c>
      <c r="F93">
        <v>96.4</v>
      </c>
    </row>
    <row r="94" spans="1:6" hidden="1" x14ac:dyDescent="0.25">
      <c r="A94" t="s">
        <v>7</v>
      </c>
      <c r="B94" s="2">
        <v>44650</v>
      </c>
      <c r="C94">
        <f t="shared" si="2"/>
        <v>2022</v>
      </c>
      <c r="D94" s="11">
        <f t="shared" si="1"/>
        <v>89</v>
      </c>
      <c r="E94" t="s">
        <v>6</v>
      </c>
      <c r="F94">
        <v>106.7</v>
      </c>
    </row>
    <row r="95" spans="1:6" hidden="1" x14ac:dyDescent="0.25">
      <c r="A95" t="s">
        <v>7</v>
      </c>
      <c r="B95" s="2">
        <v>44664</v>
      </c>
      <c r="C95">
        <f t="shared" si="2"/>
        <v>2022</v>
      </c>
      <c r="D95" s="11">
        <f t="shared" si="1"/>
        <v>103</v>
      </c>
      <c r="E95" t="s">
        <v>6</v>
      </c>
      <c r="F95">
        <v>114</v>
      </c>
    </row>
    <row r="96" spans="1:6" hidden="1" x14ac:dyDescent="0.25">
      <c r="A96" t="s">
        <v>7</v>
      </c>
      <c r="B96" s="2">
        <v>44673</v>
      </c>
      <c r="C96">
        <f t="shared" si="2"/>
        <v>2022</v>
      </c>
      <c r="D96" s="11">
        <f t="shared" si="1"/>
        <v>112</v>
      </c>
      <c r="E96" t="s">
        <v>6</v>
      </c>
      <c r="F96">
        <v>111.3</v>
      </c>
    </row>
    <row r="97" spans="1:6" hidden="1" x14ac:dyDescent="0.25">
      <c r="A97" t="s">
        <v>7</v>
      </c>
      <c r="B97" s="2">
        <v>44680</v>
      </c>
      <c r="C97">
        <f t="shared" si="2"/>
        <v>2022</v>
      </c>
      <c r="D97" s="11">
        <f t="shared" si="1"/>
        <v>119</v>
      </c>
      <c r="E97" t="s">
        <v>6</v>
      </c>
      <c r="F97">
        <v>109.8</v>
      </c>
    </row>
    <row r="98" spans="1:6" hidden="1" x14ac:dyDescent="0.25">
      <c r="A98" t="s">
        <v>7</v>
      </c>
      <c r="B98" s="2">
        <v>44685</v>
      </c>
      <c r="C98">
        <f>YEAR((B98))</f>
        <v>2022</v>
      </c>
      <c r="D98" s="11">
        <f t="shared" si="1"/>
        <v>124</v>
      </c>
      <c r="E98" t="s">
        <v>6</v>
      </c>
      <c r="F98">
        <v>112.7</v>
      </c>
    </row>
    <row r="99" spans="1:6" hidden="1" x14ac:dyDescent="0.25">
      <c r="A99" t="s">
        <v>7</v>
      </c>
      <c r="B99" s="2">
        <v>44699</v>
      </c>
      <c r="C99">
        <f t="shared" si="2"/>
        <v>2022</v>
      </c>
      <c r="D99" s="11">
        <f t="shared" si="1"/>
        <v>138</v>
      </c>
      <c r="E99" t="s">
        <v>6</v>
      </c>
      <c r="F99">
        <v>115.6</v>
      </c>
    </row>
    <row r="100" spans="1:6" hidden="1" x14ac:dyDescent="0.25">
      <c r="A100" t="s">
        <v>7</v>
      </c>
      <c r="B100" s="2">
        <v>44713</v>
      </c>
      <c r="C100">
        <f t="shared" si="2"/>
        <v>2022</v>
      </c>
      <c r="D100" s="11">
        <f t="shared" si="1"/>
        <v>152</v>
      </c>
      <c r="E100" t="s">
        <v>6</v>
      </c>
      <c r="F100">
        <v>117.9</v>
      </c>
    </row>
    <row r="101" spans="1:6" hidden="1" x14ac:dyDescent="0.25">
      <c r="A101" t="s">
        <v>7</v>
      </c>
      <c r="B101" s="2">
        <v>44950</v>
      </c>
      <c r="C101">
        <f t="shared" si="2"/>
        <v>2023</v>
      </c>
      <c r="D101" s="11">
        <f t="shared" si="1"/>
        <v>24</v>
      </c>
      <c r="E101" t="s">
        <v>6</v>
      </c>
      <c r="F101">
        <v>63.7</v>
      </c>
    </row>
    <row r="102" spans="1:6" hidden="1" x14ac:dyDescent="0.25">
      <c r="A102" t="s">
        <v>7</v>
      </c>
      <c r="B102" s="2">
        <v>44974</v>
      </c>
      <c r="C102">
        <f t="shared" si="2"/>
        <v>2023</v>
      </c>
      <c r="D102" s="11">
        <f t="shared" si="1"/>
        <v>48</v>
      </c>
      <c r="E102" t="s">
        <v>6</v>
      </c>
      <c r="F102">
        <v>72.7</v>
      </c>
    </row>
    <row r="103" spans="1:6" hidden="1" x14ac:dyDescent="0.25">
      <c r="A103" t="s">
        <v>7</v>
      </c>
      <c r="B103" s="2">
        <v>44987</v>
      </c>
      <c r="C103">
        <f t="shared" si="2"/>
        <v>2023</v>
      </c>
      <c r="D103" s="11">
        <f t="shared" si="1"/>
        <v>61</v>
      </c>
      <c r="E103" t="s">
        <v>6</v>
      </c>
      <c r="F103">
        <v>78.599999999999994</v>
      </c>
    </row>
    <row r="104" spans="1:6" hidden="1" x14ac:dyDescent="0.25">
      <c r="A104" t="s">
        <v>7</v>
      </c>
      <c r="B104" s="2">
        <v>45001</v>
      </c>
      <c r="C104">
        <f t="shared" si="2"/>
        <v>2023</v>
      </c>
      <c r="D104" s="11">
        <f t="shared" si="1"/>
        <v>75</v>
      </c>
      <c r="E104" t="s">
        <v>6</v>
      </c>
      <c r="F104">
        <v>86.5</v>
      </c>
    </row>
    <row r="105" spans="1:6" hidden="1" x14ac:dyDescent="0.25">
      <c r="A105" t="s">
        <v>7</v>
      </c>
      <c r="B105" s="2">
        <v>45014</v>
      </c>
      <c r="C105">
        <f t="shared" si="2"/>
        <v>2023</v>
      </c>
      <c r="D105" s="11">
        <f t="shared" si="1"/>
        <v>88</v>
      </c>
      <c r="E105" t="s">
        <v>6</v>
      </c>
      <c r="F105">
        <v>95.4</v>
      </c>
    </row>
    <row r="106" spans="1:6" hidden="1" x14ac:dyDescent="0.25">
      <c r="A106" t="s">
        <v>7</v>
      </c>
      <c r="B106" s="2">
        <v>45031</v>
      </c>
      <c r="C106">
        <f t="shared" si="2"/>
        <v>2023</v>
      </c>
      <c r="D106" s="11">
        <f t="shared" si="1"/>
        <v>105</v>
      </c>
      <c r="E106" t="s">
        <v>6</v>
      </c>
      <c r="F106">
        <v>101.4</v>
      </c>
    </row>
    <row r="107" spans="1:6" hidden="1" x14ac:dyDescent="0.25">
      <c r="A107" t="s">
        <v>7</v>
      </c>
      <c r="B107" s="2">
        <v>45041</v>
      </c>
      <c r="C107">
        <f t="shared" si="2"/>
        <v>2023</v>
      </c>
      <c r="D107" s="11">
        <f t="shared" si="1"/>
        <v>115</v>
      </c>
      <c r="E107" t="s">
        <v>6</v>
      </c>
      <c r="F107">
        <v>108</v>
      </c>
    </row>
    <row r="108" spans="1:6" hidden="1" x14ac:dyDescent="0.25">
      <c r="A108" t="s">
        <v>7</v>
      </c>
      <c r="B108" s="2">
        <v>45049</v>
      </c>
      <c r="C108">
        <f t="shared" si="2"/>
        <v>2023</v>
      </c>
      <c r="D108" s="11">
        <f t="shared" si="1"/>
        <v>123</v>
      </c>
      <c r="E108" t="s">
        <v>6</v>
      </c>
      <c r="F108">
        <v>112.4</v>
      </c>
    </row>
    <row r="109" spans="1:6" hidden="1" x14ac:dyDescent="0.25">
      <c r="A109" t="s">
        <v>7</v>
      </c>
      <c r="B109" s="2">
        <v>45062</v>
      </c>
      <c r="C109">
        <f t="shared" si="2"/>
        <v>2023</v>
      </c>
      <c r="D109" s="11">
        <f t="shared" si="1"/>
        <v>136</v>
      </c>
      <c r="E109" t="s">
        <v>6</v>
      </c>
      <c r="F109">
        <v>117.5</v>
      </c>
    </row>
    <row r="110" spans="1:6" hidden="1" x14ac:dyDescent="0.25">
      <c r="A110" t="s">
        <v>7</v>
      </c>
      <c r="B110" s="2">
        <v>45077</v>
      </c>
      <c r="C110">
        <f t="shared" si="2"/>
        <v>2023</v>
      </c>
      <c r="D110" s="11">
        <f t="shared" si="1"/>
        <v>151</v>
      </c>
      <c r="E110" t="s">
        <v>6</v>
      </c>
      <c r="F110">
        <v>116.8</v>
      </c>
    </row>
    <row r="111" spans="1:6" hidden="1" x14ac:dyDescent="0.25">
      <c r="A111" t="s">
        <v>7</v>
      </c>
      <c r="B111" s="2">
        <v>45083</v>
      </c>
      <c r="C111">
        <f t="shared" si="2"/>
        <v>2023</v>
      </c>
      <c r="D111" s="11">
        <f t="shared" si="1"/>
        <v>157</v>
      </c>
      <c r="E111" t="s">
        <v>6</v>
      </c>
      <c r="F111">
        <v>113.2</v>
      </c>
    </row>
    <row r="112" spans="1:6" hidden="1" x14ac:dyDescent="0.25">
      <c r="A112" t="s">
        <v>7</v>
      </c>
      <c r="B112" s="2">
        <v>45314</v>
      </c>
      <c r="C112">
        <f t="shared" si="2"/>
        <v>2024</v>
      </c>
      <c r="D112" s="11">
        <f t="shared" si="1"/>
        <v>23</v>
      </c>
      <c r="E112" t="s">
        <v>6</v>
      </c>
      <c r="F112">
        <v>59.9</v>
      </c>
    </row>
    <row r="113" spans="1:6" hidden="1" x14ac:dyDescent="0.25">
      <c r="A113" t="s">
        <v>7</v>
      </c>
      <c r="B113" s="2">
        <v>45336</v>
      </c>
      <c r="C113">
        <f t="shared" si="2"/>
        <v>2024</v>
      </c>
      <c r="D113" s="11">
        <f t="shared" si="1"/>
        <v>45</v>
      </c>
      <c r="E113" t="s">
        <v>6</v>
      </c>
      <c r="F113">
        <v>66.7</v>
      </c>
    </row>
    <row r="114" spans="1:6" hidden="1" x14ac:dyDescent="0.25">
      <c r="A114" t="s">
        <v>7</v>
      </c>
      <c r="B114" s="2">
        <v>45348</v>
      </c>
      <c r="C114">
        <f t="shared" si="2"/>
        <v>2024</v>
      </c>
      <c r="D114" s="11">
        <f t="shared" si="1"/>
        <v>57</v>
      </c>
      <c r="E114" t="s">
        <v>6</v>
      </c>
      <c r="F114">
        <v>74.900000000000006</v>
      </c>
    </row>
    <row r="115" spans="1:6" hidden="1" x14ac:dyDescent="0.25">
      <c r="A115" t="s">
        <v>7</v>
      </c>
      <c r="B115" s="2">
        <v>45365</v>
      </c>
      <c r="C115">
        <f t="shared" si="2"/>
        <v>2024</v>
      </c>
      <c r="D115" s="11">
        <f t="shared" si="1"/>
        <v>74</v>
      </c>
      <c r="E115" t="s">
        <v>6</v>
      </c>
      <c r="F115">
        <v>85.1</v>
      </c>
    </row>
    <row r="116" spans="1:6" hidden="1" x14ac:dyDescent="0.25">
      <c r="A116" t="s">
        <v>7</v>
      </c>
      <c r="B116" s="2">
        <v>45379</v>
      </c>
      <c r="C116">
        <f t="shared" si="2"/>
        <v>2024</v>
      </c>
      <c r="D116" s="11">
        <f t="shared" si="1"/>
        <v>88</v>
      </c>
      <c r="E116" t="s">
        <v>6</v>
      </c>
      <c r="F116">
        <v>90.7</v>
      </c>
    </row>
    <row r="117" spans="1:6" hidden="1" x14ac:dyDescent="0.25">
      <c r="A117" t="s">
        <v>7</v>
      </c>
      <c r="B117" s="2">
        <v>45390</v>
      </c>
      <c r="C117">
        <f t="shared" si="2"/>
        <v>2024</v>
      </c>
      <c r="D117" s="11">
        <f t="shared" si="1"/>
        <v>99</v>
      </c>
      <c r="E117" t="s">
        <v>6</v>
      </c>
      <c r="F117">
        <v>91.8</v>
      </c>
    </row>
    <row r="118" spans="1:6" hidden="1" x14ac:dyDescent="0.25">
      <c r="A118" t="s">
        <v>7</v>
      </c>
      <c r="B118" s="2">
        <v>45404</v>
      </c>
      <c r="C118">
        <f t="shared" si="2"/>
        <v>2024</v>
      </c>
      <c r="D118" s="11">
        <f t="shared" si="1"/>
        <v>113</v>
      </c>
      <c r="E118" t="s">
        <v>6</v>
      </c>
      <c r="F118">
        <v>98.2</v>
      </c>
    </row>
    <row r="119" spans="1:6" hidden="1" x14ac:dyDescent="0.25">
      <c r="A119" t="s">
        <v>7</v>
      </c>
      <c r="B119" s="2">
        <v>45413</v>
      </c>
      <c r="C119">
        <f t="shared" si="2"/>
        <v>2024</v>
      </c>
      <c r="D119" s="11">
        <f t="shared" si="1"/>
        <v>122</v>
      </c>
      <c r="E119" t="s">
        <v>6</v>
      </c>
      <c r="F119">
        <v>101.7</v>
      </c>
    </row>
    <row r="120" spans="1:6" hidden="1" x14ac:dyDescent="0.25">
      <c r="A120" t="s">
        <v>7</v>
      </c>
      <c r="B120" s="2">
        <v>45425</v>
      </c>
      <c r="C120">
        <f t="shared" si="2"/>
        <v>2024</v>
      </c>
      <c r="D120" s="11">
        <f t="shared" si="1"/>
        <v>134</v>
      </c>
      <c r="E120" t="s">
        <v>6</v>
      </c>
      <c r="F120">
        <v>103.3</v>
      </c>
    </row>
    <row r="121" spans="1:6" hidden="1" x14ac:dyDescent="0.25">
      <c r="A121" t="s">
        <v>7</v>
      </c>
      <c r="B121" s="2">
        <v>45441</v>
      </c>
      <c r="C121">
        <f t="shared" si="2"/>
        <v>2024</v>
      </c>
      <c r="D121" s="11">
        <f t="shared" si="1"/>
        <v>150</v>
      </c>
      <c r="E121" t="s">
        <v>6</v>
      </c>
      <c r="F121">
        <v>99.2</v>
      </c>
    </row>
    <row r="122" spans="1:6" hidden="1" x14ac:dyDescent="0.25">
      <c r="A122" t="s">
        <v>7</v>
      </c>
      <c r="B122" s="2">
        <v>45453</v>
      </c>
      <c r="C122">
        <f t="shared" si="2"/>
        <v>2024</v>
      </c>
      <c r="D122" s="11">
        <f t="shared" si="1"/>
        <v>162</v>
      </c>
      <c r="E122" t="s">
        <v>6</v>
      </c>
      <c r="F122">
        <v>99.8</v>
      </c>
    </row>
    <row r="123" spans="1:6" hidden="1" x14ac:dyDescent="0.25">
      <c r="A123" t="s">
        <v>7</v>
      </c>
      <c r="B123" s="2">
        <v>44595</v>
      </c>
      <c r="C123">
        <f>YEAR(B123)</f>
        <v>2022</v>
      </c>
      <c r="D123" s="11">
        <f t="shared" si="1"/>
        <v>34</v>
      </c>
      <c r="E123" t="s">
        <v>6</v>
      </c>
      <c r="F123">
        <v>83.4</v>
      </c>
    </row>
    <row r="124" spans="1:6" hidden="1" x14ac:dyDescent="0.25">
      <c r="A124" t="s">
        <v>7</v>
      </c>
      <c r="B124" s="2">
        <v>44608</v>
      </c>
      <c r="C124">
        <f t="shared" ref="C124:C186" si="3">YEAR(B124)</f>
        <v>2022</v>
      </c>
      <c r="D124" s="11">
        <f t="shared" si="1"/>
        <v>47</v>
      </c>
      <c r="E124" t="s">
        <v>6</v>
      </c>
      <c r="F124">
        <v>94.3</v>
      </c>
    </row>
    <row r="125" spans="1:6" hidden="1" x14ac:dyDescent="0.25">
      <c r="A125" t="s">
        <v>7</v>
      </c>
      <c r="B125" s="2">
        <v>44622</v>
      </c>
      <c r="C125">
        <f t="shared" si="3"/>
        <v>2022</v>
      </c>
      <c r="D125" s="11">
        <f t="shared" si="1"/>
        <v>61</v>
      </c>
      <c r="E125" t="s">
        <v>6</v>
      </c>
      <c r="F125">
        <v>102.9</v>
      </c>
    </row>
    <row r="126" spans="1:6" hidden="1" x14ac:dyDescent="0.25">
      <c r="A126" t="s">
        <v>7</v>
      </c>
      <c r="B126" s="2">
        <v>44636</v>
      </c>
      <c r="C126">
        <f t="shared" si="3"/>
        <v>2022</v>
      </c>
      <c r="D126" s="11">
        <f t="shared" si="1"/>
        <v>75</v>
      </c>
      <c r="E126" t="s">
        <v>6</v>
      </c>
      <c r="F126">
        <v>104</v>
      </c>
    </row>
    <row r="127" spans="1:6" hidden="1" x14ac:dyDescent="0.25">
      <c r="A127" t="s">
        <v>7</v>
      </c>
      <c r="B127" s="2">
        <v>44650</v>
      </c>
      <c r="C127">
        <f t="shared" si="3"/>
        <v>2022</v>
      </c>
      <c r="D127" s="11">
        <f t="shared" si="1"/>
        <v>89</v>
      </c>
      <c r="E127" t="s">
        <v>6</v>
      </c>
      <c r="F127">
        <v>113.4</v>
      </c>
    </row>
    <row r="128" spans="1:6" hidden="1" x14ac:dyDescent="0.25">
      <c r="A128" t="s">
        <v>7</v>
      </c>
      <c r="B128" s="2">
        <v>44664</v>
      </c>
      <c r="C128">
        <f t="shared" si="3"/>
        <v>2022</v>
      </c>
      <c r="D128" s="11">
        <f t="shared" si="1"/>
        <v>103</v>
      </c>
      <c r="E128" t="s">
        <v>6</v>
      </c>
      <c r="F128">
        <v>125.8</v>
      </c>
    </row>
    <row r="129" spans="1:6" hidden="1" x14ac:dyDescent="0.25">
      <c r="A129" t="s">
        <v>7</v>
      </c>
      <c r="B129" s="2">
        <v>44672</v>
      </c>
      <c r="C129">
        <f t="shared" si="3"/>
        <v>2022</v>
      </c>
      <c r="D129" s="11">
        <f t="shared" si="1"/>
        <v>111</v>
      </c>
      <c r="E129" t="s">
        <v>6</v>
      </c>
      <c r="F129">
        <v>132.9</v>
      </c>
    </row>
    <row r="130" spans="1:6" hidden="1" x14ac:dyDescent="0.25">
      <c r="A130" t="s">
        <v>7</v>
      </c>
      <c r="B130" s="2">
        <v>44680</v>
      </c>
      <c r="C130">
        <f t="shared" si="3"/>
        <v>2022</v>
      </c>
      <c r="D130" s="11">
        <f t="shared" si="1"/>
        <v>119</v>
      </c>
      <c r="E130" t="s">
        <v>6</v>
      </c>
      <c r="F130">
        <v>139.80000000000001</v>
      </c>
    </row>
    <row r="131" spans="1:6" hidden="1" x14ac:dyDescent="0.25">
      <c r="A131" t="s">
        <v>7</v>
      </c>
      <c r="B131" s="2">
        <v>44685</v>
      </c>
      <c r="C131">
        <f t="shared" si="3"/>
        <v>2022</v>
      </c>
      <c r="D131" s="11">
        <f t="shared" ref="D131:D194" si="4">B131-DATE(YEAR(B131),1,0)</f>
        <v>124</v>
      </c>
      <c r="E131" t="s">
        <v>6</v>
      </c>
      <c r="F131">
        <v>135.1</v>
      </c>
    </row>
    <row r="132" spans="1:6" hidden="1" x14ac:dyDescent="0.25">
      <c r="A132" t="s">
        <v>7</v>
      </c>
      <c r="B132" s="2">
        <v>44699</v>
      </c>
      <c r="C132">
        <f t="shared" si="3"/>
        <v>2022</v>
      </c>
      <c r="D132" s="11">
        <f t="shared" si="4"/>
        <v>138</v>
      </c>
      <c r="E132" t="s">
        <v>6</v>
      </c>
      <c r="F132">
        <v>138.1</v>
      </c>
    </row>
    <row r="133" spans="1:6" hidden="1" x14ac:dyDescent="0.25">
      <c r="A133" t="s">
        <v>7</v>
      </c>
      <c r="B133" s="2">
        <v>44713</v>
      </c>
      <c r="C133">
        <f t="shared" si="3"/>
        <v>2022</v>
      </c>
      <c r="D133" s="11">
        <f t="shared" si="4"/>
        <v>152</v>
      </c>
      <c r="E133" t="s">
        <v>6</v>
      </c>
      <c r="F133">
        <v>142</v>
      </c>
    </row>
    <row r="134" spans="1:6" hidden="1" x14ac:dyDescent="0.25">
      <c r="A134" t="s">
        <v>7</v>
      </c>
      <c r="B134" s="2">
        <v>44952</v>
      </c>
      <c r="C134">
        <f t="shared" si="3"/>
        <v>2023</v>
      </c>
      <c r="D134" s="11">
        <f t="shared" si="4"/>
        <v>26</v>
      </c>
      <c r="E134" t="s">
        <v>6</v>
      </c>
      <c r="F134">
        <v>61.4</v>
      </c>
    </row>
    <row r="135" spans="1:6" hidden="1" x14ac:dyDescent="0.25">
      <c r="A135" t="s">
        <v>7</v>
      </c>
      <c r="B135" s="2">
        <v>44974</v>
      </c>
      <c r="C135">
        <f t="shared" si="3"/>
        <v>2023</v>
      </c>
      <c r="D135" s="11">
        <f t="shared" si="4"/>
        <v>48</v>
      </c>
      <c r="E135" t="s">
        <v>6</v>
      </c>
      <c r="F135">
        <v>67.8</v>
      </c>
    </row>
    <row r="136" spans="1:6" hidden="1" x14ac:dyDescent="0.25">
      <c r="A136" t="s">
        <v>7</v>
      </c>
      <c r="B136" s="2">
        <v>44984</v>
      </c>
      <c r="C136">
        <f t="shared" si="3"/>
        <v>2023</v>
      </c>
      <c r="D136" s="11">
        <f t="shared" si="4"/>
        <v>58</v>
      </c>
      <c r="E136" t="s">
        <v>6</v>
      </c>
      <c r="F136">
        <v>73.099999999999994</v>
      </c>
    </row>
    <row r="137" spans="1:6" hidden="1" x14ac:dyDescent="0.25">
      <c r="A137" t="s">
        <v>7</v>
      </c>
      <c r="B137" s="2">
        <v>45000</v>
      </c>
      <c r="C137">
        <f t="shared" si="3"/>
        <v>2023</v>
      </c>
      <c r="D137" s="11">
        <f t="shared" si="4"/>
        <v>74</v>
      </c>
      <c r="E137" t="s">
        <v>6</v>
      </c>
      <c r="F137">
        <v>78.099999999999994</v>
      </c>
    </row>
    <row r="138" spans="1:6" hidden="1" x14ac:dyDescent="0.25">
      <c r="A138" t="s">
        <v>7</v>
      </c>
      <c r="B138" s="2">
        <v>45015</v>
      </c>
      <c r="C138">
        <f t="shared" si="3"/>
        <v>2023</v>
      </c>
      <c r="D138" s="11">
        <f t="shared" si="4"/>
        <v>89</v>
      </c>
      <c r="E138" t="s">
        <v>6</v>
      </c>
      <c r="F138">
        <v>84.1</v>
      </c>
    </row>
    <row r="139" spans="1:6" hidden="1" x14ac:dyDescent="0.25">
      <c r="A139" t="s">
        <v>7</v>
      </c>
      <c r="B139" s="2">
        <v>45029</v>
      </c>
      <c r="C139">
        <f t="shared" si="3"/>
        <v>2023</v>
      </c>
      <c r="D139" s="11">
        <f t="shared" si="4"/>
        <v>103</v>
      </c>
      <c r="E139" t="s">
        <v>6</v>
      </c>
      <c r="F139">
        <v>89.9</v>
      </c>
    </row>
    <row r="140" spans="1:6" hidden="1" x14ac:dyDescent="0.25">
      <c r="A140" t="s">
        <v>7</v>
      </c>
      <c r="B140" s="2">
        <v>45041</v>
      </c>
      <c r="C140">
        <f t="shared" si="3"/>
        <v>2023</v>
      </c>
      <c r="D140" s="11">
        <f t="shared" si="4"/>
        <v>115</v>
      </c>
      <c r="E140" t="s">
        <v>6</v>
      </c>
      <c r="F140">
        <v>95.9</v>
      </c>
    </row>
    <row r="141" spans="1:6" hidden="1" x14ac:dyDescent="0.25">
      <c r="A141" t="s">
        <v>7</v>
      </c>
      <c r="B141" s="2">
        <v>45049</v>
      </c>
      <c r="C141">
        <f t="shared" si="3"/>
        <v>2023</v>
      </c>
      <c r="D141" s="11">
        <f t="shared" si="4"/>
        <v>123</v>
      </c>
      <c r="E141" t="s">
        <v>6</v>
      </c>
      <c r="F141">
        <v>97.4</v>
      </c>
    </row>
    <row r="142" spans="1:6" hidden="1" x14ac:dyDescent="0.25">
      <c r="A142" t="s">
        <v>7</v>
      </c>
      <c r="B142" s="2">
        <v>45062</v>
      </c>
      <c r="C142">
        <f t="shared" si="3"/>
        <v>2023</v>
      </c>
      <c r="D142" s="11">
        <f t="shared" si="4"/>
        <v>136</v>
      </c>
      <c r="E142" t="s">
        <v>6</v>
      </c>
      <c r="F142">
        <v>97.8</v>
      </c>
    </row>
    <row r="143" spans="1:6" hidden="1" x14ac:dyDescent="0.25">
      <c r="A143" t="s">
        <v>7</v>
      </c>
      <c r="B143" s="2">
        <v>45076</v>
      </c>
      <c r="C143">
        <f t="shared" si="3"/>
        <v>2023</v>
      </c>
      <c r="D143" s="11">
        <f t="shared" si="4"/>
        <v>150</v>
      </c>
      <c r="E143" t="s">
        <v>6</v>
      </c>
      <c r="F143">
        <v>99.8</v>
      </c>
    </row>
    <row r="144" spans="1:6" hidden="1" x14ac:dyDescent="0.25">
      <c r="A144" t="s">
        <v>7</v>
      </c>
      <c r="B144" s="2">
        <v>45083</v>
      </c>
      <c r="C144">
        <f t="shared" si="3"/>
        <v>2023</v>
      </c>
      <c r="D144" s="11">
        <f t="shared" si="4"/>
        <v>157</v>
      </c>
      <c r="E144" t="s">
        <v>6</v>
      </c>
      <c r="F144">
        <v>109.6</v>
      </c>
    </row>
    <row r="145" spans="1:6" hidden="1" x14ac:dyDescent="0.25">
      <c r="A145" t="s">
        <v>7</v>
      </c>
      <c r="B145" s="2">
        <v>45316</v>
      </c>
      <c r="C145">
        <f t="shared" si="3"/>
        <v>2024</v>
      </c>
      <c r="D145" s="11">
        <f t="shared" si="4"/>
        <v>25</v>
      </c>
      <c r="E145" t="s">
        <v>6</v>
      </c>
      <c r="F145">
        <v>57.1</v>
      </c>
    </row>
    <row r="146" spans="1:6" hidden="1" x14ac:dyDescent="0.25">
      <c r="A146" t="s">
        <v>7</v>
      </c>
      <c r="B146" s="2">
        <v>45337</v>
      </c>
      <c r="C146">
        <f t="shared" si="3"/>
        <v>2024</v>
      </c>
      <c r="D146" s="11">
        <f t="shared" si="4"/>
        <v>46</v>
      </c>
      <c r="E146" t="s">
        <v>6</v>
      </c>
      <c r="F146">
        <v>71.099999999999994</v>
      </c>
    </row>
    <row r="147" spans="1:6" hidden="1" x14ac:dyDescent="0.25">
      <c r="A147" t="s">
        <v>7</v>
      </c>
      <c r="B147" s="2">
        <v>45350</v>
      </c>
      <c r="C147">
        <f t="shared" si="3"/>
        <v>2024</v>
      </c>
      <c r="D147" s="11">
        <f t="shared" si="4"/>
        <v>59</v>
      </c>
      <c r="E147" t="s">
        <v>6</v>
      </c>
      <c r="F147">
        <v>77</v>
      </c>
    </row>
    <row r="148" spans="1:6" hidden="1" x14ac:dyDescent="0.25">
      <c r="A148" t="s">
        <v>7</v>
      </c>
      <c r="B148" s="2">
        <v>45364</v>
      </c>
      <c r="C148">
        <f t="shared" si="3"/>
        <v>2024</v>
      </c>
      <c r="D148" s="11">
        <f t="shared" si="4"/>
        <v>73</v>
      </c>
      <c r="E148" t="s">
        <v>6</v>
      </c>
      <c r="F148">
        <v>83.1</v>
      </c>
    </row>
    <row r="149" spans="1:6" hidden="1" x14ac:dyDescent="0.25">
      <c r="A149" t="s">
        <v>7</v>
      </c>
      <c r="B149" s="2">
        <v>45378</v>
      </c>
      <c r="C149">
        <f t="shared" si="3"/>
        <v>2024</v>
      </c>
      <c r="D149" s="11">
        <f t="shared" si="4"/>
        <v>87</v>
      </c>
      <c r="E149" t="s">
        <v>6</v>
      </c>
      <c r="F149">
        <v>87.3</v>
      </c>
    </row>
    <row r="150" spans="1:6" hidden="1" x14ac:dyDescent="0.25">
      <c r="A150" t="s">
        <v>7</v>
      </c>
      <c r="B150" s="2">
        <v>45393</v>
      </c>
      <c r="C150">
        <f t="shared" si="3"/>
        <v>2024</v>
      </c>
      <c r="D150" s="11">
        <f t="shared" si="4"/>
        <v>102</v>
      </c>
      <c r="E150" t="s">
        <v>6</v>
      </c>
      <c r="F150">
        <v>86.6</v>
      </c>
    </row>
    <row r="151" spans="1:6" hidden="1" x14ac:dyDescent="0.25">
      <c r="A151" t="s">
        <v>7</v>
      </c>
      <c r="B151" s="2">
        <v>45404</v>
      </c>
      <c r="C151">
        <f t="shared" si="3"/>
        <v>2024</v>
      </c>
      <c r="D151" s="11">
        <f t="shared" si="4"/>
        <v>113</v>
      </c>
      <c r="E151" t="s">
        <v>6</v>
      </c>
      <c r="F151">
        <v>90.1</v>
      </c>
    </row>
    <row r="152" spans="1:6" hidden="1" x14ac:dyDescent="0.25">
      <c r="A152" t="s">
        <v>7</v>
      </c>
      <c r="B152" s="2">
        <v>45414</v>
      </c>
      <c r="C152">
        <f t="shared" si="3"/>
        <v>2024</v>
      </c>
      <c r="D152" s="11">
        <f t="shared" si="4"/>
        <v>123</v>
      </c>
      <c r="E152" t="s">
        <v>6</v>
      </c>
      <c r="F152">
        <v>99.7</v>
      </c>
    </row>
    <row r="153" spans="1:6" hidden="1" x14ac:dyDescent="0.25">
      <c r="A153" t="s">
        <v>7</v>
      </c>
      <c r="B153" s="2">
        <v>45425</v>
      </c>
      <c r="C153">
        <f t="shared" si="3"/>
        <v>2024</v>
      </c>
      <c r="D153" s="11">
        <f t="shared" si="4"/>
        <v>134</v>
      </c>
      <c r="E153" t="s">
        <v>6</v>
      </c>
      <c r="F153">
        <v>101.1</v>
      </c>
    </row>
    <row r="154" spans="1:6" hidden="1" x14ac:dyDescent="0.25">
      <c r="A154" t="s">
        <v>7</v>
      </c>
      <c r="B154" s="2">
        <v>45441</v>
      </c>
      <c r="C154">
        <f t="shared" si="3"/>
        <v>2024</v>
      </c>
      <c r="D154" s="11">
        <f t="shared" si="4"/>
        <v>150</v>
      </c>
      <c r="E154" t="s">
        <v>6</v>
      </c>
      <c r="F154">
        <v>100.3</v>
      </c>
    </row>
    <row r="155" spans="1:6" hidden="1" x14ac:dyDescent="0.25">
      <c r="A155" t="s">
        <v>7</v>
      </c>
      <c r="B155" s="2">
        <v>45453</v>
      </c>
      <c r="C155">
        <f t="shared" si="3"/>
        <v>2024</v>
      </c>
      <c r="D155" s="11">
        <f t="shared" si="4"/>
        <v>162</v>
      </c>
      <c r="E155" t="s">
        <v>6</v>
      </c>
      <c r="F155">
        <v>97.4</v>
      </c>
    </row>
    <row r="156" spans="1:6" hidden="1" x14ac:dyDescent="0.25">
      <c r="A156" t="s">
        <v>7</v>
      </c>
      <c r="B156" s="2">
        <v>45316</v>
      </c>
      <c r="C156">
        <f t="shared" si="3"/>
        <v>2024</v>
      </c>
      <c r="D156" s="11">
        <f t="shared" si="4"/>
        <v>25</v>
      </c>
      <c r="E156" t="s">
        <v>6</v>
      </c>
      <c r="F156">
        <v>64.400000000000006</v>
      </c>
    </row>
    <row r="157" spans="1:6" hidden="1" x14ac:dyDescent="0.25">
      <c r="A157" t="s">
        <v>7</v>
      </c>
      <c r="B157" s="2">
        <v>45337</v>
      </c>
      <c r="C157">
        <f t="shared" si="3"/>
        <v>2024</v>
      </c>
      <c r="D157" s="11">
        <f t="shared" si="4"/>
        <v>46</v>
      </c>
      <c r="E157" t="s">
        <v>6</v>
      </c>
      <c r="F157">
        <v>68.599999999999994</v>
      </c>
    </row>
    <row r="158" spans="1:6" hidden="1" x14ac:dyDescent="0.25">
      <c r="A158" t="s">
        <v>7</v>
      </c>
      <c r="B158" s="2">
        <v>45350</v>
      </c>
      <c r="C158">
        <f t="shared" si="3"/>
        <v>2024</v>
      </c>
      <c r="D158" s="11">
        <f t="shared" si="4"/>
        <v>59</v>
      </c>
      <c r="E158" t="s">
        <v>6</v>
      </c>
      <c r="F158">
        <v>86.5</v>
      </c>
    </row>
    <row r="159" spans="1:6" hidden="1" x14ac:dyDescent="0.25">
      <c r="A159" t="s">
        <v>7</v>
      </c>
      <c r="B159" s="2">
        <v>45364</v>
      </c>
      <c r="C159">
        <f t="shared" si="3"/>
        <v>2024</v>
      </c>
      <c r="D159" s="11">
        <f t="shared" si="4"/>
        <v>73</v>
      </c>
      <c r="E159" t="s">
        <v>6</v>
      </c>
      <c r="F159">
        <v>90</v>
      </c>
    </row>
    <row r="160" spans="1:6" hidden="1" x14ac:dyDescent="0.25">
      <c r="A160" t="s">
        <v>7</v>
      </c>
      <c r="B160" s="2">
        <v>45378</v>
      </c>
      <c r="C160">
        <f t="shared" si="3"/>
        <v>2024</v>
      </c>
      <c r="D160" s="11">
        <f t="shared" si="4"/>
        <v>87</v>
      </c>
      <c r="E160" t="s">
        <v>6</v>
      </c>
      <c r="F160">
        <v>98.4</v>
      </c>
    </row>
    <row r="161" spans="1:6" hidden="1" x14ac:dyDescent="0.25">
      <c r="A161" t="s">
        <v>7</v>
      </c>
      <c r="B161" s="2">
        <v>45390</v>
      </c>
      <c r="C161">
        <f t="shared" si="3"/>
        <v>2024</v>
      </c>
      <c r="D161" s="11">
        <f t="shared" si="4"/>
        <v>99</v>
      </c>
      <c r="E161" t="s">
        <v>6</v>
      </c>
      <c r="F161">
        <v>102.7</v>
      </c>
    </row>
    <row r="162" spans="1:6" hidden="1" x14ac:dyDescent="0.25">
      <c r="A162" t="s">
        <v>7</v>
      </c>
      <c r="B162" s="2">
        <v>45407</v>
      </c>
      <c r="C162">
        <f t="shared" si="3"/>
        <v>2024</v>
      </c>
      <c r="D162" s="11">
        <f t="shared" si="4"/>
        <v>116</v>
      </c>
      <c r="E162" t="s">
        <v>6</v>
      </c>
      <c r="F162">
        <v>102.3</v>
      </c>
    </row>
    <row r="163" spans="1:6" hidden="1" x14ac:dyDescent="0.25">
      <c r="A163" t="s">
        <v>7</v>
      </c>
      <c r="B163" s="2">
        <v>45413</v>
      </c>
      <c r="C163">
        <f t="shared" si="3"/>
        <v>2024</v>
      </c>
      <c r="D163" s="11">
        <f t="shared" si="4"/>
        <v>122</v>
      </c>
      <c r="E163" t="s">
        <v>6</v>
      </c>
      <c r="F163">
        <v>103.9</v>
      </c>
    </row>
    <row r="164" spans="1:6" hidden="1" x14ac:dyDescent="0.25">
      <c r="A164" t="s">
        <v>7</v>
      </c>
      <c r="B164" s="2">
        <v>45425</v>
      </c>
      <c r="C164">
        <f t="shared" si="3"/>
        <v>2024</v>
      </c>
      <c r="D164" s="11">
        <f t="shared" si="4"/>
        <v>134</v>
      </c>
      <c r="E164" t="s">
        <v>6</v>
      </c>
      <c r="F164">
        <v>100.2</v>
      </c>
    </row>
    <row r="165" spans="1:6" hidden="1" x14ac:dyDescent="0.25">
      <c r="A165" t="s">
        <v>7</v>
      </c>
      <c r="B165" s="2">
        <v>45439</v>
      </c>
      <c r="C165">
        <f t="shared" si="3"/>
        <v>2024</v>
      </c>
      <c r="D165" s="11">
        <f t="shared" si="4"/>
        <v>148</v>
      </c>
      <c r="E165" t="s">
        <v>6</v>
      </c>
      <c r="F165">
        <v>103</v>
      </c>
    </row>
    <row r="166" spans="1:6" hidden="1" x14ac:dyDescent="0.25">
      <c r="A166" t="s">
        <v>7</v>
      </c>
      <c r="B166" s="2">
        <v>45454</v>
      </c>
      <c r="C166">
        <f t="shared" si="3"/>
        <v>2024</v>
      </c>
      <c r="D166" s="11">
        <f t="shared" si="4"/>
        <v>163</v>
      </c>
      <c r="E166" t="s">
        <v>6</v>
      </c>
      <c r="F166">
        <v>101.2</v>
      </c>
    </row>
    <row r="167" spans="1:6" hidden="1" x14ac:dyDescent="0.25">
      <c r="A167" t="s">
        <v>7</v>
      </c>
      <c r="B167" s="2">
        <v>42387</v>
      </c>
      <c r="C167">
        <f t="shared" si="3"/>
        <v>2016</v>
      </c>
      <c r="D167" s="11">
        <f t="shared" si="4"/>
        <v>18</v>
      </c>
      <c r="E167" t="s">
        <v>6</v>
      </c>
      <c r="F167">
        <v>59.6</v>
      </c>
    </row>
    <row r="168" spans="1:6" hidden="1" x14ac:dyDescent="0.25">
      <c r="A168" t="s">
        <v>7</v>
      </c>
      <c r="B168" s="2">
        <v>42387</v>
      </c>
      <c r="C168">
        <f t="shared" si="3"/>
        <v>2016</v>
      </c>
      <c r="D168" s="11">
        <f t="shared" si="4"/>
        <v>18</v>
      </c>
      <c r="E168" t="s">
        <v>6</v>
      </c>
      <c r="F168">
        <v>58.3</v>
      </c>
    </row>
    <row r="169" spans="1:6" hidden="1" x14ac:dyDescent="0.25">
      <c r="A169" t="s">
        <v>7</v>
      </c>
      <c r="B169" s="2">
        <v>42423</v>
      </c>
      <c r="C169">
        <f t="shared" si="3"/>
        <v>2016</v>
      </c>
      <c r="D169" s="11">
        <f t="shared" si="4"/>
        <v>54</v>
      </c>
      <c r="E169" t="s">
        <v>6</v>
      </c>
      <c r="F169">
        <v>74.400000000000006</v>
      </c>
    </row>
    <row r="170" spans="1:6" hidden="1" x14ac:dyDescent="0.25">
      <c r="A170" t="s">
        <v>7</v>
      </c>
      <c r="B170" s="2">
        <v>42423</v>
      </c>
      <c r="C170">
        <f t="shared" si="3"/>
        <v>2016</v>
      </c>
      <c r="D170" s="11">
        <f t="shared" si="4"/>
        <v>54</v>
      </c>
      <c r="E170" t="s">
        <v>6</v>
      </c>
      <c r="F170">
        <v>85.7</v>
      </c>
    </row>
    <row r="171" spans="1:6" hidden="1" x14ac:dyDescent="0.25">
      <c r="A171" t="s">
        <v>7</v>
      </c>
      <c r="B171" s="2">
        <v>42437</v>
      </c>
      <c r="C171">
        <f t="shared" si="3"/>
        <v>2016</v>
      </c>
      <c r="D171" s="11">
        <f t="shared" si="4"/>
        <v>68</v>
      </c>
      <c r="E171" t="s">
        <v>6</v>
      </c>
      <c r="F171">
        <v>79.400000000000006</v>
      </c>
    </row>
    <row r="172" spans="1:6" hidden="1" x14ac:dyDescent="0.25">
      <c r="A172" t="s">
        <v>7</v>
      </c>
      <c r="B172" s="2">
        <v>42437</v>
      </c>
      <c r="C172">
        <f t="shared" si="3"/>
        <v>2016</v>
      </c>
      <c r="D172" s="11">
        <f t="shared" si="4"/>
        <v>68</v>
      </c>
      <c r="E172" t="s">
        <v>6</v>
      </c>
      <c r="F172">
        <v>92.4</v>
      </c>
    </row>
    <row r="173" spans="1:6" hidden="1" x14ac:dyDescent="0.25">
      <c r="A173" t="s">
        <v>7</v>
      </c>
      <c r="B173" s="2">
        <v>42451</v>
      </c>
      <c r="C173">
        <f t="shared" si="3"/>
        <v>2016</v>
      </c>
      <c r="D173" s="11">
        <f t="shared" si="4"/>
        <v>82</v>
      </c>
      <c r="E173" t="s">
        <v>6</v>
      </c>
      <c r="F173">
        <v>91.9</v>
      </c>
    </row>
    <row r="174" spans="1:6" hidden="1" x14ac:dyDescent="0.25">
      <c r="A174" t="s">
        <v>7</v>
      </c>
      <c r="B174" s="2">
        <v>42451</v>
      </c>
      <c r="C174">
        <f t="shared" si="3"/>
        <v>2016</v>
      </c>
      <c r="D174" s="11">
        <f t="shared" si="4"/>
        <v>82</v>
      </c>
      <c r="E174" t="s">
        <v>6</v>
      </c>
      <c r="F174">
        <v>101.1</v>
      </c>
    </row>
    <row r="175" spans="1:6" hidden="1" x14ac:dyDescent="0.25">
      <c r="A175" t="s">
        <v>7</v>
      </c>
      <c r="B175" s="2">
        <v>42466</v>
      </c>
      <c r="C175">
        <f t="shared" si="3"/>
        <v>2016</v>
      </c>
      <c r="D175" s="11">
        <f t="shared" si="4"/>
        <v>97</v>
      </c>
      <c r="E175" t="s">
        <v>6</v>
      </c>
      <c r="F175">
        <v>94.9</v>
      </c>
    </row>
    <row r="176" spans="1:6" hidden="1" x14ac:dyDescent="0.25">
      <c r="A176" t="s">
        <v>7</v>
      </c>
      <c r="B176" s="2">
        <v>42467</v>
      </c>
      <c r="C176">
        <f t="shared" si="3"/>
        <v>2016</v>
      </c>
      <c r="D176" s="11">
        <f t="shared" si="4"/>
        <v>98</v>
      </c>
      <c r="E176" t="s">
        <v>6</v>
      </c>
      <c r="F176">
        <v>113.4</v>
      </c>
    </row>
    <row r="177" spans="1:6" hidden="1" x14ac:dyDescent="0.25">
      <c r="A177" t="s">
        <v>7</v>
      </c>
      <c r="B177" s="2">
        <v>42474</v>
      </c>
      <c r="C177">
        <f t="shared" si="3"/>
        <v>2016</v>
      </c>
      <c r="D177" s="11">
        <f t="shared" si="4"/>
        <v>105</v>
      </c>
      <c r="E177" t="s">
        <v>6</v>
      </c>
      <c r="F177">
        <v>115.3</v>
      </c>
    </row>
    <row r="178" spans="1:6" hidden="1" x14ac:dyDescent="0.25">
      <c r="A178" t="s">
        <v>7</v>
      </c>
      <c r="B178" s="2">
        <v>42475</v>
      </c>
      <c r="C178">
        <f t="shared" si="3"/>
        <v>2016</v>
      </c>
      <c r="D178" s="11">
        <f t="shared" si="4"/>
        <v>106</v>
      </c>
      <c r="E178" t="s">
        <v>6</v>
      </c>
      <c r="F178">
        <v>101.2</v>
      </c>
    </row>
    <row r="179" spans="1:6" hidden="1" x14ac:dyDescent="0.25">
      <c r="A179" t="s">
        <v>7</v>
      </c>
      <c r="B179" s="2">
        <v>42482</v>
      </c>
      <c r="C179">
        <f t="shared" si="3"/>
        <v>2016</v>
      </c>
      <c r="D179" s="11">
        <f t="shared" si="4"/>
        <v>113</v>
      </c>
      <c r="E179" t="s">
        <v>6</v>
      </c>
      <c r="F179">
        <v>103.3</v>
      </c>
    </row>
    <row r="180" spans="1:6" hidden="1" x14ac:dyDescent="0.25">
      <c r="A180" t="s">
        <v>7</v>
      </c>
      <c r="B180" s="2">
        <v>42482</v>
      </c>
      <c r="C180">
        <f t="shared" si="3"/>
        <v>2016</v>
      </c>
      <c r="D180" s="11">
        <f t="shared" si="4"/>
        <v>113</v>
      </c>
      <c r="E180" t="s">
        <v>6</v>
      </c>
      <c r="F180">
        <v>119.2</v>
      </c>
    </row>
    <row r="181" spans="1:6" hidden="1" x14ac:dyDescent="0.25">
      <c r="A181" t="s">
        <v>7</v>
      </c>
      <c r="B181" s="2">
        <v>42486</v>
      </c>
      <c r="C181">
        <f t="shared" si="3"/>
        <v>2016</v>
      </c>
      <c r="D181" s="11">
        <f t="shared" si="4"/>
        <v>117</v>
      </c>
      <c r="E181" t="s">
        <v>6</v>
      </c>
      <c r="F181">
        <v>103.4</v>
      </c>
    </row>
    <row r="182" spans="1:6" hidden="1" x14ac:dyDescent="0.25">
      <c r="A182" t="s">
        <v>7</v>
      </c>
      <c r="B182" s="2">
        <v>42486</v>
      </c>
      <c r="C182">
        <f t="shared" si="3"/>
        <v>2016</v>
      </c>
      <c r="D182" s="11">
        <f t="shared" si="4"/>
        <v>117</v>
      </c>
      <c r="E182" t="s">
        <v>6</v>
      </c>
      <c r="F182">
        <v>115.3</v>
      </c>
    </row>
    <row r="183" spans="1:6" hidden="1" x14ac:dyDescent="0.25">
      <c r="A183" t="s">
        <v>7</v>
      </c>
      <c r="B183" s="2">
        <v>42493</v>
      </c>
      <c r="C183">
        <f t="shared" si="3"/>
        <v>2016</v>
      </c>
      <c r="D183" s="11">
        <f t="shared" si="4"/>
        <v>124</v>
      </c>
      <c r="E183" t="s">
        <v>6</v>
      </c>
      <c r="F183">
        <v>105.7</v>
      </c>
    </row>
    <row r="184" spans="1:6" hidden="1" x14ac:dyDescent="0.25">
      <c r="A184" t="s">
        <v>7</v>
      </c>
      <c r="B184" s="2">
        <v>42493</v>
      </c>
      <c r="C184">
        <f t="shared" si="3"/>
        <v>2016</v>
      </c>
      <c r="D184" s="11">
        <f t="shared" si="4"/>
        <v>124</v>
      </c>
      <c r="E184" t="s">
        <v>6</v>
      </c>
      <c r="F184">
        <v>122.2</v>
      </c>
    </row>
    <row r="185" spans="1:6" hidden="1" x14ac:dyDescent="0.25">
      <c r="A185" t="s">
        <v>7</v>
      </c>
      <c r="B185" s="2">
        <v>42510</v>
      </c>
      <c r="C185">
        <f t="shared" si="3"/>
        <v>2016</v>
      </c>
      <c r="D185" s="11">
        <f t="shared" si="4"/>
        <v>141</v>
      </c>
      <c r="E185" t="s">
        <v>6</v>
      </c>
      <c r="F185">
        <v>106.7</v>
      </c>
    </row>
    <row r="186" spans="1:6" hidden="1" x14ac:dyDescent="0.25">
      <c r="A186" t="s">
        <v>7</v>
      </c>
      <c r="B186" s="2">
        <v>42510</v>
      </c>
      <c r="C186">
        <f t="shared" si="3"/>
        <v>2016</v>
      </c>
      <c r="D186" s="11">
        <f t="shared" si="4"/>
        <v>141</v>
      </c>
      <c r="E186" t="s">
        <v>6</v>
      </c>
      <c r="F186">
        <v>123.3</v>
      </c>
    </row>
    <row r="187" spans="1:6" hidden="1" x14ac:dyDescent="0.25">
      <c r="A187" t="s">
        <v>7</v>
      </c>
      <c r="B187" s="2">
        <v>42521</v>
      </c>
      <c r="C187">
        <f t="shared" ref="C187:C249" si="5">YEAR(B187)</f>
        <v>2016</v>
      </c>
      <c r="D187" s="11">
        <f t="shared" si="4"/>
        <v>152</v>
      </c>
      <c r="E187" t="s">
        <v>6</v>
      </c>
      <c r="F187">
        <v>103.3</v>
      </c>
    </row>
    <row r="188" spans="1:6" hidden="1" x14ac:dyDescent="0.25">
      <c r="A188" t="s">
        <v>7</v>
      </c>
      <c r="B188" s="2">
        <v>42521</v>
      </c>
      <c r="C188">
        <f t="shared" si="5"/>
        <v>2016</v>
      </c>
      <c r="D188" s="11">
        <f t="shared" si="4"/>
        <v>152</v>
      </c>
      <c r="E188" t="s">
        <v>6</v>
      </c>
      <c r="F188">
        <v>122.6</v>
      </c>
    </row>
    <row r="189" spans="1:6" hidden="1" x14ac:dyDescent="0.25">
      <c r="A189" t="s">
        <v>7</v>
      </c>
      <c r="B189" s="2">
        <v>42535</v>
      </c>
      <c r="C189">
        <f t="shared" si="5"/>
        <v>2016</v>
      </c>
      <c r="D189" s="11">
        <f t="shared" si="4"/>
        <v>166</v>
      </c>
      <c r="E189" t="s">
        <v>6</v>
      </c>
      <c r="F189">
        <v>106.7</v>
      </c>
    </row>
    <row r="190" spans="1:6" hidden="1" x14ac:dyDescent="0.25">
      <c r="A190" t="s">
        <v>7</v>
      </c>
      <c r="B190" s="2">
        <v>42535</v>
      </c>
      <c r="C190">
        <f t="shared" si="5"/>
        <v>2016</v>
      </c>
      <c r="D190" s="11">
        <f t="shared" si="4"/>
        <v>166</v>
      </c>
      <c r="E190" t="s">
        <v>6</v>
      </c>
      <c r="F190">
        <v>118.4</v>
      </c>
    </row>
    <row r="191" spans="1:6" hidden="1" x14ac:dyDescent="0.25">
      <c r="A191" t="s">
        <v>7</v>
      </c>
      <c r="B191" s="2">
        <v>42752</v>
      </c>
      <c r="C191">
        <f t="shared" si="5"/>
        <v>2017</v>
      </c>
      <c r="D191" s="11">
        <f t="shared" si="4"/>
        <v>17</v>
      </c>
      <c r="E191" t="s">
        <v>6</v>
      </c>
      <c r="F191">
        <v>64.3</v>
      </c>
    </row>
    <row r="192" spans="1:6" hidden="1" x14ac:dyDescent="0.25">
      <c r="A192" t="s">
        <v>7</v>
      </c>
      <c r="B192" s="2">
        <v>42752</v>
      </c>
      <c r="C192">
        <f t="shared" si="5"/>
        <v>2017</v>
      </c>
      <c r="D192" s="11">
        <f t="shared" si="4"/>
        <v>17</v>
      </c>
      <c r="E192" t="s">
        <v>6</v>
      </c>
      <c r="F192">
        <v>54.6</v>
      </c>
    </row>
    <row r="193" spans="1:6" hidden="1" x14ac:dyDescent="0.25">
      <c r="A193" t="s">
        <v>7</v>
      </c>
      <c r="B193" s="2">
        <v>42787</v>
      </c>
      <c r="C193">
        <f t="shared" si="5"/>
        <v>2017</v>
      </c>
      <c r="D193" s="11">
        <f t="shared" si="4"/>
        <v>52</v>
      </c>
      <c r="E193" t="s">
        <v>6</v>
      </c>
      <c r="F193">
        <v>86</v>
      </c>
    </row>
    <row r="194" spans="1:6" hidden="1" x14ac:dyDescent="0.25">
      <c r="A194" t="s">
        <v>7</v>
      </c>
      <c r="B194" s="2">
        <v>42787</v>
      </c>
      <c r="C194">
        <f t="shared" si="5"/>
        <v>2017</v>
      </c>
      <c r="D194" s="11">
        <f t="shared" si="4"/>
        <v>52</v>
      </c>
      <c r="E194" t="s">
        <v>6</v>
      </c>
      <c r="F194">
        <v>82.6</v>
      </c>
    </row>
    <row r="195" spans="1:6" hidden="1" x14ac:dyDescent="0.25">
      <c r="A195" t="s">
        <v>7</v>
      </c>
      <c r="B195" s="2">
        <v>42801</v>
      </c>
      <c r="C195">
        <f t="shared" si="5"/>
        <v>2017</v>
      </c>
      <c r="D195" s="11">
        <f t="shared" ref="D195:D258" si="6">B195-DATE(YEAR(B195),1,0)</f>
        <v>66</v>
      </c>
      <c r="E195" t="s">
        <v>6</v>
      </c>
      <c r="F195">
        <v>96.5</v>
      </c>
    </row>
    <row r="196" spans="1:6" hidden="1" x14ac:dyDescent="0.25">
      <c r="A196" t="s">
        <v>7</v>
      </c>
      <c r="B196" s="2">
        <v>42801</v>
      </c>
      <c r="C196">
        <f t="shared" si="5"/>
        <v>2017</v>
      </c>
      <c r="D196" s="11">
        <f t="shared" si="6"/>
        <v>66</v>
      </c>
      <c r="E196" t="s">
        <v>6</v>
      </c>
      <c r="F196">
        <v>88.4</v>
      </c>
    </row>
    <row r="197" spans="1:6" hidden="1" x14ac:dyDescent="0.25">
      <c r="A197" t="s">
        <v>7</v>
      </c>
      <c r="B197" s="2">
        <v>42815</v>
      </c>
      <c r="C197">
        <f t="shared" si="5"/>
        <v>2017</v>
      </c>
      <c r="D197" s="11">
        <f t="shared" si="6"/>
        <v>80</v>
      </c>
      <c r="E197" t="s">
        <v>6</v>
      </c>
      <c r="F197">
        <v>102.8</v>
      </c>
    </row>
    <row r="198" spans="1:6" hidden="1" x14ac:dyDescent="0.25">
      <c r="A198" t="s">
        <v>7</v>
      </c>
      <c r="B198" s="2">
        <v>42815</v>
      </c>
      <c r="C198">
        <f t="shared" si="5"/>
        <v>2017</v>
      </c>
      <c r="D198" s="11">
        <f t="shared" si="6"/>
        <v>80</v>
      </c>
      <c r="E198" t="s">
        <v>6</v>
      </c>
      <c r="F198">
        <v>93.6</v>
      </c>
    </row>
    <row r="199" spans="1:6" hidden="1" x14ac:dyDescent="0.25">
      <c r="A199" t="s">
        <v>7</v>
      </c>
      <c r="B199" s="2">
        <v>42829</v>
      </c>
      <c r="C199">
        <f t="shared" si="5"/>
        <v>2017</v>
      </c>
      <c r="D199" s="11">
        <f t="shared" si="6"/>
        <v>94</v>
      </c>
      <c r="E199" t="s">
        <v>6</v>
      </c>
      <c r="F199">
        <v>117.4</v>
      </c>
    </row>
    <row r="200" spans="1:6" hidden="1" x14ac:dyDescent="0.25">
      <c r="A200" t="s">
        <v>7</v>
      </c>
      <c r="B200" s="2">
        <v>42829</v>
      </c>
      <c r="C200">
        <f t="shared" si="5"/>
        <v>2017</v>
      </c>
      <c r="D200" s="11">
        <f t="shared" si="6"/>
        <v>94</v>
      </c>
      <c r="E200" t="s">
        <v>6</v>
      </c>
      <c r="F200">
        <v>103.2</v>
      </c>
    </row>
    <row r="201" spans="1:6" hidden="1" x14ac:dyDescent="0.25">
      <c r="A201" t="s">
        <v>7</v>
      </c>
      <c r="B201" s="2">
        <v>42839</v>
      </c>
      <c r="C201">
        <f t="shared" si="5"/>
        <v>2017</v>
      </c>
      <c r="D201" s="11">
        <f t="shared" si="6"/>
        <v>104</v>
      </c>
      <c r="E201" t="s">
        <v>6</v>
      </c>
      <c r="F201">
        <v>114.5</v>
      </c>
    </row>
    <row r="202" spans="1:6" hidden="1" x14ac:dyDescent="0.25">
      <c r="A202" t="s">
        <v>7</v>
      </c>
      <c r="B202" s="2">
        <v>42839</v>
      </c>
      <c r="C202">
        <f t="shared" si="5"/>
        <v>2017</v>
      </c>
      <c r="D202" s="11">
        <f t="shared" si="6"/>
        <v>104</v>
      </c>
      <c r="E202" t="s">
        <v>6</v>
      </c>
      <c r="F202">
        <v>108.9</v>
      </c>
    </row>
    <row r="203" spans="1:6" hidden="1" x14ac:dyDescent="0.25">
      <c r="A203" t="s">
        <v>7</v>
      </c>
      <c r="B203" s="2">
        <v>42844</v>
      </c>
      <c r="C203">
        <f t="shared" si="5"/>
        <v>2017</v>
      </c>
      <c r="D203" s="11">
        <f t="shared" si="6"/>
        <v>109</v>
      </c>
      <c r="E203" t="s">
        <v>6</v>
      </c>
      <c r="F203">
        <v>118.9</v>
      </c>
    </row>
    <row r="204" spans="1:6" hidden="1" x14ac:dyDescent="0.25">
      <c r="A204" t="s">
        <v>7</v>
      </c>
      <c r="B204" s="2">
        <v>42844</v>
      </c>
      <c r="C204">
        <f t="shared" si="5"/>
        <v>2017</v>
      </c>
      <c r="D204" s="11">
        <f t="shared" si="6"/>
        <v>109</v>
      </c>
      <c r="E204" t="s">
        <v>6</v>
      </c>
      <c r="F204">
        <v>111.8</v>
      </c>
    </row>
    <row r="205" spans="1:6" hidden="1" x14ac:dyDescent="0.25">
      <c r="A205" t="s">
        <v>7</v>
      </c>
      <c r="B205" s="2">
        <v>42850</v>
      </c>
      <c r="C205">
        <f t="shared" si="5"/>
        <v>2017</v>
      </c>
      <c r="D205" s="11">
        <f t="shared" si="6"/>
        <v>115</v>
      </c>
      <c r="E205" t="s">
        <v>6</v>
      </c>
      <c r="F205">
        <v>110.2</v>
      </c>
    </row>
    <row r="206" spans="1:6" hidden="1" x14ac:dyDescent="0.25">
      <c r="A206" t="s">
        <v>7</v>
      </c>
      <c r="B206" s="2">
        <v>42853</v>
      </c>
      <c r="C206">
        <f t="shared" si="5"/>
        <v>2017</v>
      </c>
      <c r="D206" s="11">
        <f t="shared" si="6"/>
        <v>118</v>
      </c>
      <c r="E206" t="s">
        <v>6</v>
      </c>
      <c r="F206">
        <v>124.6</v>
      </c>
    </row>
    <row r="207" spans="1:6" hidden="1" x14ac:dyDescent="0.25">
      <c r="A207" t="s">
        <v>7</v>
      </c>
      <c r="B207" s="2">
        <v>42858</v>
      </c>
      <c r="C207">
        <f t="shared" si="5"/>
        <v>2017</v>
      </c>
      <c r="D207" s="11">
        <f t="shared" si="6"/>
        <v>123</v>
      </c>
      <c r="E207" t="s">
        <v>6</v>
      </c>
      <c r="F207">
        <v>120.5</v>
      </c>
    </row>
    <row r="208" spans="1:6" hidden="1" x14ac:dyDescent="0.25">
      <c r="A208" t="s">
        <v>7</v>
      </c>
      <c r="B208" s="2">
        <v>42858</v>
      </c>
      <c r="C208">
        <f t="shared" si="5"/>
        <v>2017</v>
      </c>
      <c r="D208" s="11">
        <f t="shared" si="6"/>
        <v>123</v>
      </c>
      <c r="E208" t="s">
        <v>6</v>
      </c>
      <c r="F208">
        <v>109.1</v>
      </c>
    </row>
    <row r="209" spans="1:6" hidden="1" x14ac:dyDescent="0.25">
      <c r="A209" t="s">
        <v>7</v>
      </c>
      <c r="B209" s="2">
        <v>42871</v>
      </c>
      <c r="C209">
        <f t="shared" si="5"/>
        <v>2017</v>
      </c>
      <c r="D209" s="11">
        <f t="shared" si="6"/>
        <v>136</v>
      </c>
      <c r="E209" t="s">
        <v>6</v>
      </c>
      <c r="F209">
        <v>123.6</v>
      </c>
    </row>
    <row r="210" spans="1:6" hidden="1" x14ac:dyDescent="0.25">
      <c r="A210" t="s">
        <v>7</v>
      </c>
      <c r="B210" s="2">
        <v>42871</v>
      </c>
      <c r="C210">
        <f t="shared" si="5"/>
        <v>2017</v>
      </c>
      <c r="D210" s="11">
        <f t="shared" si="6"/>
        <v>136</v>
      </c>
      <c r="E210" t="s">
        <v>6</v>
      </c>
      <c r="F210">
        <v>117.7</v>
      </c>
    </row>
    <row r="211" spans="1:6" hidden="1" x14ac:dyDescent="0.25">
      <c r="A211" t="s">
        <v>7</v>
      </c>
      <c r="B211" s="2">
        <v>42885</v>
      </c>
      <c r="C211">
        <f t="shared" si="5"/>
        <v>2017</v>
      </c>
      <c r="D211" s="11">
        <f t="shared" si="6"/>
        <v>150</v>
      </c>
      <c r="E211" t="s">
        <v>6</v>
      </c>
      <c r="F211">
        <v>121.5</v>
      </c>
    </row>
    <row r="212" spans="1:6" hidden="1" x14ac:dyDescent="0.25">
      <c r="A212" t="s">
        <v>7</v>
      </c>
      <c r="B212" s="2">
        <v>42885</v>
      </c>
      <c r="C212">
        <f t="shared" si="5"/>
        <v>2017</v>
      </c>
      <c r="D212" s="11">
        <f t="shared" si="6"/>
        <v>150</v>
      </c>
      <c r="E212" t="s">
        <v>6</v>
      </c>
      <c r="F212">
        <v>118.8</v>
      </c>
    </row>
    <row r="213" spans="1:6" hidden="1" x14ac:dyDescent="0.25">
      <c r="A213" t="s">
        <v>7</v>
      </c>
      <c r="B213" s="2">
        <v>42893</v>
      </c>
      <c r="C213">
        <f t="shared" si="5"/>
        <v>2017</v>
      </c>
      <c r="D213" s="11">
        <f t="shared" si="6"/>
        <v>158</v>
      </c>
      <c r="E213" t="s">
        <v>6</v>
      </c>
      <c r="F213">
        <v>122.4</v>
      </c>
    </row>
    <row r="214" spans="1:6" hidden="1" x14ac:dyDescent="0.25">
      <c r="A214" t="s">
        <v>7</v>
      </c>
      <c r="B214" s="2">
        <v>42893</v>
      </c>
      <c r="C214">
        <f t="shared" si="5"/>
        <v>2017</v>
      </c>
      <c r="D214" s="11">
        <f t="shared" si="6"/>
        <v>158</v>
      </c>
      <c r="E214" t="s">
        <v>6</v>
      </c>
      <c r="F214">
        <v>113</v>
      </c>
    </row>
    <row r="215" spans="1:6" hidden="1" x14ac:dyDescent="0.25">
      <c r="A215" t="s">
        <v>7</v>
      </c>
      <c r="B215" s="2">
        <v>42907</v>
      </c>
      <c r="C215">
        <f t="shared" si="5"/>
        <v>2017</v>
      </c>
      <c r="D215" s="11">
        <f t="shared" si="6"/>
        <v>172</v>
      </c>
      <c r="E215" t="s">
        <v>6</v>
      </c>
      <c r="F215">
        <v>115.9</v>
      </c>
    </row>
    <row r="216" spans="1:6" hidden="1" x14ac:dyDescent="0.25">
      <c r="A216" t="s">
        <v>7</v>
      </c>
      <c r="B216" s="2">
        <v>42907</v>
      </c>
      <c r="C216">
        <f t="shared" si="5"/>
        <v>2017</v>
      </c>
      <c r="D216" s="11">
        <f t="shared" si="6"/>
        <v>172</v>
      </c>
      <c r="E216" t="s">
        <v>6</v>
      </c>
      <c r="F216">
        <v>117.7</v>
      </c>
    </row>
    <row r="217" spans="1:6" hidden="1" x14ac:dyDescent="0.25">
      <c r="A217" t="s">
        <v>7</v>
      </c>
      <c r="B217" s="2">
        <v>43116</v>
      </c>
      <c r="C217">
        <f t="shared" si="5"/>
        <v>2018</v>
      </c>
      <c r="D217" s="11">
        <f t="shared" si="6"/>
        <v>16</v>
      </c>
      <c r="E217" t="s">
        <v>6</v>
      </c>
      <c r="F217">
        <v>62.4</v>
      </c>
    </row>
    <row r="218" spans="1:6" hidden="1" x14ac:dyDescent="0.25">
      <c r="A218" t="s">
        <v>7</v>
      </c>
      <c r="B218" s="2">
        <v>43116</v>
      </c>
      <c r="C218">
        <f t="shared" si="5"/>
        <v>2018</v>
      </c>
      <c r="D218" s="11">
        <f t="shared" si="6"/>
        <v>16</v>
      </c>
      <c r="E218" t="s">
        <v>6</v>
      </c>
      <c r="F218">
        <v>57.1</v>
      </c>
    </row>
    <row r="219" spans="1:6" hidden="1" x14ac:dyDescent="0.25">
      <c r="A219" t="s">
        <v>7</v>
      </c>
      <c r="B219" s="2">
        <v>43151</v>
      </c>
      <c r="C219">
        <f t="shared" si="5"/>
        <v>2018</v>
      </c>
      <c r="D219" s="11">
        <f t="shared" si="6"/>
        <v>51</v>
      </c>
      <c r="E219" t="s">
        <v>6</v>
      </c>
      <c r="F219">
        <v>82.1</v>
      </c>
    </row>
    <row r="220" spans="1:6" hidden="1" x14ac:dyDescent="0.25">
      <c r="A220" t="s">
        <v>7</v>
      </c>
      <c r="B220" s="2">
        <v>43151</v>
      </c>
      <c r="C220">
        <f t="shared" si="5"/>
        <v>2018</v>
      </c>
      <c r="D220" s="11">
        <f t="shared" si="6"/>
        <v>51</v>
      </c>
      <c r="E220" t="s">
        <v>6</v>
      </c>
      <c r="F220">
        <v>79.7</v>
      </c>
    </row>
    <row r="221" spans="1:6" hidden="1" x14ac:dyDescent="0.25">
      <c r="A221" t="s">
        <v>7</v>
      </c>
      <c r="B221" s="2">
        <v>43165</v>
      </c>
      <c r="C221">
        <f t="shared" si="5"/>
        <v>2018</v>
      </c>
      <c r="D221" s="11">
        <f t="shared" si="6"/>
        <v>65</v>
      </c>
      <c r="E221" t="s">
        <v>6</v>
      </c>
      <c r="F221">
        <v>89.9</v>
      </c>
    </row>
    <row r="222" spans="1:6" hidden="1" x14ac:dyDescent="0.25">
      <c r="A222" t="s">
        <v>7</v>
      </c>
      <c r="B222" s="2">
        <v>43165</v>
      </c>
      <c r="C222">
        <f t="shared" si="5"/>
        <v>2018</v>
      </c>
      <c r="D222" s="11">
        <f t="shared" si="6"/>
        <v>65</v>
      </c>
      <c r="E222" t="s">
        <v>6</v>
      </c>
      <c r="F222">
        <v>87.6</v>
      </c>
    </row>
    <row r="223" spans="1:6" hidden="1" x14ac:dyDescent="0.25">
      <c r="A223" t="s">
        <v>7</v>
      </c>
      <c r="B223" s="2">
        <v>43179</v>
      </c>
      <c r="C223">
        <f t="shared" si="5"/>
        <v>2018</v>
      </c>
      <c r="D223" s="11">
        <f t="shared" si="6"/>
        <v>79</v>
      </c>
      <c r="E223" t="s">
        <v>6</v>
      </c>
      <c r="F223">
        <v>93.2</v>
      </c>
    </row>
    <row r="224" spans="1:6" hidden="1" x14ac:dyDescent="0.25">
      <c r="A224" t="s">
        <v>7</v>
      </c>
      <c r="B224" s="2">
        <v>43179</v>
      </c>
      <c r="C224">
        <f t="shared" si="5"/>
        <v>2018</v>
      </c>
      <c r="D224" s="11">
        <f t="shared" si="6"/>
        <v>79</v>
      </c>
      <c r="E224" t="s">
        <v>6</v>
      </c>
      <c r="F224">
        <v>90.1</v>
      </c>
    </row>
    <row r="225" spans="1:6" hidden="1" x14ac:dyDescent="0.25">
      <c r="A225" t="s">
        <v>7</v>
      </c>
      <c r="B225" s="2">
        <v>43195</v>
      </c>
      <c r="C225">
        <f t="shared" si="5"/>
        <v>2018</v>
      </c>
      <c r="D225" s="11">
        <f t="shared" si="6"/>
        <v>95</v>
      </c>
      <c r="E225" t="s">
        <v>6</v>
      </c>
      <c r="F225">
        <v>102.3</v>
      </c>
    </row>
    <row r="226" spans="1:6" hidden="1" x14ac:dyDescent="0.25">
      <c r="A226" t="s">
        <v>7</v>
      </c>
      <c r="B226" s="2">
        <v>43195</v>
      </c>
      <c r="C226">
        <f t="shared" si="5"/>
        <v>2018</v>
      </c>
      <c r="D226" s="11">
        <f t="shared" si="6"/>
        <v>95</v>
      </c>
      <c r="E226" t="s">
        <v>6</v>
      </c>
      <c r="F226">
        <v>98.2</v>
      </c>
    </row>
    <row r="227" spans="1:6" hidden="1" x14ac:dyDescent="0.25">
      <c r="A227" t="s">
        <v>7</v>
      </c>
      <c r="B227" s="2">
        <v>43201</v>
      </c>
      <c r="C227">
        <f t="shared" si="5"/>
        <v>2018</v>
      </c>
      <c r="D227" s="11">
        <f t="shared" si="6"/>
        <v>101</v>
      </c>
      <c r="E227" t="s">
        <v>6</v>
      </c>
      <c r="F227">
        <v>105.5</v>
      </c>
    </row>
    <row r="228" spans="1:6" hidden="1" x14ac:dyDescent="0.25">
      <c r="A228" t="s">
        <v>7</v>
      </c>
      <c r="B228" s="2">
        <v>43201</v>
      </c>
      <c r="C228">
        <f t="shared" si="5"/>
        <v>2018</v>
      </c>
      <c r="D228" s="11">
        <f t="shared" si="6"/>
        <v>101</v>
      </c>
      <c r="E228" t="s">
        <v>6</v>
      </c>
      <c r="F228">
        <v>98.8</v>
      </c>
    </row>
    <row r="229" spans="1:6" hidden="1" x14ac:dyDescent="0.25">
      <c r="A229" t="s">
        <v>7</v>
      </c>
      <c r="B229" s="2">
        <v>43209</v>
      </c>
      <c r="C229">
        <f t="shared" si="5"/>
        <v>2018</v>
      </c>
      <c r="D229" s="11">
        <f t="shared" si="6"/>
        <v>109</v>
      </c>
      <c r="E229" t="s">
        <v>6</v>
      </c>
      <c r="F229">
        <v>110</v>
      </c>
    </row>
    <row r="230" spans="1:6" hidden="1" x14ac:dyDescent="0.25">
      <c r="A230" t="s">
        <v>7</v>
      </c>
      <c r="B230" s="2">
        <v>43209</v>
      </c>
      <c r="C230">
        <f t="shared" si="5"/>
        <v>2018</v>
      </c>
      <c r="D230" s="11">
        <f t="shared" si="6"/>
        <v>109</v>
      </c>
      <c r="E230" t="s">
        <v>6</v>
      </c>
      <c r="F230">
        <v>99.3</v>
      </c>
    </row>
    <row r="231" spans="1:6" hidden="1" x14ac:dyDescent="0.25">
      <c r="A231" t="s">
        <v>7</v>
      </c>
      <c r="B231" s="2">
        <v>43215</v>
      </c>
      <c r="C231">
        <f t="shared" si="5"/>
        <v>2018</v>
      </c>
      <c r="D231" s="11">
        <f t="shared" si="6"/>
        <v>115</v>
      </c>
      <c r="E231" t="s">
        <v>6</v>
      </c>
      <c r="F231">
        <v>113.2</v>
      </c>
    </row>
    <row r="232" spans="1:6" hidden="1" x14ac:dyDescent="0.25">
      <c r="A232" t="s">
        <v>7</v>
      </c>
      <c r="B232" s="2">
        <v>43215</v>
      </c>
      <c r="C232">
        <f t="shared" si="5"/>
        <v>2018</v>
      </c>
      <c r="D232" s="11">
        <f t="shared" si="6"/>
        <v>115</v>
      </c>
      <c r="E232" t="s">
        <v>6</v>
      </c>
      <c r="F232">
        <v>106.4</v>
      </c>
    </row>
    <row r="233" spans="1:6" hidden="1" x14ac:dyDescent="0.25">
      <c r="A233" t="s">
        <v>7</v>
      </c>
      <c r="B233" s="2">
        <v>43221</v>
      </c>
      <c r="C233">
        <f t="shared" si="5"/>
        <v>2018</v>
      </c>
      <c r="D233" s="11">
        <f t="shared" si="6"/>
        <v>121</v>
      </c>
      <c r="E233" t="s">
        <v>6</v>
      </c>
      <c r="F233">
        <v>117.6</v>
      </c>
    </row>
    <row r="234" spans="1:6" hidden="1" x14ac:dyDescent="0.25">
      <c r="A234" t="s">
        <v>7</v>
      </c>
      <c r="B234" s="2">
        <v>43221</v>
      </c>
      <c r="C234">
        <f t="shared" si="5"/>
        <v>2018</v>
      </c>
      <c r="D234" s="11">
        <f t="shared" si="6"/>
        <v>121</v>
      </c>
      <c r="E234" t="s">
        <v>6</v>
      </c>
      <c r="F234">
        <v>109</v>
      </c>
    </row>
    <row r="235" spans="1:6" hidden="1" x14ac:dyDescent="0.25">
      <c r="A235" t="s">
        <v>7</v>
      </c>
      <c r="B235" s="2">
        <v>43235</v>
      </c>
      <c r="C235">
        <f t="shared" si="5"/>
        <v>2018</v>
      </c>
      <c r="D235" s="11">
        <f t="shared" si="6"/>
        <v>135</v>
      </c>
      <c r="E235" t="s">
        <v>6</v>
      </c>
      <c r="F235">
        <v>115.1</v>
      </c>
    </row>
    <row r="236" spans="1:6" hidden="1" x14ac:dyDescent="0.25">
      <c r="A236" t="s">
        <v>7</v>
      </c>
      <c r="B236" s="2">
        <v>43235</v>
      </c>
      <c r="C236">
        <f t="shared" si="5"/>
        <v>2018</v>
      </c>
      <c r="D236" s="11">
        <f t="shared" si="6"/>
        <v>135</v>
      </c>
      <c r="E236" t="s">
        <v>6</v>
      </c>
      <c r="F236">
        <v>108.3</v>
      </c>
    </row>
    <row r="237" spans="1:6" hidden="1" x14ac:dyDescent="0.25">
      <c r="A237" t="s">
        <v>7</v>
      </c>
      <c r="B237" s="2">
        <v>43249</v>
      </c>
      <c r="C237">
        <f t="shared" si="5"/>
        <v>2018</v>
      </c>
      <c r="D237" s="11">
        <f t="shared" si="6"/>
        <v>149</v>
      </c>
      <c r="E237" t="s">
        <v>6</v>
      </c>
      <c r="F237">
        <v>114.4</v>
      </c>
    </row>
    <row r="238" spans="1:6" hidden="1" x14ac:dyDescent="0.25">
      <c r="A238" t="s">
        <v>7</v>
      </c>
      <c r="B238" s="2">
        <v>43249</v>
      </c>
      <c r="C238">
        <f t="shared" si="5"/>
        <v>2018</v>
      </c>
      <c r="D238" s="11">
        <f t="shared" si="6"/>
        <v>149</v>
      </c>
      <c r="E238" t="s">
        <v>6</v>
      </c>
      <c r="F238">
        <v>105.5</v>
      </c>
    </row>
    <row r="239" spans="1:6" hidden="1" x14ac:dyDescent="0.25">
      <c r="A239" t="s">
        <v>7</v>
      </c>
      <c r="B239" s="2">
        <v>43479</v>
      </c>
      <c r="C239">
        <f t="shared" si="5"/>
        <v>2019</v>
      </c>
      <c r="D239" s="11">
        <f t="shared" si="6"/>
        <v>14</v>
      </c>
      <c r="E239" t="s">
        <v>6</v>
      </c>
      <c r="F239">
        <v>52.3</v>
      </c>
    </row>
    <row r="240" spans="1:6" hidden="1" x14ac:dyDescent="0.25">
      <c r="A240" t="s">
        <v>7</v>
      </c>
      <c r="B240" s="2">
        <v>43515</v>
      </c>
      <c r="C240">
        <f t="shared" si="5"/>
        <v>2019</v>
      </c>
      <c r="D240" s="11">
        <f t="shared" si="6"/>
        <v>50</v>
      </c>
      <c r="E240" t="s">
        <v>6</v>
      </c>
      <c r="F240">
        <v>72.099999999999994</v>
      </c>
    </row>
    <row r="241" spans="1:6" hidden="1" x14ac:dyDescent="0.25">
      <c r="A241" t="s">
        <v>7</v>
      </c>
      <c r="B241" s="2">
        <v>43529</v>
      </c>
      <c r="C241">
        <f t="shared" si="5"/>
        <v>2019</v>
      </c>
      <c r="D241" s="11">
        <f t="shared" si="6"/>
        <v>64</v>
      </c>
      <c r="E241" t="s">
        <v>6</v>
      </c>
      <c r="F241">
        <v>78.900000000000006</v>
      </c>
    </row>
    <row r="242" spans="1:6" hidden="1" x14ac:dyDescent="0.25">
      <c r="A242" t="s">
        <v>7</v>
      </c>
      <c r="B242" s="2">
        <v>43543</v>
      </c>
      <c r="C242">
        <f t="shared" si="5"/>
        <v>2019</v>
      </c>
      <c r="D242" s="11">
        <f t="shared" si="6"/>
        <v>78</v>
      </c>
      <c r="E242" t="s">
        <v>6</v>
      </c>
      <c r="F242">
        <v>90.7</v>
      </c>
    </row>
    <row r="243" spans="1:6" hidden="1" x14ac:dyDescent="0.25">
      <c r="A243" t="s">
        <v>7</v>
      </c>
      <c r="B243" s="2">
        <v>43557</v>
      </c>
      <c r="C243">
        <f t="shared" si="5"/>
        <v>2019</v>
      </c>
      <c r="D243" s="11">
        <f t="shared" si="6"/>
        <v>92</v>
      </c>
      <c r="E243" t="s">
        <v>6</v>
      </c>
      <c r="F243">
        <v>98</v>
      </c>
    </row>
    <row r="244" spans="1:6" hidden="1" x14ac:dyDescent="0.25">
      <c r="A244" t="s">
        <v>7</v>
      </c>
      <c r="B244" s="2">
        <v>43564</v>
      </c>
      <c r="C244">
        <f t="shared" si="5"/>
        <v>2019</v>
      </c>
      <c r="D244" s="11">
        <f t="shared" si="6"/>
        <v>99</v>
      </c>
      <c r="E244" t="s">
        <v>6</v>
      </c>
      <c r="F244">
        <v>100.2</v>
      </c>
    </row>
    <row r="245" spans="1:6" hidden="1" x14ac:dyDescent="0.25">
      <c r="A245" t="s">
        <v>7</v>
      </c>
      <c r="B245" s="2">
        <v>43570</v>
      </c>
      <c r="C245">
        <f t="shared" si="5"/>
        <v>2019</v>
      </c>
      <c r="D245" s="11">
        <f t="shared" si="6"/>
        <v>105</v>
      </c>
      <c r="E245" t="s">
        <v>6</v>
      </c>
      <c r="F245">
        <v>104.2</v>
      </c>
    </row>
    <row r="246" spans="1:6" hidden="1" x14ac:dyDescent="0.25">
      <c r="A246" t="s">
        <v>7</v>
      </c>
      <c r="B246" s="2">
        <v>43577</v>
      </c>
      <c r="C246">
        <f t="shared" si="5"/>
        <v>2019</v>
      </c>
      <c r="D246" s="11">
        <f t="shared" si="6"/>
        <v>112</v>
      </c>
      <c r="E246" t="s">
        <v>6</v>
      </c>
      <c r="F246">
        <v>100.3</v>
      </c>
    </row>
    <row r="247" spans="1:6" hidden="1" x14ac:dyDescent="0.25">
      <c r="A247" t="s">
        <v>7</v>
      </c>
      <c r="B247" s="2">
        <v>43584</v>
      </c>
      <c r="C247">
        <f t="shared" si="5"/>
        <v>2019</v>
      </c>
      <c r="D247" s="11">
        <f t="shared" si="6"/>
        <v>119</v>
      </c>
      <c r="E247" t="s">
        <v>6</v>
      </c>
      <c r="F247">
        <v>93.8</v>
      </c>
    </row>
    <row r="248" spans="1:6" hidden="1" x14ac:dyDescent="0.25">
      <c r="A248" t="s">
        <v>7</v>
      </c>
      <c r="B248" s="2">
        <v>43613</v>
      </c>
      <c r="C248">
        <f t="shared" si="5"/>
        <v>2019</v>
      </c>
      <c r="D248" s="11">
        <f t="shared" si="6"/>
        <v>148</v>
      </c>
      <c r="E248" t="s">
        <v>6</v>
      </c>
      <c r="F248">
        <v>105.9</v>
      </c>
    </row>
    <row r="249" spans="1:6" hidden="1" x14ac:dyDescent="0.25">
      <c r="A249" t="s">
        <v>7</v>
      </c>
      <c r="B249" s="2">
        <v>43850</v>
      </c>
      <c r="C249">
        <f t="shared" si="5"/>
        <v>2020</v>
      </c>
      <c r="D249" s="11">
        <f t="shared" si="6"/>
        <v>20</v>
      </c>
      <c r="E249" t="s">
        <v>6</v>
      </c>
      <c r="F249">
        <v>58.7</v>
      </c>
    </row>
    <row r="250" spans="1:6" hidden="1" x14ac:dyDescent="0.25">
      <c r="A250" t="s">
        <v>7</v>
      </c>
      <c r="B250" s="2">
        <v>43880</v>
      </c>
      <c r="C250">
        <f t="shared" ref="C250:C312" si="7">YEAR(B250)</f>
        <v>2020</v>
      </c>
      <c r="D250" s="11">
        <f t="shared" si="6"/>
        <v>50</v>
      </c>
      <c r="E250" t="s">
        <v>6</v>
      </c>
      <c r="F250">
        <v>79.599999999999994</v>
      </c>
    </row>
    <row r="251" spans="1:6" hidden="1" x14ac:dyDescent="0.25">
      <c r="A251" t="s">
        <v>7</v>
      </c>
      <c r="B251" s="2">
        <v>43892</v>
      </c>
      <c r="C251">
        <f t="shared" si="7"/>
        <v>2020</v>
      </c>
      <c r="D251" s="11">
        <f t="shared" si="6"/>
        <v>62</v>
      </c>
      <c r="E251" t="s">
        <v>6</v>
      </c>
      <c r="F251">
        <v>77.900000000000006</v>
      </c>
    </row>
    <row r="252" spans="1:6" hidden="1" x14ac:dyDescent="0.25">
      <c r="A252" t="s">
        <v>7</v>
      </c>
      <c r="B252" s="2">
        <v>43906</v>
      </c>
      <c r="C252">
        <f t="shared" si="7"/>
        <v>2020</v>
      </c>
      <c r="D252" s="11">
        <f t="shared" si="6"/>
        <v>76</v>
      </c>
      <c r="E252" t="s">
        <v>6</v>
      </c>
      <c r="F252">
        <v>88</v>
      </c>
    </row>
    <row r="253" spans="1:6" hidden="1" x14ac:dyDescent="0.25">
      <c r="A253" t="s">
        <v>7</v>
      </c>
      <c r="B253" s="2">
        <v>43950</v>
      </c>
      <c r="C253">
        <f t="shared" si="7"/>
        <v>2020</v>
      </c>
      <c r="D253" s="11">
        <f t="shared" si="6"/>
        <v>120</v>
      </c>
      <c r="E253" t="s">
        <v>6</v>
      </c>
      <c r="F253">
        <v>104.6</v>
      </c>
    </row>
    <row r="254" spans="1:6" hidden="1" x14ac:dyDescent="0.25">
      <c r="A254" t="s">
        <v>7</v>
      </c>
      <c r="B254" s="2">
        <v>43963</v>
      </c>
      <c r="C254">
        <f t="shared" si="7"/>
        <v>2020</v>
      </c>
      <c r="D254" s="11">
        <f t="shared" si="6"/>
        <v>133</v>
      </c>
      <c r="E254" t="s">
        <v>6</v>
      </c>
      <c r="F254">
        <v>103.2</v>
      </c>
    </row>
    <row r="255" spans="1:6" hidden="1" x14ac:dyDescent="0.25">
      <c r="A255" t="s">
        <v>7</v>
      </c>
      <c r="B255" s="2">
        <v>43977</v>
      </c>
      <c r="C255">
        <f t="shared" si="7"/>
        <v>2020</v>
      </c>
      <c r="D255" s="11">
        <f t="shared" si="6"/>
        <v>147</v>
      </c>
      <c r="E255" t="s">
        <v>6</v>
      </c>
      <c r="F255">
        <v>101.2</v>
      </c>
    </row>
    <row r="256" spans="1:6" hidden="1" x14ac:dyDescent="0.25">
      <c r="A256" t="s">
        <v>7</v>
      </c>
      <c r="B256" s="2">
        <v>44223</v>
      </c>
      <c r="C256">
        <f t="shared" si="7"/>
        <v>2021</v>
      </c>
      <c r="D256" s="11">
        <f t="shared" si="6"/>
        <v>27</v>
      </c>
      <c r="E256" t="s">
        <v>6</v>
      </c>
      <c r="F256">
        <v>70.474939759999998</v>
      </c>
    </row>
    <row r="257" spans="1:6" hidden="1" x14ac:dyDescent="0.25">
      <c r="A257" t="s">
        <v>7</v>
      </c>
      <c r="B257" s="2">
        <v>44244</v>
      </c>
      <c r="C257">
        <f t="shared" si="7"/>
        <v>2021</v>
      </c>
      <c r="D257" s="11">
        <f t="shared" si="6"/>
        <v>48</v>
      </c>
      <c r="E257" t="s">
        <v>6</v>
      </c>
      <c r="F257">
        <v>78.175444440000007</v>
      </c>
    </row>
    <row r="258" spans="1:6" hidden="1" x14ac:dyDescent="0.25">
      <c r="A258" t="s">
        <v>7</v>
      </c>
      <c r="B258" s="2">
        <v>44258</v>
      </c>
      <c r="C258">
        <f t="shared" si="7"/>
        <v>2021</v>
      </c>
      <c r="D258" s="11">
        <f t="shared" si="6"/>
        <v>62</v>
      </c>
      <c r="E258" t="s">
        <v>6</v>
      </c>
      <c r="F258">
        <v>89.277777779999994</v>
      </c>
    </row>
    <row r="259" spans="1:6" hidden="1" x14ac:dyDescent="0.25">
      <c r="A259" t="s">
        <v>7</v>
      </c>
      <c r="B259" s="2">
        <v>44272</v>
      </c>
      <c r="C259">
        <f t="shared" si="7"/>
        <v>2021</v>
      </c>
      <c r="D259" s="11">
        <f t="shared" ref="D259:D322" si="8">B259-DATE(YEAR(B259),1,0)</f>
        <v>76</v>
      </c>
      <c r="E259" t="s">
        <v>6</v>
      </c>
      <c r="F259">
        <v>96.960333329999997</v>
      </c>
    </row>
    <row r="260" spans="1:6" hidden="1" x14ac:dyDescent="0.25">
      <c r="A260" t="s">
        <v>7</v>
      </c>
      <c r="B260" s="2">
        <v>44286</v>
      </c>
      <c r="C260">
        <f t="shared" si="7"/>
        <v>2021</v>
      </c>
      <c r="D260" s="11">
        <f t="shared" si="8"/>
        <v>90</v>
      </c>
      <c r="E260" t="s">
        <v>6</v>
      </c>
      <c r="F260">
        <v>105.0482222</v>
      </c>
    </row>
    <row r="261" spans="1:6" hidden="1" x14ac:dyDescent="0.25">
      <c r="A261" t="s">
        <v>7</v>
      </c>
      <c r="B261" s="2">
        <v>44300</v>
      </c>
      <c r="C261">
        <f t="shared" si="7"/>
        <v>2021</v>
      </c>
      <c r="D261" s="11">
        <f t="shared" si="8"/>
        <v>104</v>
      </c>
      <c r="E261" t="s">
        <v>6</v>
      </c>
      <c r="F261">
        <v>110.81411110000001</v>
      </c>
    </row>
    <row r="262" spans="1:6" hidden="1" x14ac:dyDescent="0.25">
      <c r="A262" t="s">
        <v>7</v>
      </c>
      <c r="B262" s="2">
        <v>44307</v>
      </c>
      <c r="C262">
        <f t="shared" si="7"/>
        <v>2021</v>
      </c>
      <c r="D262" s="11">
        <f t="shared" si="8"/>
        <v>111</v>
      </c>
      <c r="E262" t="s">
        <v>6</v>
      </c>
      <c r="F262">
        <v>112.8977778</v>
      </c>
    </row>
    <row r="263" spans="1:6" hidden="1" x14ac:dyDescent="0.25">
      <c r="A263" t="s">
        <v>7</v>
      </c>
      <c r="B263" s="2">
        <v>44315</v>
      </c>
      <c r="C263">
        <f t="shared" si="7"/>
        <v>2021</v>
      </c>
      <c r="D263" s="11">
        <f t="shared" si="8"/>
        <v>119</v>
      </c>
      <c r="E263" t="s">
        <v>6</v>
      </c>
      <c r="F263">
        <v>114.4113333</v>
      </c>
    </row>
    <row r="264" spans="1:6" hidden="1" x14ac:dyDescent="0.25">
      <c r="A264" t="s">
        <v>7</v>
      </c>
      <c r="B264" s="2">
        <v>44321</v>
      </c>
      <c r="C264">
        <f t="shared" si="7"/>
        <v>2021</v>
      </c>
      <c r="D264" s="11">
        <f t="shared" si="8"/>
        <v>125</v>
      </c>
      <c r="E264" t="s">
        <v>6</v>
      </c>
      <c r="F264">
        <v>119.33077780000001</v>
      </c>
    </row>
    <row r="265" spans="1:6" hidden="1" x14ac:dyDescent="0.25">
      <c r="A265" t="s">
        <v>7</v>
      </c>
      <c r="B265" s="2">
        <v>44335</v>
      </c>
      <c r="C265">
        <f t="shared" si="7"/>
        <v>2021</v>
      </c>
      <c r="D265" s="11">
        <f t="shared" si="8"/>
        <v>139</v>
      </c>
      <c r="E265" t="s">
        <v>6</v>
      </c>
      <c r="F265">
        <v>119.8372222</v>
      </c>
    </row>
    <row r="266" spans="1:6" hidden="1" x14ac:dyDescent="0.25">
      <c r="A266" t="s">
        <v>7</v>
      </c>
      <c r="B266" s="2">
        <v>44348</v>
      </c>
      <c r="C266">
        <f t="shared" si="7"/>
        <v>2021</v>
      </c>
      <c r="D266" s="11">
        <f t="shared" si="8"/>
        <v>152</v>
      </c>
      <c r="E266" t="s">
        <v>6</v>
      </c>
      <c r="F266">
        <v>121.1773333</v>
      </c>
    </row>
    <row r="267" spans="1:6" hidden="1" x14ac:dyDescent="0.25">
      <c r="A267" t="s">
        <v>7</v>
      </c>
      <c r="B267" s="2">
        <v>42386</v>
      </c>
      <c r="C267">
        <f t="shared" si="7"/>
        <v>2016</v>
      </c>
      <c r="D267" s="11">
        <f t="shared" si="8"/>
        <v>17</v>
      </c>
      <c r="E267" t="s">
        <v>6</v>
      </c>
      <c r="F267">
        <v>56.9</v>
      </c>
    </row>
    <row r="268" spans="1:6" hidden="1" x14ac:dyDescent="0.25">
      <c r="A268" t="s">
        <v>7</v>
      </c>
      <c r="B268" s="2">
        <v>42424</v>
      </c>
      <c r="C268">
        <f t="shared" si="7"/>
        <v>2016</v>
      </c>
      <c r="D268" s="11">
        <f t="shared" si="8"/>
        <v>55</v>
      </c>
      <c r="E268" t="s">
        <v>6</v>
      </c>
      <c r="F268">
        <v>81.2</v>
      </c>
    </row>
    <row r="269" spans="1:6" hidden="1" x14ac:dyDescent="0.25">
      <c r="A269" t="s">
        <v>7</v>
      </c>
      <c r="B269" s="2">
        <v>42439</v>
      </c>
      <c r="C269">
        <f t="shared" si="7"/>
        <v>2016</v>
      </c>
      <c r="D269" s="11">
        <f t="shared" si="8"/>
        <v>70</v>
      </c>
      <c r="E269" t="s">
        <v>6</v>
      </c>
      <c r="F269">
        <v>94.7</v>
      </c>
    </row>
    <row r="270" spans="1:6" hidden="1" x14ac:dyDescent="0.25">
      <c r="A270" t="s">
        <v>7</v>
      </c>
      <c r="B270" s="2">
        <v>42452</v>
      </c>
      <c r="C270">
        <f t="shared" si="7"/>
        <v>2016</v>
      </c>
      <c r="D270" s="11">
        <f t="shared" si="8"/>
        <v>83</v>
      </c>
      <c r="E270" t="s">
        <v>6</v>
      </c>
      <c r="F270">
        <v>97.8</v>
      </c>
    </row>
    <row r="271" spans="1:6" hidden="1" x14ac:dyDescent="0.25">
      <c r="A271" t="s">
        <v>7</v>
      </c>
      <c r="B271" s="2">
        <v>42467</v>
      </c>
      <c r="C271">
        <f t="shared" si="7"/>
        <v>2016</v>
      </c>
      <c r="D271" s="11">
        <f t="shared" si="8"/>
        <v>98</v>
      </c>
      <c r="E271" t="s">
        <v>6</v>
      </c>
      <c r="F271">
        <v>109.2</v>
      </c>
    </row>
    <row r="272" spans="1:6" hidden="1" x14ac:dyDescent="0.25">
      <c r="A272" t="s">
        <v>7</v>
      </c>
      <c r="B272" s="2">
        <v>42474</v>
      </c>
      <c r="C272">
        <f t="shared" si="7"/>
        <v>2016</v>
      </c>
      <c r="D272" s="11">
        <f t="shared" si="8"/>
        <v>105</v>
      </c>
      <c r="E272" t="s">
        <v>6</v>
      </c>
      <c r="F272">
        <v>107.3</v>
      </c>
    </row>
    <row r="273" spans="1:6" hidden="1" x14ac:dyDescent="0.25">
      <c r="A273" t="s">
        <v>7</v>
      </c>
      <c r="B273" s="2">
        <v>42482</v>
      </c>
      <c r="C273">
        <f t="shared" si="7"/>
        <v>2016</v>
      </c>
      <c r="D273" s="11">
        <f t="shared" si="8"/>
        <v>113</v>
      </c>
      <c r="E273" t="s">
        <v>6</v>
      </c>
      <c r="F273">
        <v>112.8</v>
      </c>
    </row>
    <row r="274" spans="1:6" hidden="1" x14ac:dyDescent="0.25">
      <c r="A274" t="s">
        <v>7</v>
      </c>
      <c r="B274" s="2">
        <v>42489</v>
      </c>
      <c r="C274">
        <f t="shared" si="7"/>
        <v>2016</v>
      </c>
      <c r="D274" s="11">
        <f t="shared" si="8"/>
        <v>120</v>
      </c>
      <c r="E274" t="s">
        <v>6</v>
      </c>
      <c r="F274">
        <v>110.8</v>
      </c>
    </row>
    <row r="275" spans="1:6" hidden="1" x14ac:dyDescent="0.25">
      <c r="A275" t="s">
        <v>7</v>
      </c>
      <c r="B275" s="2">
        <v>42496</v>
      </c>
      <c r="C275">
        <f t="shared" si="7"/>
        <v>2016</v>
      </c>
      <c r="D275" s="11">
        <f t="shared" si="8"/>
        <v>127</v>
      </c>
      <c r="E275" t="s">
        <v>6</v>
      </c>
      <c r="F275">
        <v>115.6</v>
      </c>
    </row>
    <row r="276" spans="1:6" hidden="1" x14ac:dyDescent="0.25">
      <c r="A276" t="s">
        <v>7</v>
      </c>
      <c r="B276" s="2">
        <v>42510</v>
      </c>
      <c r="C276">
        <f t="shared" si="7"/>
        <v>2016</v>
      </c>
      <c r="D276" s="11">
        <f t="shared" si="8"/>
        <v>141</v>
      </c>
      <c r="E276" t="s">
        <v>6</v>
      </c>
      <c r="F276">
        <v>114.4</v>
      </c>
    </row>
    <row r="277" spans="1:6" hidden="1" x14ac:dyDescent="0.25">
      <c r="A277" t="s">
        <v>7</v>
      </c>
      <c r="B277" s="2">
        <v>42523</v>
      </c>
      <c r="C277">
        <f t="shared" si="7"/>
        <v>2016</v>
      </c>
      <c r="D277" s="11">
        <f t="shared" si="8"/>
        <v>154</v>
      </c>
      <c r="E277" t="s">
        <v>6</v>
      </c>
      <c r="F277">
        <v>113.8</v>
      </c>
    </row>
    <row r="278" spans="1:6" hidden="1" x14ac:dyDescent="0.25">
      <c r="A278" t="s">
        <v>7</v>
      </c>
      <c r="B278" s="2">
        <v>42535</v>
      </c>
      <c r="C278">
        <f t="shared" si="7"/>
        <v>2016</v>
      </c>
      <c r="D278" s="11">
        <f t="shared" si="8"/>
        <v>166</v>
      </c>
      <c r="E278" t="s">
        <v>6</v>
      </c>
      <c r="F278">
        <v>119.1</v>
      </c>
    </row>
    <row r="279" spans="1:6" hidden="1" x14ac:dyDescent="0.25">
      <c r="A279" t="s">
        <v>7</v>
      </c>
      <c r="B279" s="2">
        <v>42753</v>
      </c>
      <c r="C279">
        <f t="shared" si="7"/>
        <v>2017</v>
      </c>
      <c r="D279" s="11">
        <f t="shared" si="8"/>
        <v>18</v>
      </c>
      <c r="E279" t="s">
        <v>6</v>
      </c>
      <c r="F279">
        <v>63.8</v>
      </c>
    </row>
    <row r="280" spans="1:6" hidden="1" x14ac:dyDescent="0.25">
      <c r="A280" t="s">
        <v>7</v>
      </c>
      <c r="B280" s="2">
        <v>42789</v>
      </c>
      <c r="C280">
        <f t="shared" si="7"/>
        <v>2017</v>
      </c>
      <c r="D280" s="11">
        <f t="shared" si="8"/>
        <v>54</v>
      </c>
      <c r="E280" t="s">
        <v>6</v>
      </c>
      <c r="F280">
        <v>92.9</v>
      </c>
    </row>
    <row r="281" spans="1:6" hidden="1" x14ac:dyDescent="0.25">
      <c r="A281" t="s">
        <v>7</v>
      </c>
      <c r="B281" s="2">
        <v>42804</v>
      </c>
      <c r="C281">
        <f t="shared" si="7"/>
        <v>2017</v>
      </c>
      <c r="D281" s="11">
        <f t="shared" si="8"/>
        <v>69</v>
      </c>
      <c r="E281" t="s">
        <v>6</v>
      </c>
      <c r="F281">
        <v>102.8</v>
      </c>
    </row>
    <row r="282" spans="1:6" hidden="1" x14ac:dyDescent="0.25">
      <c r="A282" t="s">
        <v>7</v>
      </c>
      <c r="B282" s="2">
        <v>42817</v>
      </c>
      <c r="C282">
        <f t="shared" si="7"/>
        <v>2017</v>
      </c>
      <c r="D282" s="11">
        <f t="shared" si="8"/>
        <v>82</v>
      </c>
      <c r="E282" t="s">
        <v>6</v>
      </c>
      <c r="F282">
        <v>112.2</v>
      </c>
    </row>
    <row r="283" spans="1:6" hidden="1" x14ac:dyDescent="0.25">
      <c r="A283" t="s">
        <v>7</v>
      </c>
      <c r="B283" s="2">
        <v>42832</v>
      </c>
      <c r="C283">
        <f t="shared" si="7"/>
        <v>2017</v>
      </c>
      <c r="D283" s="11">
        <f t="shared" si="8"/>
        <v>97</v>
      </c>
      <c r="E283" t="s">
        <v>6</v>
      </c>
      <c r="F283">
        <v>123.8</v>
      </c>
    </row>
    <row r="284" spans="1:6" hidden="1" x14ac:dyDescent="0.25">
      <c r="A284" t="s">
        <v>7</v>
      </c>
      <c r="B284" s="2">
        <v>42838</v>
      </c>
      <c r="C284">
        <f t="shared" si="7"/>
        <v>2017</v>
      </c>
      <c r="D284" s="11">
        <f t="shared" si="8"/>
        <v>103</v>
      </c>
      <c r="E284" t="s">
        <v>6</v>
      </c>
      <c r="F284">
        <v>125.9</v>
      </c>
    </row>
    <row r="285" spans="1:6" hidden="1" x14ac:dyDescent="0.25">
      <c r="A285" t="s">
        <v>7</v>
      </c>
      <c r="B285" s="2">
        <v>42845</v>
      </c>
      <c r="C285">
        <f t="shared" si="7"/>
        <v>2017</v>
      </c>
      <c r="D285" s="11">
        <f t="shared" si="8"/>
        <v>110</v>
      </c>
      <c r="E285" t="s">
        <v>6</v>
      </c>
      <c r="F285">
        <v>129.1</v>
      </c>
    </row>
    <row r="286" spans="1:6" hidden="1" x14ac:dyDescent="0.25">
      <c r="A286" t="s">
        <v>7</v>
      </c>
      <c r="B286" s="2">
        <v>42853</v>
      </c>
      <c r="C286">
        <f t="shared" si="7"/>
        <v>2017</v>
      </c>
      <c r="D286" s="11">
        <f t="shared" si="8"/>
        <v>118</v>
      </c>
      <c r="E286" t="s">
        <v>6</v>
      </c>
      <c r="F286">
        <v>132.1</v>
      </c>
    </row>
    <row r="287" spans="1:6" hidden="1" x14ac:dyDescent="0.25">
      <c r="A287" t="s">
        <v>7</v>
      </c>
      <c r="B287" s="2">
        <v>42859</v>
      </c>
      <c r="C287">
        <f t="shared" si="7"/>
        <v>2017</v>
      </c>
      <c r="D287" s="11">
        <f t="shared" si="8"/>
        <v>124</v>
      </c>
      <c r="E287" t="s">
        <v>6</v>
      </c>
      <c r="F287">
        <v>131.9</v>
      </c>
    </row>
    <row r="288" spans="1:6" hidden="1" x14ac:dyDescent="0.25">
      <c r="A288" t="s">
        <v>7</v>
      </c>
      <c r="B288" s="2">
        <v>42873</v>
      </c>
      <c r="C288">
        <f t="shared" si="7"/>
        <v>2017</v>
      </c>
      <c r="D288" s="11">
        <f t="shared" si="8"/>
        <v>138</v>
      </c>
      <c r="E288" t="s">
        <v>6</v>
      </c>
      <c r="F288">
        <v>134.6</v>
      </c>
    </row>
    <row r="289" spans="1:6" hidden="1" x14ac:dyDescent="0.25">
      <c r="A289" t="s">
        <v>7</v>
      </c>
      <c r="B289" s="2">
        <v>42887</v>
      </c>
      <c r="C289">
        <f t="shared" si="7"/>
        <v>2017</v>
      </c>
      <c r="D289" s="11">
        <f t="shared" si="8"/>
        <v>152</v>
      </c>
      <c r="E289" t="s">
        <v>6</v>
      </c>
      <c r="F289">
        <v>134.80000000000001</v>
      </c>
    </row>
    <row r="290" spans="1:6" hidden="1" x14ac:dyDescent="0.25">
      <c r="A290" t="s">
        <v>7</v>
      </c>
      <c r="B290" s="2">
        <v>42894</v>
      </c>
      <c r="C290">
        <f t="shared" si="7"/>
        <v>2017</v>
      </c>
      <c r="D290" s="11">
        <f t="shared" si="8"/>
        <v>159</v>
      </c>
      <c r="E290" t="s">
        <v>6</v>
      </c>
      <c r="F290">
        <v>130.9</v>
      </c>
    </row>
    <row r="291" spans="1:6" hidden="1" x14ac:dyDescent="0.25">
      <c r="A291" t="s">
        <v>7</v>
      </c>
      <c r="B291" s="2">
        <v>42908</v>
      </c>
      <c r="C291">
        <f t="shared" si="7"/>
        <v>2017</v>
      </c>
      <c r="D291" s="11">
        <f t="shared" si="8"/>
        <v>173</v>
      </c>
      <c r="E291" t="s">
        <v>6</v>
      </c>
      <c r="F291">
        <v>127.7</v>
      </c>
    </row>
    <row r="292" spans="1:6" hidden="1" x14ac:dyDescent="0.25">
      <c r="A292" t="s">
        <v>7</v>
      </c>
      <c r="B292" s="2">
        <v>43116</v>
      </c>
      <c r="C292">
        <f t="shared" si="7"/>
        <v>2018</v>
      </c>
      <c r="D292" s="11">
        <f t="shared" si="8"/>
        <v>16</v>
      </c>
      <c r="E292" t="s">
        <v>6</v>
      </c>
      <c r="F292">
        <v>61.5</v>
      </c>
    </row>
    <row r="293" spans="1:6" hidden="1" x14ac:dyDescent="0.25">
      <c r="A293" t="s">
        <v>7</v>
      </c>
      <c r="B293" s="2">
        <v>43151</v>
      </c>
      <c r="C293">
        <f t="shared" si="7"/>
        <v>2018</v>
      </c>
      <c r="D293" s="11">
        <f t="shared" si="8"/>
        <v>51</v>
      </c>
      <c r="E293" t="s">
        <v>6</v>
      </c>
      <c r="F293">
        <v>82.5</v>
      </c>
    </row>
    <row r="294" spans="1:6" hidden="1" x14ac:dyDescent="0.25">
      <c r="A294" t="s">
        <v>7</v>
      </c>
      <c r="B294" s="2">
        <v>43165</v>
      </c>
      <c r="C294">
        <f t="shared" si="7"/>
        <v>2018</v>
      </c>
      <c r="D294" s="11">
        <f t="shared" si="8"/>
        <v>65</v>
      </c>
      <c r="E294" t="s">
        <v>6</v>
      </c>
      <c r="F294">
        <v>93.7</v>
      </c>
    </row>
    <row r="295" spans="1:6" hidden="1" x14ac:dyDescent="0.25">
      <c r="A295" t="s">
        <v>7</v>
      </c>
      <c r="B295" s="2">
        <v>43179</v>
      </c>
      <c r="C295">
        <f t="shared" si="7"/>
        <v>2018</v>
      </c>
      <c r="D295" s="11">
        <f t="shared" si="8"/>
        <v>79</v>
      </c>
      <c r="E295" t="s">
        <v>6</v>
      </c>
      <c r="F295">
        <v>95.8</v>
      </c>
    </row>
    <row r="296" spans="1:6" hidden="1" x14ac:dyDescent="0.25">
      <c r="A296" t="s">
        <v>7</v>
      </c>
      <c r="B296" s="2">
        <v>43194</v>
      </c>
      <c r="C296">
        <f t="shared" si="7"/>
        <v>2018</v>
      </c>
      <c r="D296" s="11">
        <f t="shared" si="8"/>
        <v>94</v>
      </c>
      <c r="E296" t="s">
        <v>6</v>
      </c>
      <c r="F296">
        <v>105.4</v>
      </c>
    </row>
    <row r="297" spans="1:6" hidden="1" x14ac:dyDescent="0.25">
      <c r="A297" t="s">
        <v>7</v>
      </c>
      <c r="B297" s="2">
        <v>43201</v>
      </c>
      <c r="C297">
        <f t="shared" si="7"/>
        <v>2018</v>
      </c>
      <c r="D297" s="11">
        <f t="shared" si="8"/>
        <v>101</v>
      </c>
      <c r="E297" t="s">
        <v>6</v>
      </c>
      <c r="F297">
        <v>106.4</v>
      </c>
    </row>
    <row r="298" spans="1:6" hidden="1" x14ac:dyDescent="0.25">
      <c r="A298" t="s">
        <v>7</v>
      </c>
      <c r="B298" s="2">
        <v>43209</v>
      </c>
      <c r="C298">
        <f t="shared" si="7"/>
        <v>2018</v>
      </c>
      <c r="D298" s="11">
        <f t="shared" si="8"/>
        <v>109</v>
      </c>
      <c r="E298" t="s">
        <v>6</v>
      </c>
      <c r="F298">
        <v>108.9</v>
      </c>
    </row>
    <row r="299" spans="1:6" hidden="1" x14ac:dyDescent="0.25">
      <c r="A299" t="s">
        <v>7</v>
      </c>
      <c r="B299" s="2">
        <v>43215</v>
      </c>
      <c r="C299">
        <f t="shared" si="7"/>
        <v>2018</v>
      </c>
      <c r="D299" s="11">
        <f t="shared" si="8"/>
        <v>115</v>
      </c>
      <c r="E299" t="s">
        <v>6</v>
      </c>
      <c r="F299">
        <v>112.6</v>
      </c>
    </row>
    <row r="300" spans="1:6" hidden="1" x14ac:dyDescent="0.25">
      <c r="A300" t="s">
        <v>7</v>
      </c>
      <c r="B300" s="2">
        <v>43221</v>
      </c>
      <c r="C300">
        <f t="shared" si="7"/>
        <v>2018</v>
      </c>
      <c r="D300" s="11">
        <f t="shared" si="8"/>
        <v>121</v>
      </c>
      <c r="E300" t="s">
        <v>6</v>
      </c>
      <c r="F300">
        <v>116.3</v>
      </c>
    </row>
    <row r="301" spans="1:6" hidden="1" x14ac:dyDescent="0.25">
      <c r="A301" t="s">
        <v>7</v>
      </c>
      <c r="B301" s="2">
        <v>43235</v>
      </c>
      <c r="C301">
        <f t="shared" si="7"/>
        <v>2018</v>
      </c>
      <c r="D301" s="11">
        <f t="shared" si="8"/>
        <v>135</v>
      </c>
      <c r="E301" t="s">
        <v>6</v>
      </c>
      <c r="F301">
        <v>115.2</v>
      </c>
    </row>
    <row r="302" spans="1:6" hidden="1" x14ac:dyDescent="0.25">
      <c r="A302" t="s">
        <v>7</v>
      </c>
      <c r="B302" s="2">
        <v>43249</v>
      </c>
      <c r="C302">
        <f t="shared" si="7"/>
        <v>2018</v>
      </c>
      <c r="D302" s="11">
        <f t="shared" si="8"/>
        <v>149</v>
      </c>
      <c r="E302" t="s">
        <v>6</v>
      </c>
      <c r="F302">
        <v>115.4</v>
      </c>
    </row>
    <row r="303" spans="1:6" hidden="1" x14ac:dyDescent="0.25">
      <c r="A303" t="s">
        <v>7</v>
      </c>
      <c r="B303" s="2">
        <v>43479</v>
      </c>
      <c r="C303">
        <f t="shared" si="7"/>
        <v>2019</v>
      </c>
      <c r="D303" s="11">
        <f t="shared" si="8"/>
        <v>14</v>
      </c>
      <c r="E303" t="s">
        <v>6</v>
      </c>
      <c r="F303">
        <v>56.6</v>
      </c>
    </row>
    <row r="304" spans="1:6" hidden="1" x14ac:dyDescent="0.25">
      <c r="A304" t="s">
        <v>7</v>
      </c>
      <c r="B304" s="2">
        <v>43515</v>
      </c>
      <c r="C304">
        <f t="shared" si="7"/>
        <v>2019</v>
      </c>
      <c r="D304" s="11">
        <f t="shared" si="8"/>
        <v>50</v>
      </c>
      <c r="E304" t="s">
        <v>6</v>
      </c>
      <c r="F304">
        <v>75.3</v>
      </c>
    </row>
    <row r="305" spans="1:6" hidden="1" x14ac:dyDescent="0.25">
      <c r="A305" t="s">
        <v>7</v>
      </c>
      <c r="B305" s="2">
        <v>43529</v>
      </c>
      <c r="C305">
        <f t="shared" si="7"/>
        <v>2019</v>
      </c>
      <c r="D305" s="11">
        <f t="shared" si="8"/>
        <v>64</v>
      </c>
      <c r="E305" t="s">
        <v>6</v>
      </c>
      <c r="F305">
        <v>82.6</v>
      </c>
    </row>
    <row r="306" spans="1:6" hidden="1" x14ac:dyDescent="0.25">
      <c r="A306" t="s">
        <v>7</v>
      </c>
      <c r="B306" s="2">
        <v>43543</v>
      </c>
      <c r="C306">
        <f t="shared" si="7"/>
        <v>2019</v>
      </c>
      <c r="D306" s="11">
        <f t="shared" si="8"/>
        <v>78</v>
      </c>
      <c r="E306" t="s">
        <v>6</v>
      </c>
      <c r="F306">
        <v>92.1</v>
      </c>
    </row>
    <row r="307" spans="1:6" hidden="1" x14ac:dyDescent="0.25">
      <c r="A307" t="s">
        <v>7</v>
      </c>
      <c r="B307" s="2">
        <v>43557</v>
      </c>
      <c r="C307">
        <f t="shared" si="7"/>
        <v>2019</v>
      </c>
      <c r="D307" s="11">
        <f t="shared" si="8"/>
        <v>92</v>
      </c>
      <c r="E307" t="s">
        <v>6</v>
      </c>
      <c r="F307">
        <v>104</v>
      </c>
    </row>
    <row r="308" spans="1:6" hidden="1" x14ac:dyDescent="0.25">
      <c r="A308" t="s">
        <v>7</v>
      </c>
      <c r="B308" s="2">
        <v>43564</v>
      </c>
      <c r="C308">
        <f t="shared" si="7"/>
        <v>2019</v>
      </c>
      <c r="D308" s="11">
        <f t="shared" si="8"/>
        <v>99</v>
      </c>
      <c r="E308" t="s">
        <v>6</v>
      </c>
      <c r="F308">
        <v>100.7</v>
      </c>
    </row>
    <row r="309" spans="1:6" hidden="1" x14ac:dyDescent="0.25">
      <c r="A309" t="s">
        <v>7</v>
      </c>
      <c r="B309" s="2">
        <v>43570</v>
      </c>
      <c r="C309">
        <f t="shared" si="7"/>
        <v>2019</v>
      </c>
      <c r="D309" s="11">
        <f t="shared" si="8"/>
        <v>105</v>
      </c>
      <c r="E309" t="s">
        <v>6</v>
      </c>
      <c r="F309">
        <v>100.9</v>
      </c>
    </row>
    <row r="310" spans="1:6" hidden="1" x14ac:dyDescent="0.25">
      <c r="A310" t="s">
        <v>7</v>
      </c>
      <c r="B310" s="2">
        <v>43577</v>
      </c>
      <c r="C310">
        <f t="shared" si="7"/>
        <v>2019</v>
      </c>
      <c r="D310" s="11">
        <f t="shared" si="8"/>
        <v>112</v>
      </c>
      <c r="E310" t="s">
        <v>6</v>
      </c>
      <c r="F310">
        <v>105.2</v>
      </c>
    </row>
    <row r="311" spans="1:6" hidden="1" x14ac:dyDescent="0.25">
      <c r="A311" t="s">
        <v>7</v>
      </c>
      <c r="B311" s="2">
        <v>43584</v>
      </c>
      <c r="C311">
        <f t="shared" si="7"/>
        <v>2019</v>
      </c>
      <c r="D311" s="11">
        <f t="shared" si="8"/>
        <v>119</v>
      </c>
      <c r="E311" t="s">
        <v>6</v>
      </c>
      <c r="F311">
        <v>93.4</v>
      </c>
    </row>
    <row r="312" spans="1:6" hidden="1" x14ac:dyDescent="0.25">
      <c r="A312" t="s">
        <v>7</v>
      </c>
      <c r="B312" s="2">
        <v>43613</v>
      </c>
      <c r="C312">
        <f t="shared" si="7"/>
        <v>2019</v>
      </c>
      <c r="D312" s="11">
        <f t="shared" si="8"/>
        <v>148</v>
      </c>
      <c r="E312" t="s">
        <v>6</v>
      </c>
      <c r="F312">
        <v>109.8</v>
      </c>
    </row>
    <row r="313" spans="1:6" hidden="1" x14ac:dyDescent="0.25">
      <c r="A313" t="s">
        <v>7</v>
      </c>
      <c r="B313" s="2">
        <v>43851</v>
      </c>
      <c r="C313">
        <f t="shared" ref="C313:C374" si="9">YEAR(B313)</f>
        <v>2020</v>
      </c>
      <c r="D313" s="11">
        <f t="shared" si="8"/>
        <v>21</v>
      </c>
      <c r="E313" t="s">
        <v>6</v>
      </c>
      <c r="F313">
        <v>61.3</v>
      </c>
    </row>
    <row r="314" spans="1:6" hidden="1" x14ac:dyDescent="0.25">
      <c r="A314" t="s">
        <v>7</v>
      </c>
      <c r="B314" s="2">
        <v>43880</v>
      </c>
      <c r="C314">
        <f t="shared" si="9"/>
        <v>2020</v>
      </c>
      <c r="D314" s="11">
        <f t="shared" si="8"/>
        <v>50</v>
      </c>
      <c r="E314" t="s">
        <v>6</v>
      </c>
      <c r="F314">
        <v>85.2</v>
      </c>
    </row>
    <row r="315" spans="1:6" hidden="1" x14ac:dyDescent="0.25">
      <c r="A315" t="s">
        <v>7</v>
      </c>
      <c r="B315" s="2">
        <v>43894</v>
      </c>
      <c r="C315">
        <f t="shared" si="9"/>
        <v>2020</v>
      </c>
      <c r="D315" s="11">
        <f t="shared" si="8"/>
        <v>64</v>
      </c>
      <c r="E315" t="s">
        <v>6</v>
      </c>
      <c r="F315">
        <v>82.7</v>
      </c>
    </row>
    <row r="316" spans="1:6" hidden="1" x14ac:dyDescent="0.25">
      <c r="A316" t="s">
        <v>7</v>
      </c>
      <c r="B316" s="2">
        <v>43907</v>
      </c>
      <c r="C316">
        <f t="shared" si="9"/>
        <v>2020</v>
      </c>
      <c r="D316" s="11">
        <f t="shared" si="8"/>
        <v>77</v>
      </c>
      <c r="E316" t="s">
        <v>6</v>
      </c>
      <c r="F316">
        <v>93</v>
      </c>
    </row>
    <row r="317" spans="1:6" hidden="1" x14ac:dyDescent="0.25">
      <c r="A317" t="s">
        <v>7</v>
      </c>
      <c r="B317" s="2">
        <v>43951</v>
      </c>
      <c r="C317">
        <f t="shared" si="9"/>
        <v>2020</v>
      </c>
      <c r="D317" s="11">
        <f t="shared" si="8"/>
        <v>121</v>
      </c>
      <c r="E317" t="s">
        <v>6</v>
      </c>
      <c r="F317">
        <v>108</v>
      </c>
    </row>
    <row r="318" spans="1:6" hidden="1" x14ac:dyDescent="0.25">
      <c r="A318" t="s">
        <v>7</v>
      </c>
      <c r="B318" s="2">
        <v>43963</v>
      </c>
      <c r="C318">
        <f t="shared" si="9"/>
        <v>2020</v>
      </c>
      <c r="D318" s="11">
        <f t="shared" si="8"/>
        <v>133</v>
      </c>
      <c r="E318" t="s">
        <v>6</v>
      </c>
      <c r="F318">
        <v>107.8</v>
      </c>
    </row>
    <row r="319" spans="1:6" hidden="1" x14ac:dyDescent="0.25">
      <c r="A319" t="s">
        <v>7</v>
      </c>
      <c r="B319" s="2">
        <v>43979</v>
      </c>
      <c r="C319">
        <f t="shared" si="9"/>
        <v>2020</v>
      </c>
      <c r="D319" s="11">
        <f t="shared" si="8"/>
        <v>149</v>
      </c>
      <c r="E319" t="s">
        <v>6</v>
      </c>
      <c r="F319">
        <v>107.9</v>
      </c>
    </row>
    <row r="320" spans="1:6" hidden="1" x14ac:dyDescent="0.25">
      <c r="A320" t="s">
        <v>7</v>
      </c>
      <c r="B320" s="2">
        <v>44223</v>
      </c>
      <c r="C320">
        <f t="shared" si="9"/>
        <v>2021</v>
      </c>
      <c r="D320" s="11">
        <f t="shared" si="8"/>
        <v>27</v>
      </c>
      <c r="E320" t="s">
        <v>6</v>
      </c>
      <c r="F320">
        <v>68.09566667</v>
      </c>
    </row>
    <row r="321" spans="1:6" hidden="1" x14ac:dyDescent="0.25">
      <c r="A321" t="s">
        <v>7</v>
      </c>
      <c r="B321" s="2">
        <v>44258</v>
      </c>
      <c r="C321">
        <f t="shared" si="9"/>
        <v>2021</v>
      </c>
      <c r="D321" s="11">
        <f t="shared" si="8"/>
        <v>62</v>
      </c>
      <c r="E321" t="s">
        <v>6</v>
      </c>
      <c r="F321">
        <v>88.180795450000005</v>
      </c>
    </row>
    <row r="322" spans="1:6" hidden="1" x14ac:dyDescent="0.25">
      <c r="A322" t="s">
        <v>7</v>
      </c>
      <c r="B322" s="2">
        <v>44272</v>
      </c>
      <c r="C322">
        <f t="shared" si="9"/>
        <v>2021</v>
      </c>
      <c r="D322" s="11">
        <f t="shared" si="8"/>
        <v>76</v>
      </c>
      <c r="E322" t="s">
        <v>6</v>
      </c>
      <c r="F322">
        <v>97.313999999999993</v>
      </c>
    </row>
    <row r="323" spans="1:6" hidden="1" x14ac:dyDescent="0.25">
      <c r="A323" t="s">
        <v>7</v>
      </c>
      <c r="B323" s="2">
        <v>44286</v>
      </c>
      <c r="C323">
        <f t="shared" si="9"/>
        <v>2021</v>
      </c>
      <c r="D323" s="11">
        <f t="shared" ref="D323:D386" si="10">B323-DATE(YEAR(B323),1,0)</f>
        <v>90</v>
      </c>
      <c r="E323" t="s">
        <v>6</v>
      </c>
      <c r="F323">
        <v>100.2647778</v>
      </c>
    </row>
    <row r="324" spans="1:6" hidden="1" x14ac:dyDescent="0.25">
      <c r="A324" t="s">
        <v>7</v>
      </c>
      <c r="B324" s="2">
        <v>44300</v>
      </c>
      <c r="C324">
        <f t="shared" si="9"/>
        <v>2021</v>
      </c>
      <c r="D324" s="11">
        <f t="shared" si="10"/>
        <v>104</v>
      </c>
      <c r="E324" t="s">
        <v>6</v>
      </c>
      <c r="F324">
        <v>104.94333330000001</v>
      </c>
    </row>
    <row r="325" spans="1:6" hidden="1" x14ac:dyDescent="0.25">
      <c r="A325" t="s">
        <v>7</v>
      </c>
      <c r="B325" s="2">
        <v>44307</v>
      </c>
      <c r="C325">
        <f t="shared" si="9"/>
        <v>2021</v>
      </c>
      <c r="D325" s="11">
        <f t="shared" si="10"/>
        <v>111</v>
      </c>
      <c r="E325" t="s">
        <v>6</v>
      </c>
      <c r="F325">
        <v>104.7833333</v>
      </c>
    </row>
    <row r="326" spans="1:6" hidden="1" x14ac:dyDescent="0.25">
      <c r="A326" t="s">
        <v>7</v>
      </c>
      <c r="B326" s="2">
        <v>44315</v>
      </c>
      <c r="C326">
        <f t="shared" si="9"/>
        <v>2021</v>
      </c>
      <c r="D326" s="11">
        <f t="shared" si="10"/>
        <v>119</v>
      </c>
      <c r="E326" t="s">
        <v>6</v>
      </c>
      <c r="F326">
        <v>107.1852222</v>
      </c>
    </row>
    <row r="327" spans="1:6" hidden="1" x14ac:dyDescent="0.25">
      <c r="A327" t="s">
        <v>7</v>
      </c>
      <c r="B327" s="2">
        <v>44321</v>
      </c>
      <c r="C327">
        <f t="shared" si="9"/>
        <v>2021</v>
      </c>
      <c r="D327" s="11">
        <f t="shared" si="10"/>
        <v>125</v>
      </c>
      <c r="E327" t="s">
        <v>6</v>
      </c>
      <c r="F327">
        <v>97.25755556</v>
      </c>
    </row>
    <row r="328" spans="1:6" hidden="1" x14ac:dyDescent="0.25">
      <c r="A328" t="s">
        <v>7</v>
      </c>
      <c r="B328" s="2">
        <v>44335</v>
      </c>
      <c r="C328">
        <f t="shared" si="9"/>
        <v>2021</v>
      </c>
      <c r="D328" s="11">
        <f t="shared" si="10"/>
        <v>139</v>
      </c>
      <c r="E328" t="s">
        <v>6</v>
      </c>
      <c r="F328">
        <v>110.47156630000001</v>
      </c>
    </row>
    <row r="329" spans="1:6" hidden="1" x14ac:dyDescent="0.25">
      <c r="A329" t="s">
        <v>7</v>
      </c>
      <c r="B329" s="2">
        <v>44348</v>
      </c>
      <c r="C329">
        <f t="shared" si="9"/>
        <v>2021</v>
      </c>
      <c r="D329" s="11">
        <f t="shared" si="10"/>
        <v>152</v>
      </c>
      <c r="E329" t="s">
        <v>6</v>
      </c>
      <c r="F329">
        <v>104.2146667</v>
      </c>
    </row>
    <row r="330" spans="1:6" hidden="1" x14ac:dyDescent="0.25">
      <c r="A330" t="s">
        <v>7</v>
      </c>
      <c r="B330" s="2">
        <v>42386</v>
      </c>
      <c r="C330">
        <f t="shared" si="9"/>
        <v>2016</v>
      </c>
      <c r="D330" s="11">
        <f t="shared" si="10"/>
        <v>17</v>
      </c>
      <c r="E330" t="s">
        <v>6</v>
      </c>
      <c r="F330">
        <v>65.2</v>
      </c>
    </row>
    <row r="331" spans="1:6" hidden="1" x14ac:dyDescent="0.25">
      <c r="A331" t="s">
        <v>7</v>
      </c>
      <c r="B331" s="2">
        <v>42386</v>
      </c>
      <c r="C331">
        <f t="shared" si="9"/>
        <v>2016</v>
      </c>
      <c r="D331" s="11">
        <f t="shared" si="10"/>
        <v>17</v>
      </c>
      <c r="E331" t="s">
        <v>6</v>
      </c>
      <c r="F331">
        <v>62.3</v>
      </c>
    </row>
    <row r="332" spans="1:6" hidden="1" x14ac:dyDescent="0.25">
      <c r="A332" t="s">
        <v>7</v>
      </c>
      <c r="B332" s="2">
        <v>42386</v>
      </c>
      <c r="C332">
        <f t="shared" si="9"/>
        <v>2016</v>
      </c>
      <c r="D332" s="11">
        <f t="shared" si="10"/>
        <v>17</v>
      </c>
      <c r="E332" t="s">
        <v>6</v>
      </c>
      <c r="F332">
        <v>61.2</v>
      </c>
    </row>
    <row r="333" spans="1:6" hidden="1" x14ac:dyDescent="0.25">
      <c r="A333" t="s">
        <v>7</v>
      </c>
      <c r="B333" s="2">
        <v>42389</v>
      </c>
      <c r="C333">
        <f t="shared" si="9"/>
        <v>2016</v>
      </c>
      <c r="D333" s="11">
        <f t="shared" si="10"/>
        <v>20</v>
      </c>
      <c r="E333" t="s">
        <v>6</v>
      </c>
      <c r="F333">
        <v>61</v>
      </c>
    </row>
    <row r="334" spans="1:6" hidden="1" x14ac:dyDescent="0.25">
      <c r="A334" t="s">
        <v>7</v>
      </c>
      <c r="B334" s="2">
        <v>42424</v>
      </c>
      <c r="C334">
        <f t="shared" si="9"/>
        <v>2016</v>
      </c>
      <c r="D334" s="11">
        <f t="shared" si="10"/>
        <v>55</v>
      </c>
      <c r="E334" t="s">
        <v>6</v>
      </c>
      <c r="F334">
        <v>91.7</v>
      </c>
    </row>
    <row r="335" spans="1:6" hidden="1" x14ac:dyDescent="0.25">
      <c r="A335" t="s">
        <v>7</v>
      </c>
      <c r="B335" s="2">
        <v>42424</v>
      </c>
      <c r="C335">
        <f t="shared" si="9"/>
        <v>2016</v>
      </c>
      <c r="D335" s="11">
        <f t="shared" si="10"/>
        <v>55</v>
      </c>
      <c r="E335" t="s">
        <v>6</v>
      </c>
      <c r="F335">
        <v>88.5</v>
      </c>
    </row>
    <row r="336" spans="1:6" hidden="1" x14ac:dyDescent="0.25">
      <c r="A336" t="s">
        <v>7</v>
      </c>
      <c r="B336" s="2">
        <v>42424</v>
      </c>
      <c r="C336">
        <f t="shared" si="9"/>
        <v>2016</v>
      </c>
      <c r="D336" s="11">
        <f t="shared" si="10"/>
        <v>55</v>
      </c>
      <c r="E336" t="s">
        <v>6</v>
      </c>
      <c r="F336">
        <v>81.3</v>
      </c>
    </row>
    <row r="337" spans="1:6" hidden="1" x14ac:dyDescent="0.25">
      <c r="A337" t="s">
        <v>7</v>
      </c>
      <c r="B337" s="2">
        <v>42424</v>
      </c>
      <c r="C337">
        <f t="shared" si="9"/>
        <v>2016</v>
      </c>
      <c r="D337" s="11">
        <f t="shared" si="10"/>
        <v>55</v>
      </c>
      <c r="E337" t="s">
        <v>6</v>
      </c>
      <c r="F337">
        <v>78.599999999999994</v>
      </c>
    </row>
    <row r="338" spans="1:6" hidden="1" x14ac:dyDescent="0.25">
      <c r="A338" t="s">
        <v>7</v>
      </c>
      <c r="B338" s="2">
        <v>42438</v>
      </c>
      <c r="C338">
        <f t="shared" si="9"/>
        <v>2016</v>
      </c>
      <c r="D338" s="11">
        <f t="shared" si="10"/>
        <v>69</v>
      </c>
      <c r="E338" t="s">
        <v>6</v>
      </c>
      <c r="F338">
        <v>85.2</v>
      </c>
    </row>
    <row r="339" spans="1:6" hidden="1" x14ac:dyDescent="0.25">
      <c r="A339" t="s">
        <v>7</v>
      </c>
      <c r="B339" s="2">
        <v>42439</v>
      </c>
      <c r="C339">
        <f t="shared" si="9"/>
        <v>2016</v>
      </c>
      <c r="D339" s="11">
        <f t="shared" si="10"/>
        <v>70</v>
      </c>
      <c r="E339" t="s">
        <v>6</v>
      </c>
      <c r="F339">
        <v>100.6</v>
      </c>
    </row>
    <row r="340" spans="1:6" hidden="1" x14ac:dyDescent="0.25">
      <c r="A340" t="s">
        <v>7</v>
      </c>
      <c r="B340" s="2">
        <v>42439</v>
      </c>
      <c r="C340">
        <f t="shared" si="9"/>
        <v>2016</v>
      </c>
      <c r="D340" s="11">
        <f t="shared" si="10"/>
        <v>70</v>
      </c>
      <c r="E340" t="s">
        <v>6</v>
      </c>
      <c r="F340">
        <v>99.5</v>
      </c>
    </row>
    <row r="341" spans="1:6" hidden="1" x14ac:dyDescent="0.25">
      <c r="A341" t="s">
        <v>7</v>
      </c>
      <c r="B341" s="2">
        <v>42439</v>
      </c>
      <c r="C341">
        <f t="shared" si="9"/>
        <v>2016</v>
      </c>
      <c r="D341" s="11">
        <f t="shared" si="10"/>
        <v>70</v>
      </c>
      <c r="E341" t="s">
        <v>6</v>
      </c>
      <c r="F341">
        <v>85.7</v>
      </c>
    </row>
    <row r="342" spans="1:6" hidden="1" x14ac:dyDescent="0.25">
      <c r="A342" t="s">
        <v>7</v>
      </c>
      <c r="B342" s="2">
        <v>42452</v>
      </c>
      <c r="C342">
        <f t="shared" si="9"/>
        <v>2016</v>
      </c>
      <c r="D342" s="11">
        <f t="shared" si="10"/>
        <v>83</v>
      </c>
      <c r="E342" t="s">
        <v>6</v>
      </c>
      <c r="F342">
        <v>109.5</v>
      </c>
    </row>
    <row r="343" spans="1:6" hidden="1" x14ac:dyDescent="0.25">
      <c r="A343" t="s">
        <v>7</v>
      </c>
      <c r="B343" s="2">
        <v>42452</v>
      </c>
      <c r="C343">
        <f t="shared" si="9"/>
        <v>2016</v>
      </c>
      <c r="D343" s="11">
        <f t="shared" si="10"/>
        <v>83</v>
      </c>
      <c r="E343" t="s">
        <v>6</v>
      </c>
      <c r="F343">
        <v>103.6</v>
      </c>
    </row>
    <row r="344" spans="1:6" hidden="1" x14ac:dyDescent="0.25">
      <c r="A344" t="s">
        <v>7</v>
      </c>
      <c r="B344" s="2">
        <v>42452</v>
      </c>
      <c r="C344">
        <f t="shared" si="9"/>
        <v>2016</v>
      </c>
      <c r="D344" s="11">
        <f t="shared" si="10"/>
        <v>83</v>
      </c>
      <c r="E344" t="s">
        <v>6</v>
      </c>
      <c r="F344">
        <v>93.8</v>
      </c>
    </row>
    <row r="345" spans="1:6" hidden="1" x14ac:dyDescent="0.25">
      <c r="A345" t="s">
        <v>7</v>
      </c>
      <c r="B345" s="2">
        <v>42452</v>
      </c>
      <c r="C345">
        <f t="shared" si="9"/>
        <v>2016</v>
      </c>
      <c r="D345" s="11">
        <f t="shared" si="10"/>
        <v>83</v>
      </c>
      <c r="E345" t="s">
        <v>6</v>
      </c>
      <c r="F345">
        <v>91.6</v>
      </c>
    </row>
    <row r="346" spans="1:6" hidden="1" x14ac:dyDescent="0.25">
      <c r="A346" t="s">
        <v>7</v>
      </c>
      <c r="B346" s="2">
        <v>42467</v>
      </c>
      <c r="C346">
        <f t="shared" si="9"/>
        <v>2016</v>
      </c>
      <c r="D346" s="11">
        <f t="shared" si="10"/>
        <v>98</v>
      </c>
      <c r="E346" t="s">
        <v>6</v>
      </c>
      <c r="F346">
        <v>118.7</v>
      </c>
    </row>
    <row r="347" spans="1:6" hidden="1" x14ac:dyDescent="0.25">
      <c r="A347" t="s">
        <v>7</v>
      </c>
      <c r="B347" s="2">
        <v>42467</v>
      </c>
      <c r="C347">
        <f t="shared" si="9"/>
        <v>2016</v>
      </c>
      <c r="D347" s="11">
        <f t="shared" si="10"/>
        <v>98</v>
      </c>
      <c r="E347" t="s">
        <v>6</v>
      </c>
      <c r="F347">
        <v>113.1</v>
      </c>
    </row>
    <row r="348" spans="1:6" hidden="1" x14ac:dyDescent="0.25">
      <c r="A348" t="s">
        <v>7</v>
      </c>
      <c r="B348" s="2">
        <v>42467</v>
      </c>
      <c r="C348">
        <f t="shared" si="9"/>
        <v>2016</v>
      </c>
      <c r="D348" s="11">
        <f t="shared" si="10"/>
        <v>98</v>
      </c>
      <c r="E348" t="s">
        <v>6</v>
      </c>
      <c r="F348">
        <v>102</v>
      </c>
    </row>
    <row r="349" spans="1:6" hidden="1" x14ac:dyDescent="0.25">
      <c r="A349" t="s">
        <v>7</v>
      </c>
      <c r="B349" s="2">
        <v>42467</v>
      </c>
      <c r="C349">
        <f t="shared" si="9"/>
        <v>2016</v>
      </c>
      <c r="D349" s="11">
        <f t="shared" si="10"/>
        <v>98</v>
      </c>
      <c r="E349" t="s">
        <v>6</v>
      </c>
      <c r="F349">
        <v>99.5</v>
      </c>
    </row>
    <row r="350" spans="1:6" hidden="1" x14ac:dyDescent="0.25">
      <c r="A350" t="s">
        <v>7</v>
      </c>
      <c r="B350" s="2">
        <v>42474</v>
      </c>
      <c r="C350">
        <f t="shared" si="9"/>
        <v>2016</v>
      </c>
      <c r="D350" s="11">
        <f t="shared" si="10"/>
        <v>105</v>
      </c>
      <c r="E350" t="s">
        <v>6</v>
      </c>
      <c r="F350">
        <v>101.5</v>
      </c>
    </row>
    <row r="351" spans="1:6" hidden="1" x14ac:dyDescent="0.25">
      <c r="A351" t="s">
        <v>7</v>
      </c>
      <c r="B351" s="2">
        <v>42475</v>
      </c>
      <c r="C351">
        <f t="shared" si="9"/>
        <v>2016</v>
      </c>
      <c r="D351" s="11">
        <f t="shared" si="10"/>
        <v>106</v>
      </c>
      <c r="E351" t="s">
        <v>6</v>
      </c>
      <c r="F351">
        <v>118.9</v>
      </c>
    </row>
    <row r="352" spans="1:6" hidden="1" x14ac:dyDescent="0.25">
      <c r="A352" t="s">
        <v>7</v>
      </c>
      <c r="B352" s="2">
        <v>42475</v>
      </c>
      <c r="C352">
        <f t="shared" si="9"/>
        <v>2016</v>
      </c>
      <c r="D352" s="11">
        <f t="shared" si="10"/>
        <v>106</v>
      </c>
      <c r="E352" t="s">
        <v>6</v>
      </c>
      <c r="F352">
        <v>112.3</v>
      </c>
    </row>
    <row r="353" spans="1:6" hidden="1" x14ac:dyDescent="0.25">
      <c r="A353" t="s">
        <v>7</v>
      </c>
      <c r="B353" s="2">
        <v>42475</v>
      </c>
      <c r="C353">
        <f t="shared" si="9"/>
        <v>2016</v>
      </c>
      <c r="D353" s="11">
        <f t="shared" si="10"/>
        <v>106</v>
      </c>
      <c r="E353" t="s">
        <v>6</v>
      </c>
      <c r="F353">
        <v>104.3</v>
      </c>
    </row>
    <row r="354" spans="1:6" hidden="1" x14ac:dyDescent="0.25">
      <c r="A354" t="s">
        <v>7</v>
      </c>
      <c r="B354" s="2">
        <v>42482</v>
      </c>
      <c r="C354">
        <f t="shared" si="9"/>
        <v>2016</v>
      </c>
      <c r="D354" s="11">
        <f t="shared" si="10"/>
        <v>113</v>
      </c>
      <c r="E354" t="s">
        <v>6</v>
      </c>
      <c r="F354">
        <v>120.9</v>
      </c>
    </row>
    <row r="355" spans="1:6" hidden="1" x14ac:dyDescent="0.25">
      <c r="A355" t="s">
        <v>7</v>
      </c>
      <c r="B355" s="2">
        <v>42482</v>
      </c>
      <c r="C355">
        <f t="shared" si="9"/>
        <v>2016</v>
      </c>
      <c r="D355" s="11">
        <f t="shared" si="10"/>
        <v>113</v>
      </c>
      <c r="E355" t="s">
        <v>6</v>
      </c>
      <c r="F355">
        <v>114.2</v>
      </c>
    </row>
    <row r="356" spans="1:6" hidden="1" x14ac:dyDescent="0.25">
      <c r="A356" t="s">
        <v>7</v>
      </c>
      <c r="B356" s="2">
        <v>42482</v>
      </c>
      <c r="C356">
        <f t="shared" si="9"/>
        <v>2016</v>
      </c>
      <c r="D356" s="11">
        <f t="shared" si="10"/>
        <v>113</v>
      </c>
      <c r="E356" t="s">
        <v>6</v>
      </c>
      <c r="F356">
        <v>102.6</v>
      </c>
    </row>
    <row r="357" spans="1:6" hidden="1" x14ac:dyDescent="0.25">
      <c r="A357" t="s">
        <v>7</v>
      </c>
      <c r="B357" s="2">
        <v>42482</v>
      </c>
      <c r="C357">
        <f t="shared" si="9"/>
        <v>2016</v>
      </c>
      <c r="D357" s="11">
        <f t="shared" si="10"/>
        <v>113</v>
      </c>
      <c r="E357" t="s">
        <v>6</v>
      </c>
      <c r="F357">
        <v>101</v>
      </c>
    </row>
    <row r="358" spans="1:6" hidden="1" x14ac:dyDescent="0.25">
      <c r="A358" t="s">
        <v>7</v>
      </c>
      <c r="B358" s="2">
        <v>42489</v>
      </c>
      <c r="C358">
        <f t="shared" si="9"/>
        <v>2016</v>
      </c>
      <c r="D358" s="11">
        <f t="shared" si="10"/>
        <v>120</v>
      </c>
      <c r="E358" t="s">
        <v>6</v>
      </c>
      <c r="F358">
        <v>122.8</v>
      </c>
    </row>
    <row r="359" spans="1:6" hidden="1" x14ac:dyDescent="0.25">
      <c r="A359" t="s">
        <v>7</v>
      </c>
      <c r="B359" s="2">
        <v>42489</v>
      </c>
      <c r="C359">
        <f t="shared" si="9"/>
        <v>2016</v>
      </c>
      <c r="D359" s="11">
        <f t="shared" si="10"/>
        <v>120</v>
      </c>
      <c r="E359" t="s">
        <v>6</v>
      </c>
      <c r="F359">
        <v>117.3</v>
      </c>
    </row>
    <row r="360" spans="1:6" hidden="1" x14ac:dyDescent="0.25">
      <c r="A360" t="s">
        <v>7</v>
      </c>
      <c r="B360" s="2">
        <v>42489</v>
      </c>
      <c r="C360">
        <f t="shared" si="9"/>
        <v>2016</v>
      </c>
      <c r="D360" s="11">
        <f t="shared" si="10"/>
        <v>120</v>
      </c>
      <c r="E360" t="s">
        <v>6</v>
      </c>
      <c r="F360">
        <v>103.3</v>
      </c>
    </row>
    <row r="361" spans="1:6" hidden="1" x14ac:dyDescent="0.25">
      <c r="A361" t="s">
        <v>7</v>
      </c>
      <c r="B361" s="2">
        <v>42489</v>
      </c>
      <c r="C361">
        <f t="shared" si="9"/>
        <v>2016</v>
      </c>
      <c r="D361" s="11">
        <f t="shared" si="10"/>
        <v>120</v>
      </c>
      <c r="E361" t="s">
        <v>6</v>
      </c>
      <c r="F361">
        <v>104.8</v>
      </c>
    </row>
    <row r="362" spans="1:6" hidden="1" x14ac:dyDescent="0.25">
      <c r="A362" t="s">
        <v>7</v>
      </c>
      <c r="B362" s="2">
        <v>42494</v>
      </c>
      <c r="C362">
        <f t="shared" si="9"/>
        <v>2016</v>
      </c>
      <c r="D362" s="11">
        <f t="shared" si="10"/>
        <v>125</v>
      </c>
      <c r="E362" t="s">
        <v>6</v>
      </c>
      <c r="F362">
        <v>108.8</v>
      </c>
    </row>
    <row r="363" spans="1:6" hidden="1" x14ac:dyDescent="0.25">
      <c r="A363" t="s">
        <v>7</v>
      </c>
      <c r="B363" s="2">
        <v>42496</v>
      </c>
      <c r="C363">
        <f t="shared" si="9"/>
        <v>2016</v>
      </c>
      <c r="D363" s="11">
        <f t="shared" si="10"/>
        <v>127</v>
      </c>
      <c r="E363" t="s">
        <v>6</v>
      </c>
      <c r="F363">
        <v>122</v>
      </c>
    </row>
    <row r="364" spans="1:6" hidden="1" x14ac:dyDescent="0.25">
      <c r="A364" t="s">
        <v>7</v>
      </c>
      <c r="B364" s="2">
        <v>42496</v>
      </c>
      <c r="C364">
        <f t="shared" si="9"/>
        <v>2016</v>
      </c>
      <c r="D364" s="11">
        <f t="shared" si="10"/>
        <v>127</v>
      </c>
      <c r="E364" t="s">
        <v>6</v>
      </c>
      <c r="F364">
        <v>123.2</v>
      </c>
    </row>
    <row r="365" spans="1:6" hidden="1" x14ac:dyDescent="0.25">
      <c r="A365" t="s">
        <v>7</v>
      </c>
      <c r="B365" s="2">
        <v>42496</v>
      </c>
      <c r="C365">
        <f t="shared" si="9"/>
        <v>2016</v>
      </c>
      <c r="D365" s="11">
        <f t="shared" si="10"/>
        <v>127</v>
      </c>
      <c r="E365" t="s">
        <v>6</v>
      </c>
      <c r="F365">
        <v>104.9</v>
      </c>
    </row>
    <row r="366" spans="1:6" hidden="1" x14ac:dyDescent="0.25">
      <c r="A366" t="s">
        <v>7</v>
      </c>
      <c r="B366" s="2">
        <v>42509</v>
      </c>
      <c r="C366">
        <f t="shared" si="9"/>
        <v>2016</v>
      </c>
      <c r="D366" s="11">
        <f t="shared" si="10"/>
        <v>140</v>
      </c>
      <c r="E366" t="s">
        <v>6</v>
      </c>
      <c r="F366">
        <v>122.6</v>
      </c>
    </row>
    <row r="367" spans="1:6" hidden="1" x14ac:dyDescent="0.25">
      <c r="A367" t="s">
        <v>7</v>
      </c>
      <c r="B367" s="2">
        <v>42509</v>
      </c>
      <c r="C367">
        <f t="shared" si="9"/>
        <v>2016</v>
      </c>
      <c r="D367" s="11">
        <f t="shared" si="10"/>
        <v>140</v>
      </c>
      <c r="E367" t="s">
        <v>6</v>
      </c>
      <c r="F367">
        <v>110.8</v>
      </c>
    </row>
    <row r="368" spans="1:6" hidden="1" x14ac:dyDescent="0.25">
      <c r="A368" t="s">
        <v>7</v>
      </c>
      <c r="B368" s="2">
        <v>42509</v>
      </c>
      <c r="C368">
        <f t="shared" si="9"/>
        <v>2016</v>
      </c>
      <c r="D368" s="11">
        <f t="shared" si="10"/>
        <v>140</v>
      </c>
      <c r="E368" t="s">
        <v>6</v>
      </c>
      <c r="F368">
        <v>110</v>
      </c>
    </row>
    <row r="369" spans="1:6" hidden="1" x14ac:dyDescent="0.25">
      <c r="A369" t="s">
        <v>7</v>
      </c>
      <c r="B369" s="2">
        <v>42510</v>
      </c>
      <c r="C369">
        <f t="shared" si="9"/>
        <v>2016</v>
      </c>
      <c r="D369" s="11">
        <f t="shared" si="10"/>
        <v>141</v>
      </c>
      <c r="E369" t="s">
        <v>6</v>
      </c>
      <c r="F369">
        <v>121.7</v>
      </c>
    </row>
    <row r="370" spans="1:6" hidden="1" x14ac:dyDescent="0.25">
      <c r="A370" t="s">
        <v>7</v>
      </c>
      <c r="B370" s="2">
        <v>42522</v>
      </c>
      <c r="C370">
        <f t="shared" si="9"/>
        <v>2016</v>
      </c>
      <c r="D370" s="11">
        <f t="shared" si="10"/>
        <v>153</v>
      </c>
      <c r="E370" t="s">
        <v>6</v>
      </c>
      <c r="F370">
        <v>109</v>
      </c>
    </row>
    <row r="371" spans="1:6" hidden="1" x14ac:dyDescent="0.25">
      <c r="A371" t="s">
        <v>7</v>
      </c>
      <c r="B371" s="2">
        <v>42523</v>
      </c>
      <c r="C371">
        <f t="shared" si="9"/>
        <v>2016</v>
      </c>
      <c r="D371" s="11">
        <f t="shared" si="10"/>
        <v>154</v>
      </c>
      <c r="E371" t="s">
        <v>6</v>
      </c>
      <c r="F371">
        <v>121.5</v>
      </c>
    </row>
    <row r="372" spans="1:6" hidden="1" x14ac:dyDescent="0.25">
      <c r="A372" t="s">
        <v>7</v>
      </c>
      <c r="B372" s="2">
        <v>42523</v>
      </c>
      <c r="C372">
        <f t="shared" si="9"/>
        <v>2016</v>
      </c>
      <c r="D372" s="11">
        <f t="shared" si="10"/>
        <v>154</v>
      </c>
      <c r="E372" t="s">
        <v>6</v>
      </c>
      <c r="F372">
        <v>121.1</v>
      </c>
    </row>
    <row r="373" spans="1:6" hidden="1" x14ac:dyDescent="0.25">
      <c r="A373" t="s">
        <v>7</v>
      </c>
      <c r="B373" s="2">
        <v>42523</v>
      </c>
      <c r="C373">
        <f t="shared" si="9"/>
        <v>2016</v>
      </c>
      <c r="D373" s="11">
        <f t="shared" si="10"/>
        <v>154</v>
      </c>
      <c r="E373" t="s">
        <v>6</v>
      </c>
      <c r="F373">
        <v>108.4</v>
      </c>
    </row>
    <row r="374" spans="1:6" hidden="1" x14ac:dyDescent="0.25">
      <c r="A374" t="s">
        <v>7</v>
      </c>
      <c r="B374" s="2">
        <v>42531</v>
      </c>
      <c r="C374">
        <f t="shared" si="9"/>
        <v>2016</v>
      </c>
      <c r="D374" s="11">
        <f t="shared" si="10"/>
        <v>162</v>
      </c>
      <c r="E374" t="s">
        <v>6</v>
      </c>
      <c r="F374">
        <v>124</v>
      </c>
    </row>
    <row r="375" spans="1:6" hidden="1" x14ac:dyDescent="0.25">
      <c r="A375" t="s">
        <v>7</v>
      </c>
      <c r="B375" s="2">
        <v>42535</v>
      </c>
      <c r="C375">
        <f t="shared" ref="C375:C438" si="11">YEAR(B375)</f>
        <v>2016</v>
      </c>
      <c r="D375" s="11">
        <f t="shared" si="10"/>
        <v>166</v>
      </c>
      <c r="E375" t="s">
        <v>6</v>
      </c>
      <c r="F375">
        <v>123.9</v>
      </c>
    </row>
    <row r="376" spans="1:6" hidden="1" x14ac:dyDescent="0.25">
      <c r="A376" t="s">
        <v>7</v>
      </c>
      <c r="B376" s="2">
        <v>42535</v>
      </c>
      <c r="C376">
        <f t="shared" si="11"/>
        <v>2016</v>
      </c>
      <c r="D376" s="11">
        <f t="shared" si="10"/>
        <v>166</v>
      </c>
      <c r="E376" t="s">
        <v>6</v>
      </c>
      <c r="F376">
        <v>114.6</v>
      </c>
    </row>
    <row r="377" spans="1:6" hidden="1" x14ac:dyDescent="0.25">
      <c r="A377" t="s">
        <v>7</v>
      </c>
      <c r="B377" s="2">
        <v>42753</v>
      </c>
      <c r="C377">
        <f t="shared" si="11"/>
        <v>2017</v>
      </c>
      <c r="D377" s="11">
        <f t="shared" si="10"/>
        <v>18</v>
      </c>
      <c r="E377" t="s">
        <v>6</v>
      </c>
      <c r="F377">
        <v>63.7</v>
      </c>
    </row>
    <row r="378" spans="1:6" hidden="1" x14ac:dyDescent="0.25">
      <c r="A378" t="s">
        <v>7</v>
      </c>
      <c r="B378" s="2">
        <v>42753</v>
      </c>
      <c r="C378">
        <f t="shared" si="11"/>
        <v>2017</v>
      </c>
      <c r="D378" s="11">
        <f t="shared" si="10"/>
        <v>18</v>
      </c>
      <c r="E378" t="s">
        <v>6</v>
      </c>
      <c r="F378">
        <v>64.7</v>
      </c>
    </row>
    <row r="379" spans="1:6" hidden="1" x14ac:dyDescent="0.25">
      <c r="A379" t="s">
        <v>7</v>
      </c>
      <c r="B379" s="2">
        <v>42753</v>
      </c>
      <c r="C379">
        <f t="shared" si="11"/>
        <v>2017</v>
      </c>
      <c r="D379" s="11">
        <f t="shared" si="10"/>
        <v>18</v>
      </c>
      <c r="E379" t="s">
        <v>6</v>
      </c>
      <c r="F379">
        <v>67.099999999999994</v>
      </c>
    </row>
    <row r="380" spans="1:6" hidden="1" x14ac:dyDescent="0.25">
      <c r="A380" t="s">
        <v>7</v>
      </c>
      <c r="B380" s="2">
        <v>42753</v>
      </c>
      <c r="C380">
        <f t="shared" si="11"/>
        <v>2017</v>
      </c>
      <c r="D380" s="11">
        <f t="shared" si="10"/>
        <v>18</v>
      </c>
      <c r="E380" t="s">
        <v>6</v>
      </c>
      <c r="F380">
        <v>70.2</v>
      </c>
    </row>
    <row r="381" spans="1:6" hidden="1" x14ac:dyDescent="0.25">
      <c r="A381" t="s">
        <v>7</v>
      </c>
      <c r="B381" s="2">
        <v>42788</v>
      </c>
      <c r="C381">
        <f t="shared" si="11"/>
        <v>2017</v>
      </c>
      <c r="D381" s="11">
        <f t="shared" si="10"/>
        <v>53</v>
      </c>
      <c r="E381" t="s">
        <v>6</v>
      </c>
      <c r="F381">
        <v>93.9</v>
      </c>
    </row>
    <row r="382" spans="1:6" hidden="1" x14ac:dyDescent="0.25">
      <c r="A382" t="s">
        <v>7</v>
      </c>
      <c r="B382" s="2">
        <v>42789</v>
      </c>
      <c r="C382">
        <f t="shared" si="11"/>
        <v>2017</v>
      </c>
      <c r="D382" s="11">
        <f t="shared" si="10"/>
        <v>54</v>
      </c>
      <c r="E382" t="s">
        <v>6</v>
      </c>
      <c r="F382">
        <v>84.1</v>
      </c>
    </row>
    <row r="383" spans="1:6" hidden="1" x14ac:dyDescent="0.25">
      <c r="A383" t="s">
        <v>7</v>
      </c>
      <c r="B383" s="2">
        <v>42789</v>
      </c>
      <c r="C383">
        <f t="shared" si="11"/>
        <v>2017</v>
      </c>
      <c r="D383" s="11">
        <f t="shared" si="10"/>
        <v>54</v>
      </c>
      <c r="E383" t="s">
        <v>6</v>
      </c>
      <c r="F383">
        <v>96</v>
      </c>
    </row>
    <row r="384" spans="1:6" hidden="1" x14ac:dyDescent="0.25">
      <c r="A384" t="s">
        <v>7</v>
      </c>
      <c r="B384" s="2">
        <v>42789</v>
      </c>
      <c r="C384">
        <f t="shared" si="11"/>
        <v>2017</v>
      </c>
      <c r="D384" s="11">
        <f t="shared" si="10"/>
        <v>54</v>
      </c>
      <c r="E384" t="s">
        <v>6</v>
      </c>
      <c r="F384">
        <v>85.8</v>
      </c>
    </row>
    <row r="385" spans="1:6" hidden="1" x14ac:dyDescent="0.25">
      <c r="A385" t="s">
        <v>7</v>
      </c>
      <c r="B385" s="2">
        <v>42803</v>
      </c>
      <c r="C385">
        <f t="shared" si="11"/>
        <v>2017</v>
      </c>
      <c r="D385" s="11">
        <f t="shared" si="10"/>
        <v>68</v>
      </c>
      <c r="E385" t="s">
        <v>6</v>
      </c>
      <c r="F385">
        <v>107.9</v>
      </c>
    </row>
    <row r="386" spans="1:6" hidden="1" x14ac:dyDescent="0.25">
      <c r="A386" t="s">
        <v>7</v>
      </c>
      <c r="B386" s="2">
        <v>42803</v>
      </c>
      <c r="C386">
        <f t="shared" si="11"/>
        <v>2017</v>
      </c>
      <c r="D386" s="11">
        <f t="shared" si="10"/>
        <v>68</v>
      </c>
      <c r="E386" t="s">
        <v>6</v>
      </c>
      <c r="F386">
        <v>102.9</v>
      </c>
    </row>
    <row r="387" spans="1:6" hidden="1" x14ac:dyDescent="0.25">
      <c r="A387" t="s">
        <v>7</v>
      </c>
      <c r="B387" s="2">
        <v>42804</v>
      </c>
      <c r="C387">
        <f t="shared" si="11"/>
        <v>2017</v>
      </c>
      <c r="D387" s="11">
        <f t="shared" ref="D387:D450" si="12">B387-DATE(YEAR(B387),1,0)</f>
        <v>69</v>
      </c>
      <c r="E387" t="s">
        <v>6</v>
      </c>
      <c r="F387">
        <v>94.6</v>
      </c>
    </row>
    <row r="388" spans="1:6" hidden="1" x14ac:dyDescent="0.25">
      <c r="A388" t="s">
        <v>7</v>
      </c>
      <c r="B388" s="2">
        <v>42804</v>
      </c>
      <c r="C388">
        <f t="shared" si="11"/>
        <v>2017</v>
      </c>
      <c r="D388" s="11">
        <f t="shared" si="12"/>
        <v>69</v>
      </c>
      <c r="E388" t="s">
        <v>6</v>
      </c>
      <c r="F388">
        <v>98.9</v>
      </c>
    </row>
    <row r="389" spans="1:6" hidden="1" x14ac:dyDescent="0.25">
      <c r="A389" t="s">
        <v>7</v>
      </c>
      <c r="B389" s="2">
        <v>42816</v>
      </c>
      <c r="C389">
        <f t="shared" si="11"/>
        <v>2017</v>
      </c>
      <c r="D389" s="11">
        <f t="shared" si="12"/>
        <v>81</v>
      </c>
      <c r="E389" t="s">
        <v>6</v>
      </c>
      <c r="F389">
        <v>110.9</v>
      </c>
    </row>
    <row r="390" spans="1:6" hidden="1" x14ac:dyDescent="0.25">
      <c r="A390" t="s">
        <v>7</v>
      </c>
      <c r="B390" s="2">
        <v>42817</v>
      </c>
      <c r="C390">
        <f t="shared" si="11"/>
        <v>2017</v>
      </c>
      <c r="D390" s="11">
        <f t="shared" si="12"/>
        <v>82</v>
      </c>
      <c r="E390" t="s">
        <v>6</v>
      </c>
      <c r="F390">
        <v>101.5</v>
      </c>
    </row>
    <row r="391" spans="1:6" hidden="1" x14ac:dyDescent="0.25">
      <c r="A391" t="s">
        <v>7</v>
      </c>
      <c r="B391" s="2">
        <v>42817</v>
      </c>
      <c r="C391">
        <f t="shared" si="11"/>
        <v>2017</v>
      </c>
      <c r="D391" s="11">
        <f t="shared" si="12"/>
        <v>82</v>
      </c>
      <c r="E391" t="s">
        <v>6</v>
      </c>
      <c r="F391">
        <v>112.1</v>
      </c>
    </row>
    <row r="392" spans="1:6" hidden="1" x14ac:dyDescent="0.25">
      <c r="A392" t="s">
        <v>7</v>
      </c>
      <c r="B392" s="2">
        <v>42817</v>
      </c>
      <c r="C392">
        <f t="shared" si="11"/>
        <v>2017</v>
      </c>
      <c r="D392" s="11">
        <f t="shared" si="12"/>
        <v>82</v>
      </c>
      <c r="E392" t="s">
        <v>6</v>
      </c>
      <c r="F392">
        <v>105.8</v>
      </c>
    </row>
    <row r="393" spans="1:6" hidden="1" x14ac:dyDescent="0.25">
      <c r="A393" t="s">
        <v>7</v>
      </c>
      <c r="B393" s="2">
        <v>42831</v>
      </c>
      <c r="C393">
        <f t="shared" si="11"/>
        <v>2017</v>
      </c>
      <c r="D393" s="11">
        <f t="shared" si="12"/>
        <v>96</v>
      </c>
      <c r="E393" t="s">
        <v>6</v>
      </c>
      <c r="F393">
        <v>126.1</v>
      </c>
    </row>
    <row r="394" spans="1:6" hidden="1" x14ac:dyDescent="0.25">
      <c r="A394" t="s">
        <v>7</v>
      </c>
      <c r="B394" s="2">
        <v>42832</v>
      </c>
      <c r="C394">
        <f t="shared" si="11"/>
        <v>2017</v>
      </c>
      <c r="D394" s="11">
        <f t="shared" si="12"/>
        <v>97</v>
      </c>
      <c r="E394" t="s">
        <v>6</v>
      </c>
      <c r="F394">
        <v>109.7</v>
      </c>
    </row>
    <row r="395" spans="1:6" hidden="1" x14ac:dyDescent="0.25">
      <c r="A395" t="s">
        <v>7</v>
      </c>
      <c r="B395" s="2">
        <v>42832</v>
      </c>
      <c r="C395">
        <f t="shared" si="11"/>
        <v>2017</v>
      </c>
      <c r="D395" s="11">
        <f t="shared" si="12"/>
        <v>97</v>
      </c>
      <c r="E395" t="s">
        <v>6</v>
      </c>
      <c r="F395">
        <v>123.2</v>
      </c>
    </row>
    <row r="396" spans="1:6" hidden="1" x14ac:dyDescent="0.25">
      <c r="A396" t="s">
        <v>7</v>
      </c>
      <c r="B396" s="2">
        <v>42832</v>
      </c>
      <c r="C396">
        <f t="shared" si="11"/>
        <v>2017</v>
      </c>
      <c r="D396" s="11">
        <f t="shared" si="12"/>
        <v>97</v>
      </c>
      <c r="E396" t="s">
        <v>6</v>
      </c>
      <c r="F396">
        <v>116.9</v>
      </c>
    </row>
    <row r="397" spans="1:6" hidden="1" x14ac:dyDescent="0.25">
      <c r="A397" t="s">
        <v>7</v>
      </c>
      <c r="B397" s="2">
        <v>42837</v>
      </c>
      <c r="C397">
        <f t="shared" si="11"/>
        <v>2017</v>
      </c>
      <c r="D397" s="11">
        <f t="shared" si="12"/>
        <v>102</v>
      </c>
      <c r="E397" t="s">
        <v>6</v>
      </c>
      <c r="F397">
        <v>128.69999999999999</v>
      </c>
    </row>
    <row r="398" spans="1:6" hidden="1" x14ac:dyDescent="0.25">
      <c r="A398" t="s">
        <v>7</v>
      </c>
      <c r="B398" s="2">
        <v>42838</v>
      </c>
      <c r="C398">
        <f t="shared" si="11"/>
        <v>2017</v>
      </c>
      <c r="D398" s="11">
        <f t="shared" si="12"/>
        <v>103</v>
      </c>
      <c r="E398" t="s">
        <v>6</v>
      </c>
      <c r="F398">
        <v>115.1</v>
      </c>
    </row>
    <row r="399" spans="1:6" hidden="1" x14ac:dyDescent="0.25">
      <c r="A399" t="s">
        <v>7</v>
      </c>
      <c r="B399" s="2">
        <v>42838</v>
      </c>
      <c r="C399">
        <f t="shared" si="11"/>
        <v>2017</v>
      </c>
      <c r="D399" s="11">
        <f t="shared" si="12"/>
        <v>103</v>
      </c>
      <c r="E399" t="s">
        <v>6</v>
      </c>
      <c r="F399">
        <v>127.2</v>
      </c>
    </row>
    <row r="400" spans="1:6" hidden="1" x14ac:dyDescent="0.25">
      <c r="A400" t="s">
        <v>7</v>
      </c>
      <c r="B400" s="2">
        <v>42838</v>
      </c>
      <c r="C400">
        <f t="shared" si="11"/>
        <v>2017</v>
      </c>
      <c r="D400" s="11">
        <f t="shared" si="12"/>
        <v>103</v>
      </c>
      <c r="E400" t="s">
        <v>6</v>
      </c>
      <c r="F400">
        <v>119.1</v>
      </c>
    </row>
    <row r="401" spans="1:6" hidden="1" x14ac:dyDescent="0.25">
      <c r="A401" t="s">
        <v>7</v>
      </c>
      <c r="B401" s="2">
        <v>42844</v>
      </c>
      <c r="C401">
        <f t="shared" si="11"/>
        <v>2017</v>
      </c>
      <c r="D401" s="11">
        <f t="shared" si="12"/>
        <v>109</v>
      </c>
      <c r="E401" t="s">
        <v>6</v>
      </c>
      <c r="F401">
        <v>131.69999999999999</v>
      </c>
    </row>
    <row r="402" spans="1:6" hidden="1" x14ac:dyDescent="0.25">
      <c r="A402" t="s">
        <v>7</v>
      </c>
      <c r="B402" s="2">
        <v>42845</v>
      </c>
      <c r="C402">
        <f t="shared" si="11"/>
        <v>2017</v>
      </c>
      <c r="D402" s="11">
        <f t="shared" si="12"/>
        <v>110</v>
      </c>
      <c r="E402" t="s">
        <v>6</v>
      </c>
      <c r="F402">
        <v>116</v>
      </c>
    </row>
    <row r="403" spans="1:6" hidden="1" x14ac:dyDescent="0.25">
      <c r="A403" t="s">
        <v>7</v>
      </c>
      <c r="B403" s="2">
        <v>42845</v>
      </c>
      <c r="C403">
        <f t="shared" si="11"/>
        <v>2017</v>
      </c>
      <c r="D403" s="11">
        <f t="shared" si="12"/>
        <v>110</v>
      </c>
      <c r="E403" t="s">
        <v>6</v>
      </c>
      <c r="F403">
        <v>125.3</v>
      </c>
    </row>
    <row r="404" spans="1:6" hidden="1" x14ac:dyDescent="0.25">
      <c r="A404" t="s">
        <v>7</v>
      </c>
      <c r="B404" s="2">
        <v>42845</v>
      </c>
      <c r="C404">
        <f t="shared" si="11"/>
        <v>2017</v>
      </c>
      <c r="D404" s="11">
        <f t="shared" si="12"/>
        <v>110</v>
      </c>
      <c r="E404" t="s">
        <v>6</v>
      </c>
      <c r="F404">
        <v>120.2</v>
      </c>
    </row>
    <row r="405" spans="1:6" hidden="1" x14ac:dyDescent="0.25">
      <c r="A405" t="s">
        <v>7</v>
      </c>
      <c r="B405" s="2">
        <v>42853</v>
      </c>
      <c r="C405">
        <f t="shared" si="11"/>
        <v>2017</v>
      </c>
      <c r="D405" s="11">
        <f t="shared" si="12"/>
        <v>118</v>
      </c>
      <c r="E405" t="s">
        <v>6</v>
      </c>
      <c r="F405">
        <v>114.2</v>
      </c>
    </row>
    <row r="406" spans="1:6" hidden="1" x14ac:dyDescent="0.25">
      <c r="A406" t="s">
        <v>7</v>
      </c>
      <c r="B406" s="2">
        <v>42853</v>
      </c>
      <c r="C406">
        <f t="shared" si="11"/>
        <v>2017</v>
      </c>
      <c r="D406" s="11">
        <f t="shared" si="12"/>
        <v>118</v>
      </c>
      <c r="E406" t="s">
        <v>6</v>
      </c>
      <c r="F406">
        <v>125.6</v>
      </c>
    </row>
    <row r="407" spans="1:6" hidden="1" x14ac:dyDescent="0.25">
      <c r="A407" t="s">
        <v>7</v>
      </c>
      <c r="B407" s="2">
        <v>42853</v>
      </c>
      <c r="C407">
        <f t="shared" si="11"/>
        <v>2017</v>
      </c>
      <c r="D407" s="11">
        <f t="shared" si="12"/>
        <v>118</v>
      </c>
      <c r="E407" t="s">
        <v>6</v>
      </c>
      <c r="F407">
        <v>120.9</v>
      </c>
    </row>
    <row r="408" spans="1:6" hidden="1" x14ac:dyDescent="0.25">
      <c r="A408" t="s">
        <v>7</v>
      </c>
      <c r="B408" s="2">
        <v>42853</v>
      </c>
      <c r="C408">
        <f t="shared" si="11"/>
        <v>2017</v>
      </c>
      <c r="D408" s="11">
        <f t="shared" si="12"/>
        <v>118</v>
      </c>
      <c r="E408" t="s">
        <v>6</v>
      </c>
      <c r="F408">
        <v>130.30000000000001</v>
      </c>
    </row>
    <row r="409" spans="1:6" hidden="1" x14ac:dyDescent="0.25">
      <c r="A409" t="s">
        <v>7</v>
      </c>
      <c r="B409" s="2">
        <v>42858</v>
      </c>
      <c r="C409">
        <f t="shared" si="11"/>
        <v>2017</v>
      </c>
      <c r="D409" s="11">
        <f t="shared" si="12"/>
        <v>123</v>
      </c>
      <c r="E409" t="s">
        <v>6</v>
      </c>
      <c r="F409">
        <v>135.9</v>
      </c>
    </row>
    <row r="410" spans="1:6" hidden="1" x14ac:dyDescent="0.25">
      <c r="A410" t="s">
        <v>7</v>
      </c>
      <c r="B410" s="2">
        <v>42859</v>
      </c>
      <c r="C410">
        <f t="shared" si="11"/>
        <v>2017</v>
      </c>
      <c r="D410" s="11">
        <f t="shared" si="12"/>
        <v>124</v>
      </c>
      <c r="E410" t="s">
        <v>6</v>
      </c>
      <c r="F410">
        <v>128.4</v>
      </c>
    </row>
    <row r="411" spans="1:6" hidden="1" x14ac:dyDescent="0.25">
      <c r="A411" t="s">
        <v>7</v>
      </c>
      <c r="B411" s="2">
        <v>42860</v>
      </c>
      <c r="C411">
        <f t="shared" si="11"/>
        <v>2017</v>
      </c>
      <c r="D411" s="11">
        <f t="shared" si="12"/>
        <v>125</v>
      </c>
      <c r="E411" t="s">
        <v>6</v>
      </c>
      <c r="F411">
        <v>116</v>
      </c>
    </row>
    <row r="412" spans="1:6" hidden="1" x14ac:dyDescent="0.25">
      <c r="A412" t="s">
        <v>7</v>
      </c>
      <c r="B412" s="2">
        <v>42860</v>
      </c>
      <c r="C412">
        <f t="shared" si="11"/>
        <v>2017</v>
      </c>
      <c r="D412" s="11">
        <f t="shared" si="12"/>
        <v>125</v>
      </c>
      <c r="E412" t="s">
        <v>6</v>
      </c>
      <c r="F412">
        <v>121.5</v>
      </c>
    </row>
    <row r="413" spans="1:6" hidden="1" x14ac:dyDescent="0.25">
      <c r="A413" t="s">
        <v>7</v>
      </c>
      <c r="B413" s="2">
        <v>42872</v>
      </c>
      <c r="C413">
        <f t="shared" si="11"/>
        <v>2017</v>
      </c>
      <c r="D413" s="11">
        <f t="shared" si="12"/>
        <v>137</v>
      </c>
      <c r="E413" t="s">
        <v>6</v>
      </c>
      <c r="F413">
        <v>130.30000000000001</v>
      </c>
    </row>
    <row r="414" spans="1:6" hidden="1" x14ac:dyDescent="0.25">
      <c r="A414" t="s">
        <v>7</v>
      </c>
      <c r="B414" s="2">
        <v>42873</v>
      </c>
      <c r="C414">
        <f t="shared" si="11"/>
        <v>2017</v>
      </c>
      <c r="D414" s="11">
        <f t="shared" si="12"/>
        <v>138</v>
      </c>
      <c r="E414" t="s">
        <v>6</v>
      </c>
      <c r="F414">
        <v>121.6</v>
      </c>
    </row>
    <row r="415" spans="1:6" hidden="1" x14ac:dyDescent="0.25">
      <c r="A415" t="s">
        <v>7</v>
      </c>
      <c r="B415" s="2">
        <v>42873</v>
      </c>
      <c r="C415">
        <f t="shared" si="11"/>
        <v>2017</v>
      </c>
      <c r="D415" s="11">
        <f t="shared" si="12"/>
        <v>138</v>
      </c>
      <c r="E415" t="s">
        <v>6</v>
      </c>
      <c r="F415">
        <v>131.6</v>
      </c>
    </row>
    <row r="416" spans="1:6" hidden="1" x14ac:dyDescent="0.25">
      <c r="A416" t="s">
        <v>7</v>
      </c>
      <c r="B416" s="2">
        <v>42873</v>
      </c>
      <c r="C416">
        <f t="shared" si="11"/>
        <v>2017</v>
      </c>
      <c r="D416" s="11">
        <f t="shared" si="12"/>
        <v>138</v>
      </c>
      <c r="E416" t="s">
        <v>6</v>
      </c>
      <c r="F416">
        <v>123</v>
      </c>
    </row>
    <row r="417" spans="1:6" hidden="1" x14ac:dyDescent="0.25">
      <c r="A417" t="s">
        <v>7</v>
      </c>
      <c r="B417" s="2">
        <v>42886</v>
      </c>
      <c r="C417">
        <f t="shared" si="11"/>
        <v>2017</v>
      </c>
      <c r="D417" s="11">
        <f t="shared" si="12"/>
        <v>151</v>
      </c>
      <c r="E417" t="s">
        <v>6</v>
      </c>
      <c r="F417">
        <v>133.1</v>
      </c>
    </row>
    <row r="418" spans="1:6" hidden="1" x14ac:dyDescent="0.25">
      <c r="A418" t="s">
        <v>7</v>
      </c>
      <c r="B418" s="2">
        <v>42887</v>
      </c>
      <c r="C418">
        <f t="shared" si="11"/>
        <v>2017</v>
      </c>
      <c r="D418" s="11">
        <f t="shared" si="12"/>
        <v>152</v>
      </c>
      <c r="E418" t="s">
        <v>6</v>
      </c>
      <c r="F418">
        <v>116.4</v>
      </c>
    </row>
    <row r="419" spans="1:6" hidden="1" x14ac:dyDescent="0.25">
      <c r="A419" t="s">
        <v>7</v>
      </c>
      <c r="B419" s="2">
        <v>42887</v>
      </c>
      <c r="C419">
        <f t="shared" si="11"/>
        <v>2017</v>
      </c>
      <c r="D419" s="11">
        <f t="shared" si="12"/>
        <v>152</v>
      </c>
      <c r="E419" t="s">
        <v>6</v>
      </c>
      <c r="F419">
        <v>131.9</v>
      </c>
    </row>
    <row r="420" spans="1:6" hidden="1" x14ac:dyDescent="0.25">
      <c r="A420" t="s">
        <v>7</v>
      </c>
      <c r="B420" s="2">
        <v>42887</v>
      </c>
      <c r="C420">
        <f t="shared" si="11"/>
        <v>2017</v>
      </c>
      <c r="D420" s="11">
        <f t="shared" si="12"/>
        <v>152</v>
      </c>
      <c r="E420" t="s">
        <v>6</v>
      </c>
      <c r="F420">
        <v>124.7</v>
      </c>
    </row>
    <row r="421" spans="1:6" hidden="1" x14ac:dyDescent="0.25">
      <c r="A421" t="s">
        <v>7</v>
      </c>
      <c r="B421" s="2">
        <v>42893</v>
      </c>
      <c r="C421">
        <f t="shared" si="11"/>
        <v>2017</v>
      </c>
      <c r="D421" s="11">
        <f t="shared" si="12"/>
        <v>158</v>
      </c>
      <c r="E421" t="s">
        <v>6</v>
      </c>
      <c r="F421">
        <v>119</v>
      </c>
    </row>
    <row r="422" spans="1:6" hidden="1" x14ac:dyDescent="0.25">
      <c r="A422" t="s">
        <v>7</v>
      </c>
      <c r="B422" s="2">
        <v>42893</v>
      </c>
      <c r="C422">
        <f t="shared" si="11"/>
        <v>2017</v>
      </c>
      <c r="D422" s="11">
        <f t="shared" si="12"/>
        <v>158</v>
      </c>
      <c r="E422" t="s">
        <v>6</v>
      </c>
      <c r="F422">
        <v>121.2</v>
      </c>
    </row>
    <row r="423" spans="1:6" hidden="1" x14ac:dyDescent="0.25">
      <c r="A423" t="s">
        <v>7</v>
      </c>
      <c r="B423" s="2">
        <v>42894</v>
      </c>
      <c r="C423">
        <f t="shared" si="11"/>
        <v>2017</v>
      </c>
      <c r="D423" s="11">
        <f t="shared" si="12"/>
        <v>159</v>
      </c>
      <c r="E423" t="s">
        <v>6</v>
      </c>
      <c r="F423">
        <v>132.6</v>
      </c>
    </row>
    <row r="424" spans="1:6" hidden="1" x14ac:dyDescent="0.25">
      <c r="A424" t="s">
        <v>7</v>
      </c>
      <c r="B424" s="2">
        <v>42907</v>
      </c>
      <c r="C424">
        <f t="shared" si="11"/>
        <v>2017</v>
      </c>
      <c r="D424" s="11">
        <f t="shared" si="12"/>
        <v>172</v>
      </c>
      <c r="E424" t="s">
        <v>6</v>
      </c>
      <c r="F424">
        <v>117.5</v>
      </c>
    </row>
    <row r="425" spans="1:6" hidden="1" x14ac:dyDescent="0.25">
      <c r="A425" t="s">
        <v>7</v>
      </c>
      <c r="B425" s="2">
        <v>42907</v>
      </c>
      <c r="C425">
        <f t="shared" si="11"/>
        <v>2017</v>
      </c>
      <c r="D425" s="11">
        <f t="shared" si="12"/>
        <v>172</v>
      </c>
      <c r="E425" t="s">
        <v>6</v>
      </c>
      <c r="F425">
        <v>121.7</v>
      </c>
    </row>
    <row r="426" spans="1:6" hidden="1" x14ac:dyDescent="0.25">
      <c r="A426" t="s">
        <v>7</v>
      </c>
      <c r="B426" s="2">
        <v>42908</v>
      </c>
      <c r="C426">
        <f t="shared" si="11"/>
        <v>2017</v>
      </c>
      <c r="D426" s="11">
        <f t="shared" si="12"/>
        <v>173</v>
      </c>
      <c r="E426" t="s">
        <v>6</v>
      </c>
      <c r="F426">
        <v>130.1</v>
      </c>
    </row>
    <row r="427" spans="1:6" hidden="1" x14ac:dyDescent="0.25">
      <c r="A427" t="s">
        <v>7</v>
      </c>
      <c r="B427" s="2">
        <v>43115</v>
      </c>
      <c r="C427">
        <f t="shared" si="11"/>
        <v>2018</v>
      </c>
      <c r="D427" s="11">
        <f t="shared" si="12"/>
        <v>15</v>
      </c>
      <c r="E427" t="s">
        <v>6</v>
      </c>
      <c r="F427">
        <v>59.6</v>
      </c>
    </row>
    <row r="428" spans="1:6" hidden="1" x14ac:dyDescent="0.25">
      <c r="A428" t="s">
        <v>7</v>
      </c>
      <c r="B428" s="2">
        <v>43115</v>
      </c>
      <c r="C428">
        <f t="shared" si="11"/>
        <v>2018</v>
      </c>
      <c r="D428" s="11">
        <f t="shared" si="12"/>
        <v>15</v>
      </c>
      <c r="E428" t="s">
        <v>6</v>
      </c>
      <c r="F428">
        <v>67.7</v>
      </c>
    </row>
    <row r="429" spans="1:6" hidden="1" x14ac:dyDescent="0.25">
      <c r="A429" t="s">
        <v>7</v>
      </c>
      <c r="B429" s="2">
        <v>43116</v>
      </c>
      <c r="C429">
        <f t="shared" si="11"/>
        <v>2018</v>
      </c>
      <c r="D429" s="11">
        <f t="shared" si="12"/>
        <v>16</v>
      </c>
      <c r="E429" t="s">
        <v>6</v>
      </c>
      <c r="F429">
        <v>63.1</v>
      </c>
    </row>
    <row r="430" spans="1:6" hidden="1" x14ac:dyDescent="0.25">
      <c r="A430" t="s">
        <v>7</v>
      </c>
      <c r="B430" s="2">
        <v>43116</v>
      </c>
      <c r="C430">
        <f t="shared" si="11"/>
        <v>2018</v>
      </c>
      <c r="D430" s="11">
        <f t="shared" si="12"/>
        <v>16</v>
      </c>
      <c r="E430" t="s">
        <v>6</v>
      </c>
      <c r="F430">
        <v>68.400000000000006</v>
      </c>
    </row>
    <row r="431" spans="1:6" hidden="1" x14ac:dyDescent="0.25">
      <c r="A431" t="s">
        <v>7</v>
      </c>
      <c r="B431" s="2">
        <v>43150</v>
      </c>
      <c r="C431">
        <f t="shared" si="11"/>
        <v>2018</v>
      </c>
      <c r="D431" s="11">
        <f t="shared" si="12"/>
        <v>50</v>
      </c>
      <c r="E431" t="s">
        <v>6</v>
      </c>
      <c r="F431">
        <v>81.5</v>
      </c>
    </row>
    <row r="432" spans="1:6" hidden="1" x14ac:dyDescent="0.25">
      <c r="A432" t="s">
        <v>7</v>
      </c>
      <c r="B432" s="2">
        <v>43150</v>
      </c>
      <c r="C432">
        <f t="shared" si="11"/>
        <v>2018</v>
      </c>
      <c r="D432" s="11">
        <f t="shared" si="12"/>
        <v>50</v>
      </c>
      <c r="E432" t="s">
        <v>6</v>
      </c>
      <c r="F432">
        <v>88</v>
      </c>
    </row>
    <row r="433" spans="1:6" hidden="1" x14ac:dyDescent="0.25">
      <c r="A433" t="s">
        <v>7</v>
      </c>
      <c r="B433" s="2">
        <v>43151</v>
      </c>
      <c r="C433">
        <f t="shared" si="11"/>
        <v>2018</v>
      </c>
      <c r="D433" s="11">
        <f t="shared" si="12"/>
        <v>51</v>
      </c>
      <c r="E433" t="s">
        <v>6</v>
      </c>
      <c r="F433">
        <v>77.2</v>
      </c>
    </row>
    <row r="434" spans="1:6" hidden="1" x14ac:dyDescent="0.25">
      <c r="A434" t="s">
        <v>7</v>
      </c>
      <c r="B434" s="2">
        <v>43151</v>
      </c>
      <c r="C434">
        <f t="shared" si="11"/>
        <v>2018</v>
      </c>
      <c r="D434" s="11">
        <f t="shared" si="12"/>
        <v>51</v>
      </c>
      <c r="E434" t="s">
        <v>6</v>
      </c>
      <c r="F434">
        <v>84.2</v>
      </c>
    </row>
    <row r="435" spans="1:6" hidden="1" x14ac:dyDescent="0.25">
      <c r="A435" t="s">
        <v>7</v>
      </c>
      <c r="B435" s="2">
        <v>43164</v>
      </c>
      <c r="C435">
        <f t="shared" si="11"/>
        <v>2018</v>
      </c>
      <c r="D435" s="11">
        <f t="shared" si="12"/>
        <v>64</v>
      </c>
      <c r="E435" t="s">
        <v>6</v>
      </c>
      <c r="F435">
        <v>88.9</v>
      </c>
    </row>
    <row r="436" spans="1:6" hidden="1" x14ac:dyDescent="0.25">
      <c r="A436" t="s">
        <v>7</v>
      </c>
      <c r="B436" s="2">
        <v>43164</v>
      </c>
      <c r="C436">
        <f t="shared" si="11"/>
        <v>2018</v>
      </c>
      <c r="D436" s="11">
        <f t="shared" si="12"/>
        <v>64</v>
      </c>
      <c r="E436" t="s">
        <v>6</v>
      </c>
      <c r="F436">
        <v>93.5</v>
      </c>
    </row>
    <row r="437" spans="1:6" hidden="1" x14ac:dyDescent="0.25">
      <c r="A437" t="s">
        <v>7</v>
      </c>
      <c r="B437" s="2">
        <v>43165</v>
      </c>
      <c r="C437">
        <f t="shared" si="11"/>
        <v>2018</v>
      </c>
      <c r="D437" s="11">
        <f t="shared" si="12"/>
        <v>65</v>
      </c>
      <c r="E437" t="s">
        <v>6</v>
      </c>
      <c r="F437">
        <v>88.1</v>
      </c>
    </row>
    <row r="438" spans="1:6" hidden="1" x14ac:dyDescent="0.25">
      <c r="A438" t="s">
        <v>7</v>
      </c>
      <c r="B438" s="2">
        <v>43165</v>
      </c>
      <c r="C438">
        <f t="shared" si="11"/>
        <v>2018</v>
      </c>
      <c r="D438" s="11">
        <f t="shared" si="12"/>
        <v>65</v>
      </c>
      <c r="E438" t="s">
        <v>6</v>
      </c>
      <c r="F438">
        <v>94.7</v>
      </c>
    </row>
    <row r="439" spans="1:6" hidden="1" x14ac:dyDescent="0.25">
      <c r="A439" t="s">
        <v>7</v>
      </c>
      <c r="B439" s="2">
        <v>43178</v>
      </c>
      <c r="C439">
        <f t="shared" ref="C439:C501" si="13">YEAR(B439)</f>
        <v>2018</v>
      </c>
      <c r="D439" s="11">
        <f t="shared" si="12"/>
        <v>78</v>
      </c>
      <c r="E439" t="s">
        <v>6</v>
      </c>
      <c r="F439">
        <v>92.8</v>
      </c>
    </row>
    <row r="440" spans="1:6" hidden="1" x14ac:dyDescent="0.25">
      <c r="A440" t="s">
        <v>7</v>
      </c>
      <c r="B440" s="2">
        <v>43178</v>
      </c>
      <c r="C440">
        <f t="shared" si="13"/>
        <v>2018</v>
      </c>
      <c r="D440" s="11">
        <f t="shared" si="12"/>
        <v>78</v>
      </c>
      <c r="E440" t="s">
        <v>6</v>
      </c>
      <c r="F440">
        <v>100.4</v>
      </c>
    </row>
    <row r="441" spans="1:6" hidden="1" x14ac:dyDescent="0.25">
      <c r="A441" t="s">
        <v>7</v>
      </c>
      <c r="B441" s="2">
        <v>43179</v>
      </c>
      <c r="C441">
        <f t="shared" si="13"/>
        <v>2018</v>
      </c>
      <c r="D441" s="11">
        <f t="shared" si="12"/>
        <v>79</v>
      </c>
      <c r="E441" t="s">
        <v>6</v>
      </c>
      <c r="F441">
        <v>93.1</v>
      </c>
    </row>
    <row r="442" spans="1:6" hidden="1" x14ac:dyDescent="0.25">
      <c r="A442" t="s">
        <v>7</v>
      </c>
      <c r="B442" s="2">
        <v>43179</v>
      </c>
      <c r="C442">
        <f t="shared" si="13"/>
        <v>2018</v>
      </c>
      <c r="D442" s="11">
        <f t="shared" si="12"/>
        <v>79</v>
      </c>
      <c r="E442" t="s">
        <v>6</v>
      </c>
      <c r="F442">
        <v>96.3</v>
      </c>
    </row>
    <row r="443" spans="1:6" hidden="1" x14ac:dyDescent="0.25">
      <c r="A443" t="s">
        <v>7</v>
      </c>
      <c r="B443" s="2">
        <v>43194</v>
      </c>
      <c r="C443">
        <f t="shared" si="13"/>
        <v>2018</v>
      </c>
      <c r="D443" s="11">
        <f t="shared" si="12"/>
        <v>94</v>
      </c>
      <c r="E443" t="s">
        <v>6</v>
      </c>
      <c r="F443">
        <v>102.6</v>
      </c>
    </row>
    <row r="444" spans="1:6" hidden="1" x14ac:dyDescent="0.25">
      <c r="A444" t="s">
        <v>7</v>
      </c>
      <c r="B444" s="2">
        <v>43194</v>
      </c>
      <c r="C444">
        <f t="shared" si="13"/>
        <v>2018</v>
      </c>
      <c r="D444" s="11">
        <f t="shared" si="12"/>
        <v>94</v>
      </c>
      <c r="E444" t="s">
        <v>6</v>
      </c>
      <c r="F444">
        <v>110.1</v>
      </c>
    </row>
    <row r="445" spans="1:6" hidden="1" x14ac:dyDescent="0.25">
      <c r="A445" t="s">
        <v>7</v>
      </c>
      <c r="B445" s="2">
        <v>43195</v>
      </c>
      <c r="C445">
        <f t="shared" si="13"/>
        <v>2018</v>
      </c>
      <c r="D445" s="11">
        <f t="shared" si="12"/>
        <v>95</v>
      </c>
      <c r="E445" t="s">
        <v>6</v>
      </c>
      <c r="F445">
        <v>98.9</v>
      </c>
    </row>
    <row r="446" spans="1:6" hidden="1" x14ac:dyDescent="0.25">
      <c r="A446" t="s">
        <v>7</v>
      </c>
      <c r="B446" s="2">
        <v>43195</v>
      </c>
      <c r="C446">
        <f t="shared" si="13"/>
        <v>2018</v>
      </c>
      <c r="D446" s="11">
        <f t="shared" si="12"/>
        <v>95</v>
      </c>
      <c r="E446" t="s">
        <v>6</v>
      </c>
      <c r="F446">
        <v>105.7</v>
      </c>
    </row>
    <row r="447" spans="1:6" hidden="1" x14ac:dyDescent="0.25">
      <c r="A447" t="s">
        <v>7</v>
      </c>
      <c r="B447" s="2">
        <v>43200</v>
      </c>
      <c r="C447">
        <f t="shared" si="13"/>
        <v>2018</v>
      </c>
      <c r="D447" s="11">
        <f t="shared" si="12"/>
        <v>100</v>
      </c>
      <c r="E447" t="s">
        <v>6</v>
      </c>
      <c r="F447">
        <v>100.4</v>
      </c>
    </row>
    <row r="448" spans="1:6" hidden="1" x14ac:dyDescent="0.25">
      <c r="A448" t="s">
        <v>7</v>
      </c>
      <c r="B448" s="2">
        <v>43200</v>
      </c>
      <c r="C448">
        <f t="shared" si="13"/>
        <v>2018</v>
      </c>
      <c r="D448" s="11">
        <f t="shared" si="12"/>
        <v>100</v>
      </c>
      <c r="E448" t="s">
        <v>6</v>
      </c>
      <c r="F448">
        <v>111.8</v>
      </c>
    </row>
    <row r="449" spans="1:6" hidden="1" x14ac:dyDescent="0.25">
      <c r="A449" t="s">
        <v>7</v>
      </c>
      <c r="B449" s="2">
        <v>43201</v>
      </c>
      <c r="C449">
        <f t="shared" si="13"/>
        <v>2018</v>
      </c>
      <c r="D449" s="11">
        <f t="shared" si="12"/>
        <v>101</v>
      </c>
      <c r="E449" t="s">
        <v>6</v>
      </c>
      <c r="F449">
        <v>100.7</v>
      </c>
    </row>
    <row r="450" spans="1:6" hidden="1" x14ac:dyDescent="0.25">
      <c r="A450" t="s">
        <v>7</v>
      </c>
      <c r="B450" s="2">
        <v>43201</v>
      </c>
      <c r="C450">
        <f t="shared" si="13"/>
        <v>2018</v>
      </c>
      <c r="D450" s="11">
        <f t="shared" si="12"/>
        <v>101</v>
      </c>
      <c r="E450" t="s">
        <v>6</v>
      </c>
      <c r="F450">
        <v>109.4</v>
      </c>
    </row>
    <row r="451" spans="1:6" hidden="1" x14ac:dyDescent="0.25">
      <c r="A451" t="s">
        <v>7</v>
      </c>
      <c r="B451" s="2">
        <v>43206</v>
      </c>
      <c r="C451">
        <f t="shared" si="13"/>
        <v>2018</v>
      </c>
      <c r="D451" s="11">
        <f t="shared" ref="D451:D514" si="14">B451-DATE(YEAR(B451),1,0)</f>
        <v>106</v>
      </c>
      <c r="E451" t="s">
        <v>6</v>
      </c>
      <c r="F451">
        <v>102.3</v>
      </c>
    </row>
    <row r="452" spans="1:6" hidden="1" x14ac:dyDescent="0.25">
      <c r="A452" t="s">
        <v>7</v>
      </c>
      <c r="B452" s="2">
        <v>43206</v>
      </c>
      <c r="C452">
        <f t="shared" si="13"/>
        <v>2018</v>
      </c>
      <c r="D452" s="11">
        <f t="shared" si="14"/>
        <v>106</v>
      </c>
      <c r="E452" t="s">
        <v>6</v>
      </c>
      <c r="F452">
        <v>111.2</v>
      </c>
    </row>
    <row r="453" spans="1:6" hidden="1" x14ac:dyDescent="0.25">
      <c r="A453" t="s">
        <v>7</v>
      </c>
      <c r="B453" s="2">
        <v>43209</v>
      </c>
      <c r="C453">
        <f t="shared" si="13"/>
        <v>2018</v>
      </c>
      <c r="D453" s="11">
        <f t="shared" si="14"/>
        <v>109</v>
      </c>
      <c r="E453" t="s">
        <v>6</v>
      </c>
      <c r="F453">
        <v>103.4</v>
      </c>
    </row>
    <row r="454" spans="1:6" hidden="1" x14ac:dyDescent="0.25">
      <c r="A454" t="s">
        <v>7</v>
      </c>
      <c r="B454" s="2">
        <v>43209</v>
      </c>
      <c r="C454">
        <f t="shared" si="13"/>
        <v>2018</v>
      </c>
      <c r="D454" s="11">
        <f t="shared" si="14"/>
        <v>109</v>
      </c>
      <c r="E454" t="s">
        <v>6</v>
      </c>
      <c r="F454">
        <v>114.4</v>
      </c>
    </row>
    <row r="455" spans="1:6" hidden="1" x14ac:dyDescent="0.25">
      <c r="A455" t="s">
        <v>7</v>
      </c>
      <c r="B455" s="2">
        <v>43215</v>
      </c>
      <c r="C455">
        <f t="shared" si="13"/>
        <v>2018</v>
      </c>
      <c r="D455" s="11">
        <f t="shared" si="14"/>
        <v>115</v>
      </c>
      <c r="E455" t="s">
        <v>6</v>
      </c>
      <c r="F455">
        <v>100.7</v>
      </c>
    </row>
    <row r="456" spans="1:6" hidden="1" x14ac:dyDescent="0.25">
      <c r="A456" t="s">
        <v>7</v>
      </c>
      <c r="B456" s="2">
        <v>43215</v>
      </c>
      <c r="C456">
        <f t="shared" si="13"/>
        <v>2018</v>
      </c>
      <c r="D456" s="11">
        <f t="shared" si="14"/>
        <v>115</v>
      </c>
      <c r="E456" t="s">
        <v>6</v>
      </c>
      <c r="F456">
        <v>106.2</v>
      </c>
    </row>
    <row r="457" spans="1:6" hidden="1" x14ac:dyDescent="0.25">
      <c r="A457" t="s">
        <v>7</v>
      </c>
      <c r="B457" s="2">
        <v>43215</v>
      </c>
      <c r="C457">
        <f t="shared" si="13"/>
        <v>2018</v>
      </c>
      <c r="D457" s="11">
        <f t="shared" si="14"/>
        <v>115</v>
      </c>
      <c r="E457" t="s">
        <v>6</v>
      </c>
      <c r="F457">
        <v>118.2</v>
      </c>
    </row>
    <row r="458" spans="1:6" hidden="1" x14ac:dyDescent="0.25">
      <c r="A458" t="s">
        <v>7</v>
      </c>
      <c r="B458" s="2">
        <v>43215</v>
      </c>
      <c r="C458">
        <f t="shared" si="13"/>
        <v>2018</v>
      </c>
      <c r="D458" s="11">
        <f t="shared" si="14"/>
        <v>115</v>
      </c>
      <c r="E458" t="s">
        <v>6</v>
      </c>
      <c r="F458">
        <v>114.1</v>
      </c>
    </row>
    <row r="459" spans="1:6" hidden="1" x14ac:dyDescent="0.25">
      <c r="A459" t="s">
        <v>7</v>
      </c>
      <c r="B459" s="2">
        <v>43221</v>
      </c>
      <c r="C459">
        <f t="shared" si="13"/>
        <v>2018</v>
      </c>
      <c r="D459" s="11">
        <f t="shared" si="14"/>
        <v>121</v>
      </c>
      <c r="E459" t="s">
        <v>6</v>
      </c>
      <c r="F459">
        <v>109.9</v>
      </c>
    </row>
    <row r="460" spans="1:6" hidden="1" x14ac:dyDescent="0.25">
      <c r="A460" t="s">
        <v>7</v>
      </c>
      <c r="B460" s="2">
        <v>43221</v>
      </c>
      <c r="C460">
        <f t="shared" si="13"/>
        <v>2018</v>
      </c>
      <c r="D460" s="11">
        <f t="shared" si="14"/>
        <v>121</v>
      </c>
      <c r="E460" t="s">
        <v>6</v>
      </c>
      <c r="F460">
        <v>114.4</v>
      </c>
    </row>
    <row r="461" spans="1:6" hidden="1" x14ac:dyDescent="0.25">
      <c r="A461" t="s">
        <v>7</v>
      </c>
      <c r="B461" s="2">
        <v>43221</v>
      </c>
      <c r="C461">
        <f t="shared" si="13"/>
        <v>2018</v>
      </c>
      <c r="D461" s="11">
        <f t="shared" si="14"/>
        <v>121</v>
      </c>
      <c r="E461" t="s">
        <v>6</v>
      </c>
      <c r="F461">
        <v>118.9</v>
      </c>
    </row>
    <row r="462" spans="1:6" hidden="1" x14ac:dyDescent="0.25">
      <c r="A462" t="s">
        <v>7</v>
      </c>
      <c r="B462" s="2">
        <v>43221</v>
      </c>
      <c r="C462">
        <f t="shared" si="13"/>
        <v>2018</v>
      </c>
      <c r="D462" s="11">
        <f t="shared" si="14"/>
        <v>121</v>
      </c>
      <c r="E462" t="s">
        <v>6</v>
      </c>
      <c r="F462">
        <v>120.6</v>
      </c>
    </row>
    <row r="463" spans="1:6" hidden="1" x14ac:dyDescent="0.25">
      <c r="A463" t="s">
        <v>7</v>
      </c>
      <c r="B463" s="2">
        <v>43234</v>
      </c>
      <c r="C463">
        <f t="shared" si="13"/>
        <v>2018</v>
      </c>
      <c r="D463" s="11">
        <f t="shared" si="14"/>
        <v>134</v>
      </c>
      <c r="E463" t="s">
        <v>6</v>
      </c>
      <c r="F463">
        <v>109.5</v>
      </c>
    </row>
    <row r="464" spans="1:6" hidden="1" x14ac:dyDescent="0.25">
      <c r="A464" t="s">
        <v>7</v>
      </c>
      <c r="B464" s="2">
        <v>43234</v>
      </c>
      <c r="C464">
        <f t="shared" si="13"/>
        <v>2018</v>
      </c>
      <c r="D464" s="11">
        <f t="shared" si="14"/>
        <v>134</v>
      </c>
      <c r="E464" t="s">
        <v>6</v>
      </c>
      <c r="F464">
        <v>118.4</v>
      </c>
    </row>
    <row r="465" spans="1:6" hidden="1" x14ac:dyDescent="0.25">
      <c r="A465" t="s">
        <v>7</v>
      </c>
      <c r="B465" s="2">
        <v>43235</v>
      </c>
      <c r="C465">
        <f t="shared" si="13"/>
        <v>2018</v>
      </c>
      <c r="D465" s="11">
        <f t="shared" si="14"/>
        <v>135</v>
      </c>
      <c r="E465" t="s">
        <v>6</v>
      </c>
      <c r="F465">
        <v>107</v>
      </c>
    </row>
    <row r="466" spans="1:6" hidden="1" x14ac:dyDescent="0.25">
      <c r="A466" t="s">
        <v>7</v>
      </c>
      <c r="B466" s="2">
        <v>43235</v>
      </c>
      <c r="C466">
        <f t="shared" si="13"/>
        <v>2018</v>
      </c>
      <c r="D466" s="11">
        <f t="shared" si="14"/>
        <v>135</v>
      </c>
      <c r="E466" t="s">
        <v>6</v>
      </c>
      <c r="F466">
        <v>116.6</v>
      </c>
    </row>
    <row r="467" spans="1:6" hidden="1" x14ac:dyDescent="0.25">
      <c r="A467" t="s">
        <v>7</v>
      </c>
      <c r="B467" s="2">
        <v>43248</v>
      </c>
      <c r="C467">
        <f t="shared" si="13"/>
        <v>2018</v>
      </c>
      <c r="D467" s="11">
        <f t="shared" si="14"/>
        <v>148</v>
      </c>
      <c r="E467" t="s">
        <v>6</v>
      </c>
      <c r="F467">
        <v>112.9</v>
      </c>
    </row>
    <row r="468" spans="1:6" hidden="1" x14ac:dyDescent="0.25">
      <c r="A468" t="s">
        <v>7</v>
      </c>
      <c r="B468" s="2">
        <v>43248</v>
      </c>
      <c r="C468">
        <f t="shared" si="13"/>
        <v>2018</v>
      </c>
      <c r="D468" s="11">
        <f t="shared" si="14"/>
        <v>148</v>
      </c>
      <c r="E468" t="s">
        <v>6</v>
      </c>
      <c r="F468">
        <v>118.1</v>
      </c>
    </row>
    <row r="469" spans="1:6" hidden="1" x14ac:dyDescent="0.25">
      <c r="A469" t="s">
        <v>7</v>
      </c>
      <c r="B469" s="2">
        <v>43249</v>
      </c>
      <c r="C469">
        <f t="shared" si="13"/>
        <v>2018</v>
      </c>
      <c r="D469" s="11">
        <f t="shared" si="14"/>
        <v>149</v>
      </c>
      <c r="E469" t="s">
        <v>6</v>
      </c>
      <c r="F469">
        <v>104.3</v>
      </c>
    </row>
    <row r="470" spans="1:6" hidden="1" x14ac:dyDescent="0.25">
      <c r="A470" t="s">
        <v>7</v>
      </c>
      <c r="B470" s="2">
        <v>43249</v>
      </c>
      <c r="C470">
        <f t="shared" si="13"/>
        <v>2018</v>
      </c>
      <c r="D470" s="11">
        <f t="shared" si="14"/>
        <v>149</v>
      </c>
      <c r="E470" t="s">
        <v>6</v>
      </c>
      <c r="F470">
        <v>118.2</v>
      </c>
    </row>
    <row r="471" spans="1:6" hidden="1" x14ac:dyDescent="0.25">
      <c r="A471" t="s">
        <v>7</v>
      </c>
      <c r="B471" s="2">
        <v>43479</v>
      </c>
      <c r="C471">
        <f t="shared" si="13"/>
        <v>2019</v>
      </c>
      <c r="D471" s="11">
        <f t="shared" si="14"/>
        <v>14</v>
      </c>
      <c r="E471" t="s">
        <v>6</v>
      </c>
      <c r="F471">
        <v>58.2</v>
      </c>
    </row>
    <row r="472" spans="1:6" hidden="1" x14ac:dyDescent="0.25">
      <c r="A472" t="s">
        <v>7</v>
      </c>
      <c r="B472" s="2">
        <v>43479</v>
      </c>
      <c r="C472">
        <f t="shared" si="13"/>
        <v>2019</v>
      </c>
      <c r="D472" s="11">
        <f t="shared" si="14"/>
        <v>14</v>
      </c>
      <c r="E472" t="s">
        <v>6</v>
      </c>
      <c r="F472">
        <v>57.8</v>
      </c>
    </row>
    <row r="473" spans="1:6" hidden="1" x14ac:dyDescent="0.25">
      <c r="A473" t="s">
        <v>7</v>
      </c>
      <c r="B473" s="2">
        <v>43479</v>
      </c>
      <c r="C473">
        <f t="shared" si="13"/>
        <v>2019</v>
      </c>
      <c r="D473" s="11">
        <f t="shared" si="14"/>
        <v>14</v>
      </c>
      <c r="E473" t="s">
        <v>6</v>
      </c>
      <c r="F473">
        <v>64.400000000000006</v>
      </c>
    </row>
    <row r="474" spans="1:6" hidden="1" x14ac:dyDescent="0.25">
      <c r="A474" t="s">
        <v>7</v>
      </c>
      <c r="B474" s="2">
        <v>43479</v>
      </c>
      <c r="C474">
        <f t="shared" si="13"/>
        <v>2019</v>
      </c>
      <c r="D474" s="11">
        <f t="shared" si="14"/>
        <v>14</v>
      </c>
      <c r="E474" t="s">
        <v>6</v>
      </c>
      <c r="F474">
        <v>50.5</v>
      </c>
    </row>
    <row r="475" spans="1:6" hidden="1" x14ac:dyDescent="0.25">
      <c r="A475" t="s">
        <v>7</v>
      </c>
      <c r="B475" s="2">
        <v>43514</v>
      </c>
      <c r="C475">
        <f t="shared" si="13"/>
        <v>2019</v>
      </c>
      <c r="D475" s="11">
        <f t="shared" si="14"/>
        <v>49</v>
      </c>
      <c r="E475" t="s">
        <v>6</v>
      </c>
      <c r="F475">
        <v>81.599999999999994</v>
      </c>
    </row>
    <row r="476" spans="1:6" hidden="1" x14ac:dyDescent="0.25">
      <c r="A476" t="s">
        <v>7</v>
      </c>
      <c r="B476" s="2">
        <v>43514</v>
      </c>
      <c r="C476">
        <f t="shared" si="13"/>
        <v>2019</v>
      </c>
      <c r="D476" s="11">
        <f t="shared" si="14"/>
        <v>49</v>
      </c>
      <c r="E476" t="s">
        <v>6</v>
      </c>
      <c r="F476">
        <v>85.6</v>
      </c>
    </row>
    <row r="477" spans="1:6" hidden="1" x14ac:dyDescent="0.25">
      <c r="A477" t="s">
        <v>7</v>
      </c>
      <c r="B477" s="2">
        <v>43514</v>
      </c>
      <c r="C477">
        <f t="shared" si="13"/>
        <v>2019</v>
      </c>
      <c r="D477" s="11">
        <f t="shared" si="14"/>
        <v>49</v>
      </c>
      <c r="E477" t="s">
        <v>6</v>
      </c>
      <c r="F477">
        <v>87.8</v>
      </c>
    </row>
    <row r="478" spans="1:6" hidden="1" x14ac:dyDescent="0.25">
      <c r="A478" t="s">
        <v>7</v>
      </c>
      <c r="B478" s="2">
        <v>43514</v>
      </c>
      <c r="C478">
        <f t="shared" si="13"/>
        <v>2019</v>
      </c>
      <c r="D478" s="11">
        <f t="shared" si="14"/>
        <v>49</v>
      </c>
      <c r="E478" t="s">
        <v>6</v>
      </c>
      <c r="F478">
        <v>74.099999999999994</v>
      </c>
    </row>
    <row r="479" spans="1:6" hidden="1" x14ac:dyDescent="0.25">
      <c r="A479" t="s">
        <v>7</v>
      </c>
      <c r="B479" s="2">
        <v>43528</v>
      </c>
      <c r="C479">
        <f t="shared" si="13"/>
        <v>2019</v>
      </c>
      <c r="D479" s="11">
        <f t="shared" si="14"/>
        <v>63</v>
      </c>
      <c r="E479" t="s">
        <v>6</v>
      </c>
      <c r="F479">
        <v>90.8</v>
      </c>
    </row>
    <row r="480" spans="1:6" hidden="1" x14ac:dyDescent="0.25">
      <c r="A480" t="s">
        <v>7</v>
      </c>
      <c r="B480" s="2">
        <v>43528</v>
      </c>
      <c r="C480">
        <f t="shared" si="13"/>
        <v>2019</v>
      </c>
      <c r="D480" s="11">
        <f t="shared" si="14"/>
        <v>63</v>
      </c>
      <c r="E480" t="s">
        <v>6</v>
      </c>
      <c r="F480">
        <v>73.5</v>
      </c>
    </row>
    <row r="481" spans="1:6" hidden="1" x14ac:dyDescent="0.25">
      <c r="A481" t="s">
        <v>7</v>
      </c>
      <c r="B481" s="2">
        <v>43529</v>
      </c>
      <c r="C481">
        <f t="shared" si="13"/>
        <v>2019</v>
      </c>
      <c r="D481" s="11">
        <f t="shared" si="14"/>
        <v>64</v>
      </c>
      <c r="E481" t="s">
        <v>6</v>
      </c>
      <c r="F481">
        <v>83.8</v>
      </c>
    </row>
    <row r="482" spans="1:6" hidden="1" x14ac:dyDescent="0.25">
      <c r="A482" t="s">
        <v>7</v>
      </c>
      <c r="B482" s="2">
        <v>43542</v>
      </c>
      <c r="C482">
        <f t="shared" si="13"/>
        <v>2019</v>
      </c>
      <c r="D482" s="11">
        <f t="shared" si="14"/>
        <v>77</v>
      </c>
      <c r="E482" t="s">
        <v>6</v>
      </c>
      <c r="F482">
        <v>98.2</v>
      </c>
    </row>
    <row r="483" spans="1:6" hidden="1" x14ac:dyDescent="0.25">
      <c r="A483" t="s">
        <v>7</v>
      </c>
      <c r="B483" s="2">
        <v>43542</v>
      </c>
      <c r="C483">
        <f t="shared" si="13"/>
        <v>2019</v>
      </c>
      <c r="D483" s="11">
        <f t="shared" si="14"/>
        <v>77</v>
      </c>
      <c r="E483" t="s">
        <v>6</v>
      </c>
      <c r="F483">
        <v>81.7</v>
      </c>
    </row>
    <row r="484" spans="1:6" hidden="1" x14ac:dyDescent="0.25">
      <c r="A484" t="s">
        <v>7</v>
      </c>
      <c r="B484" s="2">
        <v>43543</v>
      </c>
      <c r="C484">
        <f t="shared" si="13"/>
        <v>2019</v>
      </c>
      <c r="D484" s="11">
        <f t="shared" si="14"/>
        <v>78</v>
      </c>
      <c r="E484" t="s">
        <v>6</v>
      </c>
      <c r="F484">
        <v>95.2</v>
      </c>
    </row>
    <row r="485" spans="1:6" hidden="1" x14ac:dyDescent="0.25">
      <c r="A485" t="s">
        <v>7</v>
      </c>
      <c r="B485" s="2">
        <v>43557</v>
      </c>
      <c r="C485">
        <f t="shared" si="13"/>
        <v>2019</v>
      </c>
      <c r="D485" s="11">
        <f t="shared" si="14"/>
        <v>92</v>
      </c>
      <c r="E485" t="s">
        <v>6</v>
      </c>
      <c r="F485">
        <v>100.7</v>
      </c>
    </row>
    <row r="486" spans="1:6" hidden="1" x14ac:dyDescent="0.25">
      <c r="A486" t="s">
        <v>7</v>
      </c>
      <c r="B486" s="2">
        <v>43557</v>
      </c>
      <c r="C486">
        <f t="shared" si="13"/>
        <v>2019</v>
      </c>
      <c r="D486" s="11">
        <f t="shared" si="14"/>
        <v>92</v>
      </c>
      <c r="E486" t="s">
        <v>6</v>
      </c>
      <c r="F486">
        <v>106</v>
      </c>
    </row>
    <row r="487" spans="1:6" hidden="1" x14ac:dyDescent="0.25">
      <c r="A487" t="s">
        <v>7</v>
      </c>
      <c r="B487" s="2">
        <v>43557</v>
      </c>
      <c r="C487">
        <f t="shared" si="13"/>
        <v>2019</v>
      </c>
      <c r="D487" s="11">
        <f t="shared" si="14"/>
        <v>92</v>
      </c>
      <c r="E487" t="s">
        <v>6</v>
      </c>
      <c r="F487">
        <v>107.4</v>
      </c>
    </row>
    <row r="488" spans="1:6" hidden="1" x14ac:dyDescent="0.25">
      <c r="A488" t="s">
        <v>7</v>
      </c>
      <c r="B488" s="2">
        <v>43557</v>
      </c>
      <c r="C488">
        <f t="shared" si="13"/>
        <v>2019</v>
      </c>
      <c r="D488" s="11">
        <f t="shared" si="14"/>
        <v>92</v>
      </c>
      <c r="E488" t="s">
        <v>6</v>
      </c>
      <c r="F488">
        <v>89.5</v>
      </c>
    </row>
    <row r="489" spans="1:6" hidden="1" x14ac:dyDescent="0.25">
      <c r="A489" t="s">
        <v>7</v>
      </c>
      <c r="B489" s="2">
        <v>43564</v>
      </c>
      <c r="C489">
        <f t="shared" si="13"/>
        <v>2019</v>
      </c>
      <c r="D489" s="11">
        <f t="shared" si="14"/>
        <v>99</v>
      </c>
      <c r="E489" t="s">
        <v>6</v>
      </c>
      <c r="F489">
        <v>102.5</v>
      </c>
    </row>
    <row r="490" spans="1:6" hidden="1" x14ac:dyDescent="0.25">
      <c r="A490" t="s">
        <v>7</v>
      </c>
      <c r="B490" s="2">
        <v>43564</v>
      </c>
      <c r="C490">
        <f t="shared" si="13"/>
        <v>2019</v>
      </c>
      <c r="D490" s="11">
        <f t="shared" si="14"/>
        <v>99</v>
      </c>
      <c r="E490" t="s">
        <v>6</v>
      </c>
      <c r="F490">
        <v>110.4</v>
      </c>
    </row>
    <row r="491" spans="1:6" hidden="1" x14ac:dyDescent="0.25">
      <c r="A491" t="s">
        <v>7</v>
      </c>
      <c r="B491" s="2">
        <v>43564</v>
      </c>
      <c r="C491">
        <f t="shared" si="13"/>
        <v>2019</v>
      </c>
      <c r="D491" s="11">
        <f t="shared" si="14"/>
        <v>99</v>
      </c>
      <c r="E491" t="s">
        <v>6</v>
      </c>
      <c r="F491">
        <v>109</v>
      </c>
    </row>
    <row r="492" spans="1:6" hidden="1" x14ac:dyDescent="0.25">
      <c r="A492" t="s">
        <v>7</v>
      </c>
      <c r="B492" s="2">
        <v>43564</v>
      </c>
      <c r="C492">
        <f t="shared" si="13"/>
        <v>2019</v>
      </c>
      <c r="D492" s="11">
        <f t="shared" si="14"/>
        <v>99</v>
      </c>
      <c r="E492" t="s">
        <v>6</v>
      </c>
      <c r="F492">
        <v>94.3</v>
      </c>
    </row>
    <row r="493" spans="1:6" hidden="1" x14ac:dyDescent="0.25">
      <c r="A493" t="s">
        <v>7</v>
      </c>
      <c r="B493" s="2">
        <v>43570</v>
      </c>
      <c r="C493">
        <f t="shared" si="13"/>
        <v>2019</v>
      </c>
      <c r="D493" s="11">
        <f t="shared" si="14"/>
        <v>105</v>
      </c>
      <c r="E493" t="s">
        <v>6</v>
      </c>
      <c r="F493">
        <v>104.4</v>
      </c>
    </row>
    <row r="494" spans="1:6" hidden="1" x14ac:dyDescent="0.25">
      <c r="A494" t="s">
        <v>7</v>
      </c>
      <c r="B494" s="2">
        <v>43570</v>
      </c>
      <c r="C494">
        <f t="shared" si="13"/>
        <v>2019</v>
      </c>
      <c r="D494" s="11">
        <f t="shared" si="14"/>
        <v>105</v>
      </c>
      <c r="E494" t="s">
        <v>6</v>
      </c>
      <c r="F494">
        <v>108</v>
      </c>
    </row>
    <row r="495" spans="1:6" hidden="1" x14ac:dyDescent="0.25">
      <c r="A495" t="s">
        <v>7</v>
      </c>
      <c r="B495" s="2">
        <v>43570</v>
      </c>
      <c r="C495">
        <f t="shared" si="13"/>
        <v>2019</v>
      </c>
      <c r="D495" s="11">
        <f t="shared" si="14"/>
        <v>105</v>
      </c>
      <c r="E495" t="s">
        <v>6</v>
      </c>
      <c r="F495">
        <v>113.2</v>
      </c>
    </row>
    <row r="496" spans="1:6" hidden="1" x14ac:dyDescent="0.25">
      <c r="A496" t="s">
        <v>7</v>
      </c>
      <c r="B496" s="2">
        <v>43570</v>
      </c>
      <c r="C496">
        <f t="shared" si="13"/>
        <v>2019</v>
      </c>
      <c r="D496" s="11">
        <f t="shared" si="14"/>
        <v>105</v>
      </c>
      <c r="E496" t="s">
        <v>6</v>
      </c>
      <c r="F496">
        <v>94.4</v>
      </c>
    </row>
    <row r="497" spans="1:6" hidden="1" x14ac:dyDescent="0.25">
      <c r="A497" t="s">
        <v>7</v>
      </c>
      <c r="B497" s="2">
        <v>43577</v>
      </c>
      <c r="C497">
        <f t="shared" si="13"/>
        <v>2019</v>
      </c>
      <c r="D497" s="11">
        <f t="shared" si="14"/>
        <v>112</v>
      </c>
      <c r="E497" t="s">
        <v>6</v>
      </c>
      <c r="F497">
        <v>102.6</v>
      </c>
    </row>
    <row r="498" spans="1:6" hidden="1" x14ac:dyDescent="0.25">
      <c r="A498" t="s">
        <v>7</v>
      </c>
      <c r="B498" s="2">
        <v>43577</v>
      </c>
      <c r="C498">
        <f t="shared" si="13"/>
        <v>2019</v>
      </c>
      <c r="D498" s="11">
        <f t="shared" si="14"/>
        <v>112</v>
      </c>
      <c r="E498" t="s">
        <v>6</v>
      </c>
      <c r="F498">
        <v>110.5</v>
      </c>
    </row>
    <row r="499" spans="1:6" hidden="1" x14ac:dyDescent="0.25">
      <c r="A499" t="s">
        <v>7</v>
      </c>
      <c r="B499" s="2">
        <v>43577</v>
      </c>
      <c r="C499">
        <f t="shared" si="13"/>
        <v>2019</v>
      </c>
      <c r="D499" s="11">
        <f t="shared" si="14"/>
        <v>112</v>
      </c>
      <c r="E499" t="s">
        <v>6</v>
      </c>
      <c r="F499">
        <v>108.9</v>
      </c>
    </row>
    <row r="500" spans="1:6" hidden="1" x14ac:dyDescent="0.25">
      <c r="A500" t="s">
        <v>7</v>
      </c>
      <c r="B500" s="2">
        <v>43577</v>
      </c>
      <c r="C500">
        <f t="shared" si="13"/>
        <v>2019</v>
      </c>
      <c r="D500" s="11">
        <f t="shared" si="14"/>
        <v>112</v>
      </c>
      <c r="E500" t="s">
        <v>6</v>
      </c>
      <c r="F500">
        <v>95</v>
      </c>
    </row>
    <row r="501" spans="1:6" hidden="1" x14ac:dyDescent="0.25">
      <c r="A501" t="s">
        <v>7</v>
      </c>
      <c r="B501" s="2">
        <v>43584</v>
      </c>
      <c r="C501">
        <f t="shared" si="13"/>
        <v>2019</v>
      </c>
      <c r="D501" s="11">
        <f t="shared" si="14"/>
        <v>119</v>
      </c>
      <c r="E501" t="s">
        <v>6</v>
      </c>
      <c r="F501">
        <v>93.8</v>
      </c>
    </row>
    <row r="502" spans="1:6" hidden="1" x14ac:dyDescent="0.25">
      <c r="A502" t="s">
        <v>7</v>
      </c>
      <c r="B502" s="2">
        <v>43584</v>
      </c>
      <c r="C502">
        <f t="shared" ref="C502:C564" si="15">YEAR(B502)</f>
        <v>2019</v>
      </c>
      <c r="D502" s="11">
        <f t="shared" si="14"/>
        <v>119</v>
      </c>
      <c r="E502" t="s">
        <v>6</v>
      </c>
      <c r="F502">
        <v>98.5</v>
      </c>
    </row>
    <row r="503" spans="1:6" hidden="1" x14ac:dyDescent="0.25">
      <c r="A503" t="s">
        <v>7</v>
      </c>
      <c r="B503" s="2">
        <v>43584</v>
      </c>
      <c r="C503">
        <f t="shared" si="15"/>
        <v>2019</v>
      </c>
      <c r="D503" s="11">
        <f t="shared" si="14"/>
        <v>119</v>
      </c>
      <c r="E503" t="s">
        <v>6</v>
      </c>
      <c r="F503">
        <v>102.3</v>
      </c>
    </row>
    <row r="504" spans="1:6" hidden="1" x14ac:dyDescent="0.25">
      <c r="A504" t="s">
        <v>7</v>
      </c>
      <c r="B504" s="2">
        <v>43584</v>
      </c>
      <c r="C504">
        <f t="shared" si="15"/>
        <v>2019</v>
      </c>
      <c r="D504" s="11">
        <f t="shared" si="14"/>
        <v>119</v>
      </c>
      <c r="E504" t="s">
        <v>6</v>
      </c>
      <c r="F504">
        <v>85.4</v>
      </c>
    </row>
    <row r="505" spans="1:6" hidden="1" x14ac:dyDescent="0.25">
      <c r="A505" t="s">
        <v>7</v>
      </c>
      <c r="B505" s="2">
        <v>43612</v>
      </c>
      <c r="C505">
        <f t="shared" si="15"/>
        <v>2019</v>
      </c>
      <c r="D505" s="11">
        <f t="shared" si="14"/>
        <v>147</v>
      </c>
      <c r="E505" t="s">
        <v>6</v>
      </c>
      <c r="F505">
        <v>116.6</v>
      </c>
    </row>
    <row r="506" spans="1:6" hidden="1" x14ac:dyDescent="0.25">
      <c r="A506" t="s">
        <v>7</v>
      </c>
      <c r="B506" s="2">
        <v>43612</v>
      </c>
      <c r="C506">
        <f t="shared" si="15"/>
        <v>2019</v>
      </c>
      <c r="D506" s="11">
        <f t="shared" si="14"/>
        <v>147</v>
      </c>
      <c r="E506" t="s">
        <v>6</v>
      </c>
      <c r="F506">
        <v>97.5</v>
      </c>
    </row>
    <row r="507" spans="1:6" hidden="1" x14ac:dyDescent="0.25">
      <c r="A507" t="s">
        <v>7</v>
      </c>
      <c r="B507" s="2">
        <v>43613</v>
      </c>
      <c r="C507">
        <f t="shared" si="15"/>
        <v>2019</v>
      </c>
      <c r="D507" s="11">
        <f t="shared" si="14"/>
        <v>148</v>
      </c>
      <c r="E507" t="s">
        <v>6</v>
      </c>
      <c r="F507">
        <v>104.5</v>
      </c>
    </row>
    <row r="508" spans="1:6" hidden="1" x14ac:dyDescent="0.25">
      <c r="A508" t="s">
        <v>7</v>
      </c>
      <c r="B508" s="2">
        <v>43613</v>
      </c>
      <c r="C508">
        <f t="shared" si="15"/>
        <v>2019</v>
      </c>
      <c r="D508" s="11">
        <f t="shared" si="14"/>
        <v>148</v>
      </c>
      <c r="E508" t="s">
        <v>6</v>
      </c>
      <c r="F508">
        <v>114</v>
      </c>
    </row>
    <row r="509" spans="1:6" hidden="1" x14ac:dyDescent="0.25">
      <c r="A509" t="s">
        <v>7</v>
      </c>
      <c r="B509" s="2">
        <v>43850</v>
      </c>
      <c r="C509">
        <f t="shared" si="15"/>
        <v>2020</v>
      </c>
      <c r="D509" s="11">
        <f t="shared" si="14"/>
        <v>20</v>
      </c>
      <c r="E509" t="s">
        <v>6</v>
      </c>
      <c r="F509">
        <v>56.7</v>
      </c>
    </row>
    <row r="510" spans="1:6" hidden="1" x14ac:dyDescent="0.25">
      <c r="A510" t="s">
        <v>7</v>
      </c>
      <c r="B510" s="2">
        <v>43850</v>
      </c>
      <c r="C510">
        <f t="shared" si="15"/>
        <v>2020</v>
      </c>
      <c r="D510" s="11">
        <f t="shared" si="14"/>
        <v>20</v>
      </c>
      <c r="E510" t="s">
        <v>6</v>
      </c>
      <c r="F510">
        <v>70.8</v>
      </c>
    </row>
    <row r="511" spans="1:6" hidden="1" x14ac:dyDescent="0.25">
      <c r="A511" t="s">
        <v>7</v>
      </c>
      <c r="B511" s="2">
        <v>43851</v>
      </c>
      <c r="C511">
        <f t="shared" si="15"/>
        <v>2020</v>
      </c>
      <c r="D511" s="11">
        <f t="shared" si="14"/>
        <v>21</v>
      </c>
      <c r="E511" t="s">
        <v>6</v>
      </c>
      <c r="F511">
        <v>74.599999999999994</v>
      </c>
    </row>
    <row r="512" spans="1:6" hidden="1" x14ac:dyDescent="0.25">
      <c r="A512" t="s">
        <v>7</v>
      </c>
      <c r="B512" s="2">
        <v>43878</v>
      </c>
      <c r="C512">
        <f t="shared" si="15"/>
        <v>2020</v>
      </c>
      <c r="D512" s="11">
        <f t="shared" si="14"/>
        <v>48</v>
      </c>
      <c r="E512" t="s">
        <v>6</v>
      </c>
      <c r="F512">
        <v>75.900000000000006</v>
      </c>
    </row>
    <row r="513" spans="1:6" hidden="1" x14ac:dyDescent="0.25">
      <c r="A513" t="s">
        <v>7</v>
      </c>
      <c r="B513" s="2">
        <v>43878</v>
      </c>
      <c r="C513">
        <f t="shared" si="15"/>
        <v>2020</v>
      </c>
      <c r="D513" s="11">
        <f t="shared" si="14"/>
        <v>48</v>
      </c>
      <c r="E513" t="s">
        <v>6</v>
      </c>
      <c r="F513">
        <v>87.8</v>
      </c>
    </row>
    <row r="514" spans="1:6" hidden="1" x14ac:dyDescent="0.25">
      <c r="A514" t="s">
        <v>7</v>
      </c>
      <c r="B514" s="2">
        <v>43880</v>
      </c>
      <c r="C514">
        <f t="shared" si="15"/>
        <v>2020</v>
      </c>
      <c r="D514" s="11">
        <f t="shared" si="14"/>
        <v>50</v>
      </c>
      <c r="E514" t="s">
        <v>6</v>
      </c>
      <c r="F514">
        <v>85.9</v>
      </c>
    </row>
    <row r="515" spans="1:6" hidden="1" x14ac:dyDescent="0.25">
      <c r="A515" t="s">
        <v>7</v>
      </c>
      <c r="B515" s="2">
        <v>43892</v>
      </c>
      <c r="C515">
        <f t="shared" si="15"/>
        <v>2020</v>
      </c>
      <c r="D515" s="11">
        <f t="shared" ref="D515:D578" si="16">B515-DATE(YEAR(B515),1,0)</f>
        <v>62</v>
      </c>
      <c r="E515" t="s">
        <v>6</v>
      </c>
      <c r="F515">
        <v>78.099999999999994</v>
      </c>
    </row>
    <row r="516" spans="1:6" hidden="1" x14ac:dyDescent="0.25">
      <c r="A516" t="s">
        <v>7</v>
      </c>
      <c r="B516" s="2">
        <v>43892</v>
      </c>
      <c r="C516">
        <f t="shared" si="15"/>
        <v>2020</v>
      </c>
      <c r="D516" s="11">
        <f t="shared" si="16"/>
        <v>62</v>
      </c>
      <c r="E516" t="s">
        <v>6</v>
      </c>
      <c r="F516">
        <v>99.8</v>
      </c>
    </row>
    <row r="517" spans="1:6" hidden="1" x14ac:dyDescent="0.25">
      <c r="A517" t="s">
        <v>7</v>
      </c>
      <c r="B517" s="2">
        <v>43894</v>
      </c>
      <c r="C517">
        <f t="shared" si="15"/>
        <v>2020</v>
      </c>
      <c r="D517" s="11">
        <f t="shared" si="16"/>
        <v>64</v>
      </c>
      <c r="E517" t="s">
        <v>6</v>
      </c>
      <c r="F517">
        <v>92.5</v>
      </c>
    </row>
    <row r="518" spans="1:6" hidden="1" x14ac:dyDescent="0.25">
      <c r="A518" t="s">
        <v>7</v>
      </c>
      <c r="B518" s="2">
        <v>43906</v>
      </c>
      <c r="C518">
        <f t="shared" si="15"/>
        <v>2020</v>
      </c>
      <c r="D518" s="11">
        <f t="shared" si="16"/>
        <v>76</v>
      </c>
      <c r="E518" t="s">
        <v>6</v>
      </c>
      <c r="F518">
        <v>84.3</v>
      </c>
    </row>
    <row r="519" spans="1:6" hidden="1" x14ac:dyDescent="0.25">
      <c r="A519" t="s">
        <v>7</v>
      </c>
      <c r="B519" s="2">
        <v>43906</v>
      </c>
      <c r="C519">
        <f t="shared" si="15"/>
        <v>2020</v>
      </c>
      <c r="D519" s="11">
        <f t="shared" si="16"/>
        <v>76</v>
      </c>
      <c r="E519" t="s">
        <v>6</v>
      </c>
      <c r="F519">
        <v>108.8</v>
      </c>
    </row>
    <row r="520" spans="1:6" hidden="1" x14ac:dyDescent="0.25">
      <c r="A520" t="s">
        <v>7</v>
      </c>
      <c r="B520" s="2">
        <v>43907</v>
      </c>
      <c r="C520">
        <f t="shared" si="15"/>
        <v>2020</v>
      </c>
      <c r="D520" s="11">
        <f t="shared" si="16"/>
        <v>77</v>
      </c>
      <c r="E520" t="s">
        <v>6</v>
      </c>
      <c r="F520">
        <v>99.9</v>
      </c>
    </row>
    <row r="521" spans="1:6" hidden="1" x14ac:dyDescent="0.25">
      <c r="A521" t="s">
        <v>7</v>
      </c>
      <c r="B521" s="2">
        <v>43950</v>
      </c>
      <c r="C521">
        <f t="shared" si="15"/>
        <v>2020</v>
      </c>
      <c r="D521" s="11">
        <f t="shared" si="16"/>
        <v>120</v>
      </c>
      <c r="E521" t="s">
        <v>6</v>
      </c>
      <c r="F521">
        <v>94.6</v>
      </c>
    </row>
    <row r="522" spans="1:6" hidden="1" x14ac:dyDescent="0.25">
      <c r="A522" t="s">
        <v>7</v>
      </c>
      <c r="B522" s="2">
        <v>43950</v>
      </c>
      <c r="C522">
        <f t="shared" si="15"/>
        <v>2020</v>
      </c>
      <c r="D522" s="11">
        <f t="shared" si="16"/>
        <v>120</v>
      </c>
      <c r="E522" t="s">
        <v>6</v>
      </c>
      <c r="F522">
        <v>121.5</v>
      </c>
    </row>
    <row r="523" spans="1:6" hidden="1" x14ac:dyDescent="0.25">
      <c r="A523" t="s">
        <v>7</v>
      </c>
      <c r="B523" s="2">
        <v>43950</v>
      </c>
      <c r="C523">
        <f t="shared" si="15"/>
        <v>2020</v>
      </c>
      <c r="D523" s="11">
        <f t="shared" si="16"/>
        <v>120</v>
      </c>
      <c r="E523" t="s">
        <v>6</v>
      </c>
      <c r="F523">
        <v>113.2</v>
      </c>
    </row>
    <row r="524" spans="1:6" hidden="1" x14ac:dyDescent="0.25">
      <c r="A524" t="s">
        <v>7</v>
      </c>
      <c r="B524" s="2">
        <v>43963</v>
      </c>
      <c r="C524">
        <f t="shared" si="15"/>
        <v>2020</v>
      </c>
      <c r="D524" s="11">
        <f t="shared" si="16"/>
        <v>133</v>
      </c>
      <c r="E524" t="s">
        <v>6</v>
      </c>
      <c r="F524">
        <v>122.7</v>
      </c>
    </row>
    <row r="525" spans="1:6" hidden="1" x14ac:dyDescent="0.25">
      <c r="A525" t="s">
        <v>7</v>
      </c>
      <c r="B525" s="2">
        <v>43964</v>
      </c>
      <c r="C525">
        <f t="shared" si="15"/>
        <v>2020</v>
      </c>
      <c r="D525" s="11">
        <f t="shared" si="16"/>
        <v>134</v>
      </c>
      <c r="E525" t="s">
        <v>6</v>
      </c>
      <c r="F525">
        <v>99.3</v>
      </c>
    </row>
    <row r="526" spans="1:6" hidden="1" x14ac:dyDescent="0.25">
      <c r="A526" t="s">
        <v>7</v>
      </c>
      <c r="B526" s="2">
        <v>43964</v>
      </c>
      <c r="C526">
        <f t="shared" si="15"/>
        <v>2020</v>
      </c>
      <c r="D526" s="11">
        <f t="shared" si="16"/>
        <v>134</v>
      </c>
      <c r="E526" t="s">
        <v>6</v>
      </c>
      <c r="F526">
        <v>120.8</v>
      </c>
    </row>
    <row r="527" spans="1:6" hidden="1" x14ac:dyDescent="0.25">
      <c r="A527" t="s">
        <v>7</v>
      </c>
      <c r="B527" s="2">
        <v>43978</v>
      </c>
      <c r="C527">
        <f t="shared" si="15"/>
        <v>2020</v>
      </c>
      <c r="D527" s="11">
        <f t="shared" si="16"/>
        <v>148</v>
      </c>
      <c r="E527" t="s">
        <v>6</v>
      </c>
      <c r="F527">
        <v>91.7</v>
      </c>
    </row>
    <row r="528" spans="1:6" hidden="1" x14ac:dyDescent="0.25">
      <c r="A528" t="s">
        <v>7</v>
      </c>
      <c r="B528" s="2">
        <v>43978</v>
      </c>
      <c r="C528">
        <f t="shared" si="15"/>
        <v>2020</v>
      </c>
      <c r="D528" s="11">
        <f t="shared" si="16"/>
        <v>148</v>
      </c>
      <c r="E528" t="s">
        <v>6</v>
      </c>
      <c r="F528">
        <v>115.7</v>
      </c>
    </row>
    <row r="529" spans="1:6" hidden="1" x14ac:dyDescent="0.25">
      <c r="A529" t="s">
        <v>7</v>
      </c>
      <c r="B529" s="2">
        <v>44223</v>
      </c>
      <c r="C529">
        <f t="shared" si="15"/>
        <v>2021</v>
      </c>
      <c r="D529" s="11">
        <f t="shared" si="16"/>
        <v>27</v>
      </c>
      <c r="E529" t="s">
        <v>6</v>
      </c>
      <c r="F529">
        <v>68.366222219999997</v>
      </c>
    </row>
    <row r="530" spans="1:6" hidden="1" x14ac:dyDescent="0.25">
      <c r="A530" t="s">
        <v>7</v>
      </c>
      <c r="B530" s="2">
        <v>44223</v>
      </c>
      <c r="C530">
        <f t="shared" si="15"/>
        <v>2021</v>
      </c>
      <c r="D530" s="11">
        <f t="shared" si="16"/>
        <v>27</v>
      </c>
      <c r="E530" t="s">
        <v>6</v>
      </c>
      <c r="F530">
        <v>60.43444444</v>
      </c>
    </row>
    <row r="531" spans="1:6" hidden="1" x14ac:dyDescent="0.25">
      <c r="A531" t="s">
        <v>7</v>
      </c>
      <c r="B531" s="2">
        <v>44224</v>
      </c>
      <c r="C531">
        <f t="shared" si="15"/>
        <v>2021</v>
      </c>
      <c r="D531" s="11">
        <f t="shared" si="16"/>
        <v>28</v>
      </c>
      <c r="E531" t="s">
        <v>6</v>
      </c>
      <c r="F531">
        <v>59.576333329999997</v>
      </c>
    </row>
    <row r="532" spans="1:6" hidden="1" x14ac:dyDescent="0.25">
      <c r="A532" t="s">
        <v>7</v>
      </c>
      <c r="B532" s="2">
        <v>44244</v>
      </c>
      <c r="C532">
        <f t="shared" si="15"/>
        <v>2021</v>
      </c>
      <c r="D532" s="11">
        <f t="shared" si="16"/>
        <v>48</v>
      </c>
      <c r="E532" t="s">
        <v>6</v>
      </c>
      <c r="F532">
        <v>70.137222219999998</v>
      </c>
    </row>
    <row r="533" spans="1:6" hidden="1" x14ac:dyDescent="0.25">
      <c r="A533" t="s">
        <v>7</v>
      </c>
      <c r="B533" s="2">
        <v>44245</v>
      </c>
      <c r="C533">
        <f t="shared" si="15"/>
        <v>2021</v>
      </c>
      <c r="D533" s="11">
        <f t="shared" si="16"/>
        <v>49</v>
      </c>
      <c r="E533" t="s">
        <v>6</v>
      </c>
      <c r="F533">
        <v>67.538888889999996</v>
      </c>
    </row>
    <row r="534" spans="1:6" hidden="1" x14ac:dyDescent="0.25">
      <c r="A534" t="s">
        <v>7</v>
      </c>
      <c r="B534" s="2">
        <v>44245</v>
      </c>
      <c r="C534">
        <f t="shared" si="15"/>
        <v>2021</v>
      </c>
      <c r="D534" s="11">
        <f t="shared" si="16"/>
        <v>49</v>
      </c>
      <c r="E534" t="s">
        <v>6</v>
      </c>
      <c r="F534">
        <v>68.143777779999994</v>
      </c>
    </row>
    <row r="535" spans="1:6" hidden="1" x14ac:dyDescent="0.25">
      <c r="A535" t="s">
        <v>7</v>
      </c>
      <c r="B535" s="2">
        <v>44258</v>
      </c>
      <c r="C535">
        <f t="shared" si="15"/>
        <v>2021</v>
      </c>
      <c r="D535" s="11">
        <f t="shared" si="16"/>
        <v>62</v>
      </c>
      <c r="E535" t="s">
        <v>6</v>
      </c>
      <c r="F535">
        <v>77.873333329999994</v>
      </c>
    </row>
    <row r="536" spans="1:6" hidden="1" x14ac:dyDescent="0.25">
      <c r="A536" t="s">
        <v>7</v>
      </c>
      <c r="B536" s="2">
        <v>44258</v>
      </c>
      <c r="C536">
        <f t="shared" si="15"/>
        <v>2021</v>
      </c>
      <c r="D536" s="11">
        <f t="shared" si="16"/>
        <v>62</v>
      </c>
      <c r="E536" t="s">
        <v>6</v>
      </c>
      <c r="F536">
        <v>86.499777780000002</v>
      </c>
    </row>
    <row r="537" spans="1:6" hidden="1" x14ac:dyDescent="0.25">
      <c r="A537" t="s">
        <v>7</v>
      </c>
      <c r="B537" s="2">
        <v>44258</v>
      </c>
      <c r="C537">
        <f t="shared" si="15"/>
        <v>2021</v>
      </c>
      <c r="D537" s="11">
        <f t="shared" si="16"/>
        <v>62</v>
      </c>
      <c r="E537" t="s">
        <v>6</v>
      </c>
      <c r="F537">
        <v>75.648222219999994</v>
      </c>
    </row>
    <row r="538" spans="1:6" hidden="1" x14ac:dyDescent="0.25">
      <c r="A538" t="s">
        <v>7</v>
      </c>
      <c r="B538" s="2">
        <v>44272</v>
      </c>
      <c r="C538">
        <f t="shared" si="15"/>
        <v>2021</v>
      </c>
      <c r="D538" s="11">
        <f t="shared" si="16"/>
        <v>76</v>
      </c>
      <c r="E538" t="s">
        <v>6</v>
      </c>
      <c r="F538">
        <v>84.237333329999998</v>
      </c>
    </row>
    <row r="539" spans="1:6" hidden="1" x14ac:dyDescent="0.25">
      <c r="A539" t="s">
        <v>7</v>
      </c>
      <c r="B539" s="2">
        <v>44272</v>
      </c>
      <c r="C539">
        <f t="shared" si="15"/>
        <v>2021</v>
      </c>
      <c r="D539" s="11">
        <f t="shared" si="16"/>
        <v>76</v>
      </c>
      <c r="E539" t="s">
        <v>6</v>
      </c>
      <c r="F539">
        <v>95.272444440000001</v>
      </c>
    </row>
    <row r="540" spans="1:6" hidden="1" x14ac:dyDescent="0.25">
      <c r="A540" t="s">
        <v>7</v>
      </c>
      <c r="B540" s="2">
        <v>44272</v>
      </c>
      <c r="C540">
        <f t="shared" si="15"/>
        <v>2021</v>
      </c>
      <c r="D540" s="11">
        <f t="shared" si="16"/>
        <v>76</v>
      </c>
      <c r="E540" t="s">
        <v>6</v>
      </c>
      <c r="F540">
        <v>86.118555560000004</v>
      </c>
    </row>
    <row r="541" spans="1:6" hidden="1" x14ac:dyDescent="0.25">
      <c r="A541" t="s">
        <v>7</v>
      </c>
      <c r="B541" s="2">
        <v>44286</v>
      </c>
      <c r="C541">
        <f t="shared" si="15"/>
        <v>2021</v>
      </c>
      <c r="D541" s="11">
        <f t="shared" si="16"/>
        <v>90</v>
      </c>
      <c r="E541" t="s">
        <v>6</v>
      </c>
      <c r="F541">
        <v>101.1565556</v>
      </c>
    </row>
    <row r="542" spans="1:6" hidden="1" x14ac:dyDescent="0.25">
      <c r="A542" t="s">
        <v>7</v>
      </c>
      <c r="B542" s="2">
        <v>44287</v>
      </c>
      <c r="C542">
        <f t="shared" si="15"/>
        <v>2021</v>
      </c>
      <c r="D542" s="11">
        <f t="shared" si="16"/>
        <v>91</v>
      </c>
      <c r="E542" t="s">
        <v>6</v>
      </c>
      <c r="F542">
        <v>92.894333329999995</v>
      </c>
    </row>
    <row r="543" spans="1:6" hidden="1" x14ac:dyDescent="0.25">
      <c r="A543" t="s">
        <v>7</v>
      </c>
      <c r="B543" s="2">
        <v>44287</v>
      </c>
      <c r="C543">
        <f t="shared" si="15"/>
        <v>2021</v>
      </c>
      <c r="D543" s="11">
        <f t="shared" si="16"/>
        <v>91</v>
      </c>
      <c r="E543" t="s">
        <v>6</v>
      </c>
      <c r="F543">
        <v>92.753333330000004</v>
      </c>
    </row>
    <row r="544" spans="1:6" hidden="1" x14ac:dyDescent="0.25">
      <c r="A544" t="s">
        <v>7</v>
      </c>
      <c r="B544" s="2">
        <v>44300</v>
      </c>
      <c r="C544">
        <f t="shared" si="15"/>
        <v>2021</v>
      </c>
      <c r="D544" s="11">
        <f t="shared" si="16"/>
        <v>104</v>
      </c>
      <c r="E544" t="s">
        <v>6</v>
      </c>
      <c r="F544">
        <v>104.657</v>
      </c>
    </row>
    <row r="545" spans="1:6" hidden="1" x14ac:dyDescent="0.25">
      <c r="A545" t="s">
        <v>7</v>
      </c>
      <c r="B545" s="2">
        <v>44301</v>
      </c>
      <c r="C545">
        <f t="shared" si="15"/>
        <v>2021</v>
      </c>
      <c r="D545" s="11">
        <f t="shared" si="16"/>
        <v>105</v>
      </c>
      <c r="E545" t="s">
        <v>6</v>
      </c>
      <c r="F545">
        <v>101.2516667</v>
      </c>
    </row>
    <row r="546" spans="1:6" hidden="1" x14ac:dyDescent="0.25">
      <c r="A546" t="s">
        <v>7</v>
      </c>
      <c r="B546" s="2">
        <v>44301</v>
      </c>
      <c r="C546">
        <f t="shared" si="15"/>
        <v>2021</v>
      </c>
      <c r="D546" s="11">
        <f t="shared" si="16"/>
        <v>105</v>
      </c>
      <c r="E546" t="s">
        <v>6</v>
      </c>
      <c r="F546">
        <v>97.531000000000006</v>
      </c>
    </row>
    <row r="547" spans="1:6" hidden="1" x14ac:dyDescent="0.25">
      <c r="A547" t="s">
        <v>7</v>
      </c>
      <c r="B547" s="2">
        <v>44307</v>
      </c>
      <c r="C547">
        <f t="shared" si="15"/>
        <v>2021</v>
      </c>
      <c r="D547" s="11">
        <f t="shared" si="16"/>
        <v>111</v>
      </c>
      <c r="E547" t="s">
        <v>6</v>
      </c>
      <c r="F547">
        <v>97.304888890000001</v>
      </c>
    </row>
    <row r="548" spans="1:6" hidden="1" x14ac:dyDescent="0.25">
      <c r="A548" t="s">
        <v>7</v>
      </c>
      <c r="B548" s="2">
        <v>44307</v>
      </c>
      <c r="C548">
        <f t="shared" si="15"/>
        <v>2021</v>
      </c>
      <c r="D548" s="11">
        <f t="shared" si="16"/>
        <v>111</v>
      </c>
      <c r="E548" t="s">
        <v>6</v>
      </c>
      <c r="F548">
        <v>110.3821111</v>
      </c>
    </row>
    <row r="549" spans="1:6" hidden="1" x14ac:dyDescent="0.25">
      <c r="A549" t="s">
        <v>7</v>
      </c>
      <c r="B549" s="2">
        <v>44307</v>
      </c>
      <c r="C549">
        <f t="shared" si="15"/>
        <v>2021</v>
      </c>
      <c r="D549" s="11">
        <f t="shared" si="16"/>
        <v>111</v>
      </c>
      <c r="E549" t="s">
        <v>6</v>
      </c>
      <c r="F549">
        <v>101.0704444</v>
      </c>
    </row>
    <row r="550" spans="1:6" hidden="1" x14ac:dyDescent="0.25">
      <c r="A550" t="s">
        <v>7</v>
      </c>
      <c r="B550" s="2">
        <v>44315</v>
      </c>
      <c r="C550">
        <f t="shared" si="15"/>
        <v>2021</v>
      </c>
      <c r="D550" s="11">
        <f t="shared" si="16"/>
        <v>119</v>
      </c>
      <c r="E550" t="s">
        <v>6</v>
      </c>
      <c r="F550">
        <v>110.3692222</v>
      </c>
    </row>
    <row r="551" spans="1:6" hidden="1" x14ac:dyDescent="0.25">
      <c r="A551" t="s">
        <v>7</v>
      </c>
      <c r="B551" s="2">
        <v>44316</v>
      </c>
      <c r="C551">
        <f t="shared" si="15"/>
        <v>2021</v>
      </c>
      <c r="D551" s="11">
        <f t="shared" si="16"/>
        <v>120</v>
      </c>
      <c r="E551" t="s">
        <v>6</v>
      </c>
      <c r="F551">
        <v>97.827444439999994</v>
      </c>
    </row>
    <row r="552" spans="1:6" hidden="1" x14ac:dyDescent="0.25">
      <c r="A552" t="s">
        <v>7</v>
      </c>
      <c r="B552" s="2">
        <v>44316</v>
      </c>
      <c r="C552">
        <f t="shared" si="15"/>
        <v>2021</v>
      </c>
      <c r="D552" s="11">
        <f t="shared" si="16"/>
        <v>120</v>
      </c>
      <c r="E552" t="s">
        <v>6</v>
      </c>
      <c r="F552">
        <v>98.942444440000003</v>
      </c>
    </row>
    <row r="553" spans="1:6" hidden="1" x14ac:dyDescent="0.25">
      <c r="A553" t="s">
        <v>7</v>
      </c>
      <c r="B553" s="2">
        <v>44321</v>
      </c>
      <c r="C553">
        <f t="shared" si="15"/>
        <v>2021</v>
      </c>
      <c r="D553" s="11">
        <f t="shared" si="16"/>
        <v>125</v>
      </c>
      <c r="E553" t="s">
        <v>6</v>
      </c>
      <c r="F553">
        <v>109.3193333</v>
      </c>
    </row>
    <row r="554" spans="1:6" hidden="1" x14ac:dyDescent="0.25">
      <c r="A554" t="s">
        <v>7</v>
      </c>
      <c r="B554" s="2">
        <v>44322</v>
      </c>
      <c r="C554">
        <f t="shared" si="15"/>
        <v>2021</v>
      </c>
      <c r="D554" s="11">
        <f t="shared" si="16"/>
        <v>126</v>
      </c>
      <c r="E554" t="s">
        <v>6</v>
      </c>
      <c r="F554">
        <v>97.286555559999996</v>
      </c>
    </row>
    <row r="555" spans="1:6" hidden="1" x14ac:dyDescent="0.25">
      <c r="A555" t="s">
        <v>7</v>
      </c>
      <c r="B555" s="2">
        <v>44322</v>
      </c>
      <c r="C555">
        <f t="shared" si="15"/>
        <v>2021</v>
      </c>
      <c r="D555" s="11">
        <f t="shared" si="16"/>
        <v>126</v>
      </c>
      <c r="E555" t="s">
        <v>6</v>
      </c>
      <c r="F555">
        <v>104.60788890000001</v>
      </c>
    </row>
    <row r="556" spans="1:6" hidden="1" x14ac:dyDescent="0.25">
      <c r="A556" t="s">
        <v>7</v>
      </c>
      <c r="B556" s="2">
        <v>44335</v>
      </c>
      <c r="C556">
        <f t="shared" si="15"/>
        <v>2021</v>
      </c>
      <c r="D556" s="11">
        <f t="shared" si="16"/>
        <v>139</v>
      </c>
      <c r="E556" t="s">
        <v>6</v>
      </c>
      <c r="F556">
        <v>113.8327778</v>
      </c>
    </row>
    <row r="557" spans="1:6" hidden="1" x14ac:dyDescent="0.25">
      <c r="A557" t="s">
        <v>7</v>
      </c>
      <c r="B557" s="2">
        <v>44336</v>
      </c>
      <c r="C557">
        <f t="shared" si="15"/>
        <v>2021</v>
      </c>
      <c r="D557" s="11">
        <f t="shared" si="16"/>
        <v>140</v>
      </c>
      <c r="E557" t="s">
        <v>6</v>
      </c>
      <c r="F557">
        <v>97.199777780000005</v>
      </c>
    </row>
    <row r="558" spans="1:6" hidden="1" x14ac:dyDescent="0.25">
      <c r="A558" t="s">
        <v>7</v>
      </c>
      <c r="B558" s="2">
        <v>44336</v>
      </c>
      <c r="C558">
        <f t="shared" si="15"/>
        <v>2021</v>
      </c>
      <c r="D558" s="11">
        <f t="shared" si="16"/>
        <v>140</v>
      </c>
      <c r="E558" t="s">
        <v>6</v>
      </c>
      <c r="F558">
        <v>109.16333330000001</v>
      </c>
    </row>
    <row r="559" spans="1:6" hidden="1" x14ac:dyDescent="0.25">
      <c r="A559" t="s">
        <v>7</v>
      </c>
      <c r="B559" s="2">
        <v>44348</v>
      </c>
      <c r="C559">
        <f t="shared" si="15"/>
        <v>2021</v>
      </c>
      <c r="D559" s="11">
        <f t="shared" si="16"/>
        <v>152</v>
      </c>
      <c r="E559" t="s">
        <v>6</v>
      </c>
      <c r="F559">
        <v>115.5402222</v>
      </c>
    </row>
    <row r="560" spans="1:6" hidden="1" x14ac:dyDescent="0.25">
      <c r="A560" t="s">
        <v>7</v>
      </c>
      <c r="B560" s="2">
        <v>44349</v>
      </c>
      <c r="C560">
        <f t="shared" si="15"/>
        <v>2021</v>
      </c>
      <c r="D560" s="11">
        <f t="shared" si="16"/>
        <v>153</v>
      </c>
      <c r="E560" t="s">
        <v>6</v>
      </c>
      <c r="F560">
        <v>97.870111109999996</v>
      </c>
    </row>
    <row r="561" spans="1:6" hidden="1" x14ac:dyDescent="0.25">
      <c r="A561" t="s">
        <v>7</v>
      </c>
      <c r="B561" s="2">
        <v>44349</v>
      </c>
      <c r="C561">
        <f t="shared" si="15"/>
        <v>2021</v>
      </c>
      <c r="D561" s="11">
        <f t="shared" si="16"/>
        <v>153</v>
      </c>
      <c r="E561" t="s">
        <v>6</v>
      </c>
      <c r="F561">
        <v>102.58633330000001</v>
      </c>
    </row>
    <row r="562" spans="1:6" hidden="1" x14ac:dyDescent="0.25">
      <c r="A562" t="s">
        <v>8</v>
      </c>
      <c r="B562" s="2">
        <v>43850</v>
      </c>
      <c r="C562">
        <f t="shared" si="15"/>
        <v>2020</v>
      </c>
      <c r="D562" s="11">
        <f t="shared" si="16"/>
        <v>20</v>
      </c>
      <c r="E562" t="s">
        <v>9</v>
      </c>
      <c r="F562">
        <v>60.2</v>
      </c>
    </row>
    <row r="563" spans="1:6" hidden="1" x14ac:dyDescent="0.25">
      <c r="A563" t="s">
        <v>8</v>
      </c>
      <c r="B563" s="2">
        <v>43880</v>
      </c>
      <c r="C563">
        <f t="shared" si="15"/>
        <v>2020</v>
      </c>
      <c r="D563" s="11">
        <f t="shared" si="16"/>
        <v>50</v>
      </c>
      <c r="E563" t="s">
        <v>9</v>
      </c>
      <c r="F563">
        <v>83.8</v>
      </c>
    </row>
    <row r="564" spans="1:6" hidden="1" x14ac:dyDescent="0.25">
      <c r="A564" t="s">
        <v>8</v>
      </c>
      <c r="B564" s="2">
        <v>43892</v>
      </c>
      <c r="C564">
        <f t="shared" si="15"/>
        <v>2020</v>
      </c>
      <c r="D564" s="11">
        <f t="shared" si="16"/>
        <v>62</v>
      </c>
      <c r="E564" t="s">
        <v>9</v>
      </c>
      <c r="F564">
        <v>87.9</v>
      </c>
    </row>
    <row r="565" spans="1:6" hidden="1" x14ac:dyDescent="0.25">
      <c r="A565" t="s">
        <v>8</v>
      </c>
      <c r="B565" s="2">
        <v>43906</v>
      </c>
      <c r="C565">
        <f t="shared" ref="C565:C612" si="17">YEAR(B565)</f>
        <v>2020</v>
      </c>
      <c r="D565" s="11">
        <f t="shared" si="16"/>
        <v>76</v>
      </c>
      <c r="E565" t="s">
        <v>9</v>
      </c>
      <c r="F565">
        <v>97.1</v>
      </c>
    </row>
    <row r="566" spans="1:6" hidden="1" x14ac:dyDescent="0.25">
      <c r="A566" t="s">
        <v>8</v>
      </c>
      <c r="B566" s="2">
        <v>43949</v>
      </c>
      <c r="C566">
        <f t="shared" si="17"/>
        <v>2020</v>
      </c>
      <c r="D566" s="11">
        <f t="shared" si="16"/>
        <v>119</v>
      </c>
      <c r="E566" t="s">
        <v>9</v>
      </c>
      <c r="F566">
        <v>109.3</v>
      </c>
    </row>
    <row r="567" spans="1:6" hidden="1" x14ac:dyDescent="0.25">
      <c r="A567" t="s">
        <v>8</v>
      </c>
      <c r="B567" s="2">
        <v>43963</v>
      </c>
      <c r="C567">
        <f t="shared" si="17"/>
        <v>2020</v>
      </c>
      <c r="D567" s="11">
        <f t="shared" si="16"/>
        <v>133</v>
      </c>
      <c r="E567" t="s">
        <v>9</v>
      </c>
      <c r="F567">
        <v>116.6</v>
      </c>
    </row>
    <row r="568" spans="1:6" hidden="1" x14ac:dyDescent="0.25">
      <c r="A568" t="s">
        <v>8</v>
      </c>
      <c r="B568" s="2">
        <v>43976</v>
      </c>
      <c r="C568">
        <f t="shared" si="17"/>
        <v>2020</v>
      </c>
      <c r="D568" s="11">
        <f t="shared" si="16"/>
        <v>146</v>
      </c>
      <c r="E568" t="s">
        <v>9</v>
      </c>
      <c r="F568">
        <v>116.8</v>
      </c>
    </row>
    <row r="569" spans="1:6" hidden="1" x14ac:dyDescent="0.25">
      <c r="A569" t="s">
        <v>8</v>
      </c>
      <c r="B569" s="2">
        <v>44221</v>
      </c>
      <c r="C569">
        <f t="shared" si="17"/>
        <v>2021</v>
      </c>
      <c r="D569" s="11">
        <f t="shared" si="16"/>
        <v>25</v>
      </c>
      <c r="E569" t="s">
        <v>9</v>
      </c>
      <c r="F569">
        <v>66.148111110000002</v>
      </c>
    </row>
    <row r="570" spans="1:6" hidden="1" x14ac:dyDescent="0.25">
      <c r="A570" t="s">
        <v>8</v>
      </c>
      <c r="B570" s="2">
        <v>44245</v>
      </c>
      <c r="C570">
        <f t="shared" si="17"/>
        <v>2021</v>
      </c>
      <c r="D570" s="11">
        <f t="shared" si="16"/>
        <v>49</v>
      </c>
      <c r="E570" t="s">
        <v>9</v>
      </c>
      <c r="F570">
        <v>78.188777779999995</v>
      </c>
    </row>
    <row r="571" spans="1:6" hidden="1" x14ac:dyDescent="0.25">
      <c r="A571" t="s">
        <v>8</v>
      </c>
      <c r="B571" s="2">
        <v>44256</v>
      </c>
      <c r="C571">
        <f t="shared" si="17"/>
        <v>2021</v>
      </c>
      <c r="D571" s="11">
        <f t="shared" si="16"/>
        <v>60</v>
      </c>
      <c r="E571" t="s">
        <v>9</v>
      </c>
      <c r="F571">
        <v>85.639222219999994</v>
      </c>
    </row>
    <row r="572" spans="1:6" hidden="1" x14ac:dyDescent="0.25">
      <c r="A572" t="s">
        <v>8</v>
      </c>
      <c r="B572" s="2">
        <v>44271</v>
      </c>
      <c r="C572">
        <f t="shared" si="17"/>
        <v>2021</v>
      </c>
      <c r="D572" s="11">
        <f t="shared" si="16"/>
        <v>75</v>
      </c>
      <c r="E572" t="s">
        <v>9</v>
      </c>
      <c r="F572">
        <v>91.981555560000004</v>
      </c>
    </row>
    <row r="573" spans="1:6" hidden="1" x14ac:dyDescent="0.25">
      <c r="A573" t="s">
        <v>8</v>
      </c>
      <c r="B573" s="2">
        <v>44284</v>
      </c>
      <c r="C573">
        <f t="shared" si="17"/>
        <v>2021</v>
      </c>
      <c r="D573" s="11">
        <f t="shared" si="16"/>
        <v>88</v>
      </c>
      <c r="E573" t="s">
        <v>9</v>
      </c>
      <c r="F573">
        <v>96.656555560000001</v>
      </c>
    </row>
    <row r="574" spans="1:6" hidden="1" x14ac:dyDescent="0.25">
      <c r="A574" t="s">
        <v>8</v>
      </c>
      <c r="B574" s="2">
        <v>44298</v>
      </c>
      <c r="C574">
        <f t="shared" si="17"/>
        <v>2021</v>
      </c>
      <c r="D574" s="11">
        <f t="shared" si="16"/>
        <v>102</v>
      </c>
      <c r="E574" t="s">
        <v>9</v>
      </c>
      <c r="F574">
        <v>102.13188890000001</v>
      </c>
    </row>
    <row r="575" spans="1:6" hidden="1" x14ac:dyDescent="0.25">
      <c r="A575" t="s">
        <v>8</v>
      </c>
      <c r="B575" s="2">
        <v>44307</v>
      </c>
      <c r="C575">
        <f t="shared" si="17"/>
        <v>2021</v>
      </c>
      <c r="D575" s="11">
        <f t="shared" si="16"/>
        <v>111</v>
      </c>
      <c r="E575" t="s">
        <v>9</v>
      </c>
      <c r="F575">
        <v>106.438</v>
      </c>
    </row>
    <row r="576" spans="1:6" hidden="1" x14ac:dyDescent="0.25">
      <c r="A576" t="s">
        <v>8</v>
      </c>
      <c r="B576" s="2">
        <v>44315</v>
      </c>
      <c r="C576">
        <f t="shared" si="17"/>
        <v>2021</v>
      </c>
      <c r="D576" s="11">
        <f t="shared" si="16"/>
        <v>119</v>
      </c>
      <c r="E576" t="s">
        <v>9</v>
      </c>
      <c r="F576">
        <v>114.3467778</v>
      </c>
    </row>
    <row r="577" spans="1:6" hidden="1" x14ac:dyDescent="0.25">
      <c r="A577" t="s">
        <v>8</v>
      </c>
      <c r="B577" s="2">
        <v>44321</v>
      </c>
      <c r="C577">
        <f t="shared" si="17"/>
        <v>2021</v>
      </c>
      <c r="D577" s="11">
        <f t="shared" si="16"/>
        <v>125</v>
      </c>
      <c r="E577" t="s">
        <v>9</v>
      </c>
      <c r="F577">
        <v>108.5084444</v>
      </c>
    </row>
    <row r="578" spans="1:6" hidden="1" x14ac:dyDescent="0.25">
      <c r="A578" t="s">
        <v>8</v>
      </c>
      <c r="B578" s="2">
        <v>44333</v>
      </c>
      <c r="C578">
        <f t="shared" si="17"/>
        <v>2021</v>
      </c>
      <c r="D578" s="11">
        <f t="shared" si="16"/>
        <v>137</v>
      </c>
      <c r="E578" t="s">
        <v>9</v>
      </c>
      <c r="F578">
        <v>110.1386667</v>
      </c>
    </row>
    <row r="579" spans="1:6" hidden="1" x14ac:dyDescent="0.25">
      <c r="A579" t="s">
        <v>8</v>
      </c>
      <c r="B579" s="2">
        <v>44347</v>
      </c>
      <c r="C579">
        <f t="shared" si="17"/>
        <v>2021</v>
      </c>
      <c r="D579" s="11">
        <f t="shared" ref="D579:D642" si="18">B579-DATE(YEAR(B579),1,0)</f>
        <v>151</v>
      </c>
      <c r="E579" t="s">
        <v>9</v>
      </c>
      <c r="F579">
        <v>114.625</v>
      </c>
    </row>
    <row r="580" spans="1:6" hidden="1" x14ac:dyDescent="0.25">
      <c r="A580" t="s">
        <v>8</v>
      </c>
      <c r="B580" s="2">
        <v>44607</v>
      </c>
      <c r="C580">
        <f t="shared" si="17"/>
        <v>2022</v>
      </c>
      <c r="D580" s="11">
        <f t="shared" si="18"/>
        <v>46</v>
      </c>
      <c r="E580" t="s">
        <v>9</v>
      </c>
      <c r="F580">
        <v>66.400000000000006</v>
      </c>
    </row>
    <row r="581" spans="1:6" hidden="1" x14ac:dyDescent="0.25">
      <c r="A581" t="s">
        <v>8</v>
      </c>
      <c r="B581" s="2">
        <v>44608</v>
      </c>
      <c r="C581">
        <f t="shared" si="17"/>
        <v>2022</v>
      </c>
      <c r="D581" s="11">
        <f t="shared" si="18"/>
        <v>47</v>
      </c>
      <c r="E581" t="s">
        <v>9</v>
      </c>
      <c r="F581">
        <v>76.599999999999994</v>
      </c>
    </row>
    <row r="582" spans="1:6" hidden="1" x14ac:dyDescent="0.25">
      <c r="A582" t="s">
        <v>8</v>
      </c>
      <c r="B582" s="2">
        <v>44622</v>
      </c>
      <c r="C582">
        <f t="shared" si="17"/>
        <v>2022</v>
      </c>
      <c r="D582" s="11">
        <f t="shared" si="18"/>
        <v>61</v>
      </c>
      <c r="E582" t="s">
        <v>9</v>
      </c>
      <c r="F582">
        <v>82.4</v>
      </c>
    </row>
    <row r="583" spans="1:6" hidden="1" x14ac:dyDescent="0.25">
      <c r="A583" t="s">
        <v>8</v>
      </c>
      <c r="B583" s="2">
        <v>44622</v>
      </c>
      <c r="C583">
        <f t="shared" si="17"/>
        <v>2022</v>
      </c>
      <c r="D583" s="11">
        <f t="shared" si="18"/>
        <v>61</v>
      </c>
      <c r="E583" t="s">
        <v>9</v>
      </c>
      <c r="F583">
        <v>99.9</v>
      </c>
    </row>
    <row r="584" spans="1:6" hidden="1" x14ac:dyDescent="0.25">
      <c r="A584" t="s">
        <v>8</v>
      </c>
      <c r="B584" s="2">
        <v>44635</v>
      </c>
      <c r="C584">
        <f t="shared" si="17"/>
        <v>2022</v>
      </c>
      <c r="D584" s="11">
        <f t="shared" si="18"/>
        <v>74</v>
      </c>
      <c r="E584" t="s">
        <v>9</v>
      </c>
      <c r="F584">
        <v>91.4</v>
      </c>
    </row>
    <row r="585" spans="1:6" hidden="1" x14ac:dyDescent="0.25">
      <c r="A585" t="s">
        <v>8</v>
      </c>
      <c r="B585" s="2">
        <v>44662</v>
      </c>
      <c r="C585">
        <f t="shared" si="17"/>
        <v>2022</v>
      </c>
      <c r="D585" s="11">
        <f t="shared" si="18"/>
        <v>101</v>
      </c>
      <c r="E585" t="s">
        <v>9</v>
      </c>
      <c r="F585">
        <v>103.4</v>
      </c>
    </row>
    <row r="586" spans="1:6" hidden="1" x14ac:dyDescent="0.25">
      <c r="A586" t="s">
        <v>8</v>
      </c>
      <c r="B586" s="2">
        <v>44669</v>
      </c>
      <c r="C586">
        <f t="shared" si="17"/>
        <v>2022</v>
      </c>
      <c r="D586" s="11">
        <f t="shared" si="18"/>
        <v>108</v>
      </c>
      <c r="E586" t="s">
        <v>9</v>
      </c>
      <c r="F586">
        <v>107.5</v>
      </c>
    </row>
    <row r="587" spans="1:6" hidden="1" x14ac:dyDescent="0.25">
      <c r="A587" t="s">
        <v>8</v>
      </c>
      <c r="B587" s="2">
        <v>44677</v>
      </c>
      <c r="C587">
        <f t="shared" si="17"/>
        <v>2022</v>
      </c>
      <c r="D587" s="11">
        <f t="shared" si="18"/>
        <v>116</v>
      </c>
      <c r="E587" t="s">
        <v>9</v>
      </c>
      <c r="F587">
        <v>110</v>
      </c>
    </row>
    <row r="588" spans="1:6" hidden="1" x14ac:dyDescent="0.25">
      <c r="A588" t="s">
        <v>8</v>
      </c>
      <c r="B588" s="2">
        <v>44683</v>
      </c>
      <c r="C588">
        <f t="shared" si="17"/>
        <v>2022</v>
      </c>
      <c r="D588" s="11">
        <f t="shared" si="18"/>
        <v>122</v>
      </c>
      <c r="E588" t="s">
        <v>9</v>
      </c>
      <c r="F588">
        <v>111.3</v>
      </c>
    </row>
    <row r="589" spans="1:6" hidden="1" x14ac:dyDescent="0.25">
      <c r="A589" t="s">
        <v>8</v>
      </c>
      <c r="B589" s="2">
        <v>44697</v>
      </c>
      <c r="C589">
        <f t="shared" si="17"/>
        <v>2022</v>
      </c>
      <c r="D589" s="11">
        <f t="shared" si="18"/>
        <v>136</v>
      </c>
      <c r="E589" t="s">
        <v>9</v>
      </c>
      <c r="F589">
        <v>115.8</v>
      </c>
    </row>
    <row r="590" spans="1:6" hidden="1" x14ac:dyDescent="0.25">
      <c r="A590" t="s">
        <v>8</v>
      </c>
      <c r="B590" s="2">
        <v>44711</v>
      </c>
      <c r="C590">
        <f t="shared" si="17"/>
        <v>2022</v>
      </c>
      <c r="D590" s="11">
        <f t="shared" si="18"/>
        <v>150</v>
      </c>
      <c r="E590" t="s">
        <v>9</v>
      </c>
      <c r="F590">
        <v>115.8</v>
      </c>
    </row>
    <row r="591" spans="1:6" hidden="1" x14ac:dyDescent="0.25">
      <c r="A591" t="s">
        <v>8</v>
      </c>
      <c r="B591" s="2">
        <v>44949</v>
      </c>
      <c r="C591">
        <f t="shared" si="17"/>
        <v>2023</v>
      </c>
      <c r="D591" s="11">
        <f t="shared" si="18"/>
        <v>23</v>
      </c>
      <c r="E591" t="s">
        <v>9</v>
      </c>
      <c r="F591">
        <v>73.099999999999994</v>
      </c>
    </row>
    <row r="592" spans="1:6" hidden="1" x14ac:dyDescent="0.25">
      <c r="A592" t="s">
        <v>8</v>
      </c>
      <c r="B592" s="2">
        <v>44971</v>
      </c>
      <c r="C592">
        <f t="shared" si="17"/>
        <v>2023</v>
      </c>
      <c r="D592" s="11">
        <f t="shared" si="18"/>
        <v>45</v>
      </c>
      <c r="E592" t="s">
        <v>9</v>
      </c>
      <c r="F592">
        <v>87.7</v>
      </c>
    </row>
    <row r="593" spans="1:6" hidden="1" x14ac:dyDescent="0.25">
      <c r="A593" t="s">
        <v>8</v>
      </c>
      <c r="B593" s="2">
        <v>44987</v>
      </c>
      <c r="C593">
        <f t="shared" si="17"/>
        <v>2023</v>
      </c>
      <c r="D593" s="11">
        <f t="shared" si="18"/>
        <v>61</v>
      </c>
      <c r="E593" t="s">
        <v>9</v>
      </c>
      <c r="F593">
        <v>103</v>
      </c>
    </row>
    <row r="594" spans="1:6" hidden="1" x14ac:dyDescent="0.25">
      <c r="A594" t="s">
        <v>8</v>
      </c>
      <c r="B594" s="2">
        <v>44998</v>
      </c>
      <c r="C594">
        <f t="shared" si="17"/>
        <v>2023</v>
      </c>
      <c r="D594" s="11">
        <f t="shared" si="18"/>
        <v>72</v>
      </c>
      <c r="E594" t="s">
        <v>9</v>
      </c>
      <c r="F594">
        <v>104.4</v>
      </c>
    </row>
    <row r="595" spans="1:6" hidden="1" x14ac:dyDescent="0.25">
      <c r="A595" t="s">
        <v>8</v>
      </c>
      <c r="B595" s="2">
        <v>45014</v>
      </c>
      <c r="C595">
        <f t="shared" si="17"/>
        <v>2023</v>
      </c>
      <c r="D595" s="11">
        <f t="shared" si="18"/>
        <v>88</v>
      </c>
      <c r="E595" t="s">
        <v>9</v>
      </c>
      <c r="F595">
        <v>120.2</v>
      </c>
    </row>
    <row r="596" spans="1:6" hidden="1" x14ac:dyDescent="0.25">
      <c r="A596" t="s">
        <v>8</v>
      </c>
      <c r="B596" s="2">
        <v>45027</v>
      </c>
      <c r="C596">
        <f t="shared" si="17"/>
        <v>2023</v>
      </c>
      <c r="D596" s="11">
        <f t="shared" si="18"/>
        <v>101</v>
      </c>
      <c r="E596" t="s">
        <v>9</v>
      </c>
      <c r="F596">
        <v>122.5</v>
      </c>
    </row>
    <row r="597" spans="1:6" hidden="1" x14ac:dyDescent="0.25">
      <c r="A597" t="s">
        <v>8</v>
      </c>
      <c r="B597" s="2">
        <v>45040</v>
      </c>
      <c r="C597">
        <f t="shared" si="17"/>
        <v>2023</v>
      </c>
      <c r="D597" s="11">
        <f t="shared" si="18"/>
        <v>114</v>
      </c>
      <c r="E597" t="s">
        <v>9</v>
      </c>
      <c r="F597">
        <v>126.6</v>
      </c>
    </row>
    <row r="598" spans="1:6" hidden="1" x14ac:dyDescent="0.25">
      <c r="A598" t="s">
        <v>8</v>
      </c>
      <c r="B598" s="2">
        <v>45047</v>
      </c>
      <c r="C598">
        <f t="shared" si="17"/>
        <v>2023</v>
      </c>
      <c r="D598" s="11">
        <f t="shared" si="18"/>
        <v>121</v>
      </c>
      <c r="E598" t="s">
        <v>9</v>
      </c>
      <c r="F598">
        <v>126.7</v>
      </c>
    </row>
    <row r="599" spans="1:6" hidden="1" x14ac:dyDescent="0.25">
      <c r="A599" t="s">
        <v>8</v>
      </c>
      <c r="B599" s="2">
        <v>45062</v>
      </c>
      <c r="C599">
        <f t="shared" si="17"/>
        <v>2023</v>
      </c>
      <c r="D599" s="11">
        <f t="shared" si="18"/>
        <v>136</v>
      </c>
      <c r="E599" t="s">
        <v>9</v>
      </c>
      <c r="F599">
        <v>129</v>
      </c>
    </row>
    <row r="600" spans="1:6" hidden="1" x14ac:dyDescent="0.25">
      <c r="A600" t="s">
        <v>8</v>
      </c>
      <c r="B600" s="2">
        <v>45076</v>
      </c>
      <c r="C600">
        <f t="shared" si="17"/>
        <v>2023</v>
      </c>
      <c r="D600" s="11">
        <f t="shared" si="18"/>
        <v>150</v>
      </c>
      <c r="E600" t="s">
        <v>9</v>
      </c>
      <c r="F600">
        <v>129.19999999999999</v>
      </c>
    </row>
    <row r="601" spans="1:6" hidden="1" x14ac:dyDescent="0.25">
      <c r="A601" t="s">
        <v>8</v>
      </c>
      <c r="B601" s="2">
        <v>45083</v>
      </c>
      <c r="C601">
        <f t="shared" si="17"/>
        <v>2023</v>
      </c>
      <c r="D601" s="11">
        <f t="shared" si="18"/>
        <v>157</v>
      </c>
      <c r="E601" t="s">
        <v>9</v>
      </c>
      <c r="F601">
        <v>126.5</v>
      </c>
    </row>
    <row r="602" spans="1:6" hidden="1" x14ac:dyDescent="0.25">
      <c r="A602" t="s">
        <v>8</v>
      </c>
      <c r="B602" s="2">
        <v>45315</v>
      </c>
      <c r="C602">
        <f t="shared" si="17"/>
        <v>2024</v>
      </c>
      <c r="D602" s="11">
        <f t="shared" si="18"/>
        <v>24</v>
      </c>
      <c r="E602" t="s">
        <v>9</v>
      </c>
      <c r="F602">
        <v>67.5</v>
      </c>
    </row>
    <row r="603" spans="1:6" hidden="1" x14ac:dyDescent="0.25">
      <c r="A603" t="s">
        <v>8</v>
      </c>
      <c r="B603" s="2">
        <v>45335</v>
      </c>
      <c r="C603">
        <f t="shared" si="17"/>
        <v>2024</v>
      </c>
      <c r="D603" s="11">
        <f t="shared" si="18"/>
        <v>44</v>
      </c>
      <c r="E603" t="s">
        <v>9</v>
      </c>
      <c r="F603">
        <v>78.2</v>
      </c>
    </row>
    <row r="604" spans="1:6" hidden="1" x14ac:dyDescent="0.25">
      <c r="A604" t="s">
        <v>8</v>
      </c>
      <c r="B604" s="2">
        <v>45349</v>
      </c>
      <c r="C604">
        <f t="shared" si="17"/>
        <v>2024</v>
      </c>
      <c r="D604" s="11">
        <f t="shared" si="18"/>
        <v>58</v>
      </c>
      <c r="E604" t="s">
        <v>9</v>
      </c>
      <c r="F604">
        <v>86.7</v>
      </c>
    </row>
    <row r="605" spans="1:6" hidden="1" x14ac:dyDescent="0.25">
      <c r="A605" t="s">
        <v>8</v>
      </c>
      <c r="B605" s="2">
        <v>45363</v>
      </c>
      <c r="C605">
        <f t="shared" si="17"/>
        <v>2024</v>
      </c>
      <c r="D605" s="11">
        <f t="shared" si="18"/>
        <v>72</v>
      </c>
      <c r="E605" t="s">
        <v>9</v>
      </c>
      <c r="F605">
        <v>92.6</v>
      </c>
    </row>
    <row r="606" spans="1:6" hidden="1" x14ac:dyDescent="0.25">
      <c r="A606" t="s">
        <v>8</v>
      </c>
      <c r="B606" s="2">
        <v>45378</v>
      </c>
      <c r="C606">
        <f t="shared" si="17"/>
        <v>2024</v>
      </c>
      <c r="D606" s="11">
        <f t="shared" si="18"/>
        <v>87</v>
      </c>
      <c r="E606" t="s">
        <v>9</v>
      </c>
      <c r="F606">
        <v>99.8</v>
      </c>
    </row>
    <row r="607" spans="1:6" hidden="1" x14ac:dyDescent="0.25">
      <c r="A607" t="s">
        <v>8</v>
      </c>
      <c r="B607" s="2">
        <v>45390</v>
      </c>
      <c r="C607">
        <f t="shared" si="17"/>
        <v>2024</v>
      </c>
      <c r="D607" s="11">
        <f t="shared" si="18"/>
        <v>99</v>
      </c>
      <c r="E607" t="s">
        <v>9</v>
      </c>
      <c r="F607">
        <v>103.5</v>
      </c>
    </row>
    <row r="608" spans="1:6" hidden="1" x14ac:dyDescent="0.25">
      <c r="A608" t="s">
        <v>8</v>
      </c>
      <c r="B608" s="2">
        <v>45406</v>
      </c>
      <c r="C608">
        <f t="shared" si="17"/>
        <v>2024</v>
      </c>
      <c r="D608" s="11">
        <f t="shared" si="18"/>
        <v>115</v>
      </c>
      <c r="E608" t="s">
        <v>9</v>
      </c>
      <c r="F608">
        <v>113.8</v>
      </c>
    </row>
    <row r="609" spans="1:13" hidden="1" x14ac:dyDescent="0.25">
      <c r="A609" t="s">
        <v>8</v>
      </c>
      <c r="B609" s="2">
        <v>45412</v>
      </c>
      <c r="C609">
        <f t="shared" si="17"/>
        <v>2024</v>
      </c>
      <c r="D609" s="11">
        <f t="shared" si="18"/>
        <v>121</v>
      </c>
      <c r="E609" t="s">
        <v>9</v>
      </c>
      <c r="F609">
        <v>87.9</v>
      </c>
    </row>
    <row r="610" spans="1:13" hidden="1" x14ac:dyDescent="0.25">
      <c r="A610" t="s">
        <v>8</v>
      </c>
      <c r="B610" s="2">
        <v>45427</v>
      </c>
      <c r="C610">
        <f t="shared" si="17"/>
        <v>2024</v>
      </c>
      <c r="D610" s="11">
        <f t="shared" si="18"/>
        <v>136</v>
      </c>
      <c r="E610" t="s">
        <v>9</v>
      </c>
      <c r="F610">
        <v>105.6</v>
      </c>
    </row>
    <row r="611" spans="1:13" hidden="1" x14ac:dyDescent="0.25">
      <c r="A611" t="s">
        <v>8</v>
      </c>
      <c r="B611" s="2">
        <v>45441</v>
      </c>
      <c r="C611">
        <f t="shared" si="17"/>
        <v>2024</v>
      </c>
      <c r="D611" s="11">
        <f t="shared" si="18"/>
        <v>150</v>
      </c>
      <c r="E611" t="s">
        <v>9</v>
      </c>
      <c r="F611">
        <v>99.6</v>
      </c>
    </row>
    <row r="612" spans="1:13" hidden="1" x14ac:dyDescent="0.25">
      <c r="A612" t="s">
        <v>8</v>
      </c>
      <c r="B612" s="2">
        <v>45454</v>
      </c>
      <c r="C612">
        <f t="shared" si="17"/>
        <v>2024</v>
      </c>
      <c r="D612" s="11">
        <f t="shared" si="18"/>
        <v>163</v>
      </c>
      <c r="E612" t="s">
        <v>9</v>
      </c>
      <c r="F612">
        <v>104.6</v>
      </c>
    </row>
    <row r="613" spans="1:13" hidden="1" x14ac:dyDescent="0.25">
      <c r="D613" s="11"/>
    </row>
    <row r="614" spans="1:13" x14ac:dyDescent="0.25">
      <c r="A614" t="s">
        <v>10</v>
      </c>
      <c r="B614" s="2">
        <v>42387</v>
      </c>
      <c r="C614">
        <v>2016</v>
      </c>
      <c r="D614" s="11">
        <f t="shared" si="18"/>
        <v>18</v>
      </c>
      <c r="E614" t="s">
        <v>6</v>
      </c>
      <c r="F614">
        <v>59.6</v>
      </c>
      <c r="G614">
        <f>F614</f>
        <v>59.6</v>
      </c>
      <c r="I614" s="5">
        <f xml:space="preserve"> DATEDIF(DATE(YEAR(M614),1,0),M614,"d")+1</f>
        <v>327</v>
      </c>
      <c r="M614" s="2">
        <v>42330</v>
      </c>
    </row>
    <row r="615" spans="1:13" x14ac:dyDescent="0.25">
      <c r="A615" t="s">
        <v>10</v>
      </c>
      <c r="B615" s="2">
        <v>42387</v>
      </c>
      <c r="C615">
        <v>2016</v>
      </c>
      <c r="D615" s="11">
        <f t="shared" si="18"/>
        <v>18</v>
      </c>
      <c r="E615" t="s">
        <v>6</v>
      </c>
      <c r="F615">
        <v>58.3</v>
      </c>
      <c r="G615">
        <f t="shared" ref="G615:G678" si="19">F615</f>
        <v>58.3</v>
      </c>
      <c r="I615" s="5">
        <f t="shared" ref="I615:I678" si="20" xml:space="preserve"> DATEDIF(DATE(YEAR(M615),1,0),M615,"d")+1</f>
        <v>334</v>
      </c>
      <c r="M615" s="2">
        <v>42337</v>
      </c>
    </row>
    <row r="616" spans="1:13" x14ac:dyDescent="0.25">
      <c r="A616" t="s">
        <v>10</v>
      </c>
      <c r="B616" s="2">
        <v>42423</v>
      </c>
      <c r="C616">
        <v>2016</v>
      </c>
      <c r="D616" s="11">
        <f t="shared" si="18"/>
        <v>54</v>
      </c>
      <c r="E616" t="s">
        <v>6</v>
      </c>
      <c r="F616">
        <v>74.400000000000006</v>
      </c>
      <c r="G616">
        <f t="shared" si="19"/>
        <v>74.400000000000006</v>
      </c>
      <c r="I616" s="5">
        <f t="shared" si="20"/>
        <v>331</v>
      </c>
      <c r="M616" s="2">
        <v>42334</v>
      </c>
    </row>
    <row r="617" spans="1:13" x14ac:dyDescent="0.25">
      <c r="A617" t="s">
        <v>10</v>
      </c>
      <c r="B617" s="2">
        <v>42423</v>
      </c>
      <c r="C617">
        <v>2016</v>
      </c>
      <c r="D617" s="11">
        <f t="shared" si="18"/>
        <v>54</v>
      </c>
      <c r="E617" t="s">
        <v>6</v>
      </c>
      <c r="F617">
        <v>85.7</v>
      </c>
      <c r="G617">
        <f t="shared" si="19"/>
        <v>85.7</v>
      </c>
      <c r="I617" s="5">
        <f t="shared" si="20"/>
        <v>333</v>
      </c>
      <c r="M617" s="2">
        <v>42336</v>
      </c>
    </row>
    <row r="618" spans="1:13" x14ac:dyDescent="0.25">
      <c r="A618" t="s">
        <v>10</v>
      </c>
      <c r="B618" s="2">
        <v>42437</v>
      </c>
      <c r="C618">
        <v>2016</v>
      </c>
      <c r="D618" s="11">
        <f t="shared" si="18"/>
        <v>68</v>
      </c>
      <c r="E618" t="s">
        <v>6</v>
      </c>
      <c r="F618">
        <v>79.400000000000006</v>
      </c>
      <c r="G618">
        <f t="shared" si="19"/>
        <v>79.400000000000006</v>
      </c>
      <c r="I618" s="5">
        <f t="shared" si="20"/>
        <v>331</v>
      </c>
      <c r="M618" s="2">
        <v>42334</v>
      </c>
    </row>
    <row r="619" spans="1:13" x14ac:dyDescent="0.25">
      <c r="A619" t="s">
        <v>10</v>
      </c>
      <c r="B619" s="2">
        <v>42437</v>
      </c>
      <c r="C619">
        <v>2016</v>
      </c>
      <c r="D619" s="11">
        <f t="shared" si="18"/>
        <v>68</v>
      </c>
      <c r="E619" t="s">
        <v>6</v>
      </c>
      <c r="F619">
        <v>92.4</v>
      </c>
      <c r="G619">
        <f t="shared" si="19"/>
        <v>92.4</v>
      </c>
      <c r="I619" s="5">
        <f t="shared" si="20"/>
        <v>336</v>
      </c>
      <c r="M619" s="2">
        <v>42339</v>
      </c>
    </row>
    <row r="620" spans="1:13" x14ac:dyDescent="0.25">
      <c r="A620" t="s">
        <v>10</v>
      </c>
      <c r="B620" s="2">
        <v>42451</v>
      </c>
      <c r="C620">
        <v>2016</v>
      </c>
      <c r="D620" s="11">
        <f t="shared" si="18"/>
        <v>82</v>
      </c>
      <c r="E620" t="s">
        <v>6</v>
      </c>
      <c r="F620">
        <v>91.9</v>
      </c>
      <c r="G620">
        <f t="shared" si="19"/>
        <v>91.9</v>
      </c>
      <c r="I620" s="5">
        <f t="shared" si="20"/>
        <v>330</v>
      </c>
      <c r="M620" s="2">
        <v>42333</v>
      </c>
    </row>
    <row r="621" spans="1:13" x14ac:dyDescent="0.25">
      <c r="A621" t="s">
        <v>10</v>
      </c>
      <c r="B621" s="2">
        <v>42451</v>
      </c>
      <c r="C621">
        <v>2016</v>
      </c>
      <c r="D621" s="11">
        <f t="shared" si="18"/>
        <v>82</v>
      </c>
      <c r="E621" t="s">
        <v>6</v>
      </c>
      <c r="F621">
        <v>101.1</v>
      </c>
      <c r="G621">
        <f t="shared" si="19"/>
        <v>101.1</v>
      </c>
      <c r="I621" s="5">
        <f t="shared" si="20"/>
        <v>331</v>
      </c>
      <c r="M621" s="2">
        <v>42334</v>
      </c>
    </row>
    <row r="622" spans="1:13" x14ac:dyDescent="0.25">
      <c r="A622" t="s">
        <v>10</v>
      </c>
      <c r="B622" s="2">
        <v>42466</v>
      </c>
      <c r="C622">
        <v>2016</v>
      </c>
      <c r="D622" s="11">
        <f t="shared" si="18"/>
        <v>97</v>
      </c>
      <c r="E622" t="s">
        <v>6</v>
      </c>
      <c r="F622">
        <v>94.9</v>
      </c>
      <c r="G622">
        <f t="shared" si="19"/>
        <v>94.9</v>
      </c>
      <c r="I622" s="5">
        <f t="shared" si="20"/>
        <v>336</v>
      </c>
      <c r="M622" s="2">
        <v>42339</v>
      </c>
    </row>
    <row r="623" spans="1:13" x14ac:dyDescent="0.25">
      <c r="A623" t="s">
        <v>10</v>
      </c>
      <c r="B623" s="2">
        <v>42467</v>
      </c>
      <c r="C623">
        <v>2016</v>
      </c>
      <c r="D623" s="11">
        <f t="shared" si="18"/>
        <v>98</v>
      </c>
      <c r="E623" t="s">
        <v>6</v>
      </c>
      <c r="F623">
        <v>113.4</v>
      </c>
      <c r="G623">
        <f t="shared" si="19"/>
        <v>113.4</v>
      </c>
      <c r="I623" s="5">
        <f t="shared" si="20"/>
        <v>327</v>
      </c>
      <c r="M623" s="2">
        <v>42330</v>
      </c>
    </row>
    <row r="624" spans="1:13" x14ac:dyDescent="0.25">
      <c r="A624" t="s">
        <v>10</v>
      </c>
      <c r="B624" s="2">
        <v>42474</v>
      </c>
      <c r="C624">
        <v>2016</v>
      </c>
      <c r="D624" s="11">
        <f t="shared" si="18"/>
        <v>105</v>
      </c>
      <c r="E624" t="s">
        <v>6</v>
      </c>
      <c r="F624">
        <v>115.3</v>
      </c>
      <c r="G624">
        <f t="shared" si="19"/>
        <v>115.3</v>
      </c>
      <c r="I624" s="5">
        <f t="shared" si="20"/>
        <v>334</v>
      </c>
      <c r="M624" s="2">
        <v>42337</v>
      </c>
    </row>
    <row r="625" spans="1:13" x14ac:dyDescent="0.25">
      <c r="A625" t="s">
        <v>10</v>
      </c>
      <c r="B625" s="2">
        <v>42475</v>
      </c>
      <c r="C625">
        <v>2016</v>
      </c>
      <c r="D625" s="11">
        <f t="shared" si="18"/>
        <v>106</v>
      </c>
      <c r="E625" t="s">
        <v>6</v>
      </c>
      <c r="F625">
        <v>101.2</v>
      </c>
      <c r="G625">
        <f t="shared" si="19"/>
        <v>101.2</v>
      </c>
      <c r="I625" s="5">
        <f t="shared" si="20"/>
        <v>331</v>
      </c>
      <c r="M625" s="2">
        <v>42334</v>
      </c>
    </row>
    <row r="626" spans="1:13" x14ac:dyDescent="0.25">
      <c r="A626" t="s">
        <v>10</v>
      </c>
      <c r="B626" s="2">
        <v>42482</v>
      </c>
      <c r="C626">
        <v>2016</v>
      </c>
      <c r="D626" s="11">
        <f t="shared" si="18"/>
        <v>113</v>
      </c>
      <c r="E626" t="s">
        <v>6</v>
      </c>
      <c r="F626">
        <v>103.3</v>
      </c>
      <c r="G626">
        <f t="shared" si="19"/>
        <v>103.3</v>
      </c>
      <c r="I626" s="5">
        <f t="shared" si="20"/>
        <v>333</v>
      </c>
      <c r="M626" s="2">
        <v>42336</v>
      </c>
    </row>
    <row r="627" spans="1:13" x14ac:dyDescent="0.25">
      <c r="A627" t="s">
        <v>10</v>
      </c>
      <c r="B627" s="2">
        <v>42482</v>
      </c>
      <c r="C627">
        <v>2016</v>
      </c>
      <c r="D627" s="11">
        <f t="shared" si="18"/>
        <v>113</v>
      </c>
      <c r="E627" t="s">
        <v>6</v>
      </c>
      <c r="F627">
        <v>119.2</v>
      </c>
      <c r="G627">
        <f t="shared" si="19"/>
        <v>119.2</v>
      </c>
      <c r="I627" s="5">
        <f t="shared" si="20"/>
        <v>330</v>
      </c>
      <c r="M627" s="2">
        <v>42333</v>
      </c>
    </row>
    <row r="628" spans="1:13" x14ac:dyDescent="0.25">
      <c r="A628" t="s">
        <v>10</v>
      </c>
      <c r="B628" s="2">
        <v>42486</v>
      </c>
      <c r="C628">
        <v>2016</v>
      </c>
      <c r="D628" s="11">
        <f t="shared" si="18"/>
        <v>117</v>
      </c>
      <c r="E628" t="s">
        <v>6</v>
      </c>
      <c r="F628">
        <v>103.4</v>
      </c>
      <c r="G628">
        <f t="shared" si="19"/>
        <v>103.4</v>
      </c>
      <c r="I628" s="5">
        <f t="shared" si="20"/>
        <v>331</v>
      </c>
      <c r="M628" s="2">
        <v>42334</v>
      </c>
    </row>
    <row r="629" spans="1:13" x14ac:dyDescent="0.25">
      <c r="A629" t="s">
        <v>10</v>
      </c>
      <c r="B629" s="2">
        <v>42486</v>
      </c>
      <c r="C629">
        <v>2016</v>
      </c>
      <c r="D629" s="11">
        <f t="shared" si="18"/>
        <v>117</v>
      </c>
      <c r="E629" t="s">
        <v>6</v>
      </c>
      <c r="F629">
        <v>115.3</v>
      </c>
      <c r="G629">
        <f t="shared" si="19"/>
        <v>115.3</v>
      </c>
      <c r="I629" s="5">
        <f t="shared" si="20"/>
        <v>336</v>
      </c>
      <c r="M629" s="2">
        <v>42339</v>
      </c>
    </row>
    <row r="630" spans="1:13" x14ac:dyDescent="0.25">
      <c r="A630" t="s">
        <v>10</v>
      </c>
      <c r="B630" s="2">
        <v>42493</v>
      </c>
      <c r="C630">
        <v>2016</v>
      </c>
      <c r="D630" s="11">
        <f t="shared" si="18"/>
        <v>124</v>
      </c>
      <c r="E630" t="s">
        <v>6</v>
      </c>
      <c r="F630">
        <v>105.7</v>
      </c>
      <c r="G630" s="7">
        <f>Calculations!D2</f>
        <v>110.6558449834517</v>
      </c>
      <c r="H630" t="s">
        <v>27</v>
      </c>
      <c r="I630" s="5">
        <f t="shared" si="20"/>
        <v>330</v>
      </c>
      <c r="M630" s="2">
        <v>42333</v>
      </c>
    </row>
    <row r="631" spans="1:13" x14ac:dyDescent="0.25">
      <c r="A631" t="s">
        <v>10</v>
      </c>
      <c r="B631" s="2">
        <v>42493</v>
      </c>
      <c r="C631">
        <v>2016</v>
      </c>
      <c r="D631" s="11">
        <f t="shared" si="18"/>
        <v>124</v>
      </c>
      <c r="E631" t="s">
        <v>6</v>
      </c>
      <c r="F631">
        <v>122.2</v>
      </c>
      <c r="G631">
        <f t="shared" si="19"/>
        <v>122.2</v>
      </c>
      <c r="I631" s="5">
        <f t="shared" si="20"/>
        <v>327</v>
      </c>
      <c r="M631" s="2">
        <v>42330</v>
      </c>
    </row>
    <row r="632" spans="1:13" x14ac:dyDescent="0.25">
      <c r="A632" t="s">
        <v>10</v>
      </c>
      <c r="B632" s="2">
        <v>42510</v>
      </c>
      <c r="C632">
        <v>2016</v>
      </c>
      <c r="D632" s="11">
        <f t="shared" si="18"/>
        <v>141</v>
      </c>
      <c r="E632" t="s">
        <v>6</v>
      </c>
      <c r="F632">
        <v>106.7</v>
      </c>
      <c r="G632">
        <f t="shared" si="19"/>
        <v>106.7</v>
      </c>
      <c r="I632" s="5">
        <f t="shared" si="20"/>
        <v>334</v>
      </c>
      <c r="M632" s="2">
        <v>42337</v>
      </c>
    </row>
    <row r="633" spans="1:13" x14ac:dyDescent="0.25">
      <c r="A633" t="s">
        <v>10</v>
      </c>
      <c r="B633" s="2">
        <v>42510</v>
      </c>
      <c r="C633">
        <v>2016</v>
      </c>
      <c r="D633" s="11">
        <f t="shared" si="18"/>
        <v>141</v>
      </c>
      <c r="E633" t="s">
        <v>6</v>
      </c>
      <c r="F633">
        <v>123.3</v>
      </c>
      <c r="G633">
        <f t="shared" si="19"/>
        <v>123.3</v>
      </c>
      <c r="I633" s="5">
        <f t="shared" si="20"/>
        <v>331</v>
      </c>
      <c r="M633" s="2">
        <v>42334</v>
      </c>
    </row>
    <row r="634" spans="1:13" x14ac:dyDescent="0.25">
      <c r="A634" t="s">
        <v>10</v>
      </c>
      <c r="B634" s="2">
        <v>42521</v>
      </c>
      <c r="C634">
        <v>2016</v>
      </c>
      <c r="D634" s="11">
        <f t="shared" si="18"/>
        <v>152</v>
      </c>
      <c r="E634" t="s">
        <v>6</v>
      </c>
      <c r="F634">
        <v>103.3</v>
      </c>
      <c r="G634">
        <f t="shared" si="19"/>
        <v>103.3</v>
      </c>
      <c r="I634" s="5">
        <f t="shared" si="20"/>
        <v>333</v>
      </c>
      <c r="M634" s="2">
        <v>42336</v>
      </c>
    </row>
    <row r="635" spans="1:13" x14ac:dyDescent="0.25">
      <c r="A635" t="s">
        <v>10</v>
      </c>
      <c r="B635" s="2">
        <v>42521</v>
      </c>
      <c r="C635">
        <v>2016</v>
      </c>
      <c r="D635" s="11">
        <f t="shared" si="18"/>
        <v>152</v>
      </c>
      <c r="E635" t="s">
        <v>6</v>
      </c>
      <c r="F635">
        <v>122.6</v>
      </c>
      <c r="G635">
        <f t="shared" si="19"/>
        <v>122.6</v>
      </c>
      <c r="I635" s="5">
        <f t="shared" si="20"/>
        <v>331</v>
      </c>
      <c r="M635" s="2">
        <v>42334</v>
      </c>
    </row>
    <row r="636" spans="1:13" x14ac:dyDescent="0.25">
      <c r="A636" t="s">
        <v>10</v>
      </c>
      <c r="B636" s="2">
        <v>42535</v>
      </c>
      <c r="C636">
        <v>2016</v>
      </c>
      <c r="D636" s="11">
        <f t="shared" si="18"/>
        <v>166</v>
      </c>
      <c r="E636" t="s">
        <v>6</v>
      </c>
      <c r="F636">
        <v>106.7</v>
      </c>
      <c r="G636">
        <f t="shared" si="19"/>
        <v>106.7</v>
      </c>
      <c r="I636" s="5">
        <f t="shared" si="20"/>
        <v>336</v>
      </c>
      <c r="M636" s="2">
        <v>42339</v>
      </c>
    </row>
    <row r="637" spans="1:13" x14ac:dyDescent="0.25">
      <c r="A637" t="s">
        <v>10</v>
      </c>
      <c r="B637" s="2">
        <v>42535</v>
      </c>
      <c r="C637">
        <v>2016</v>
      </c>
      <c r="D637" s="11">
        <f t="shared" si="18"/>
        <v>166</v>
      </c>
      <c r="E637" t="s">
        <v>6</v>
      </c>
      <c r="F637">
        <v>118.4</v>
      </c>
      <c r="G637">
        <f t="shared" si="19"/>
        <v>118.4</v>
      </c>
      <c r="I637" s="5">
        <f t="shared" si="20"/>
        <v>327</v>
      </c>
      <c r="M637" s="2">
        <v>42330</v>
      </c>
    </row>
    <row r="638" spans="1:13" x14ac:dyDescent="0.25">
      <c r="A638" t="s">
        <v>10</v>
      </c>
      <c r="B638" s="2">
        <v>42386</v>
      </c>
      <c r="C638">
        <v>2016</v>
      </c>
      <c r="D638" s="11">
        <f t="shared" si="18"/>
        <v>17</v>
      </c>
      <c r="E638" t="s">
        <v>6</v>
      </c>
      <c r="F638">
        <v>56.9</v>
      </c>
      <c r="G638">
        <f t="shared" si="19"/>
        <v>56.9</v>
      </c>
      <c r="I638" s="5">
        <f t="shared" si="20"/>
        <v>334</v>
      </c>
      <c r="M638" s="2">
        <v>42337</v>
      </c>
    </row>
    <row r="639" spans="1:13" x14ac:dyDescent="0.25">
      <c r="A639" t="s">
        <v>10</v>
      </c>
      <c r="B639" s="2">
        <v>42424</v>
      </c>
      <c r="C639">
        <v>2016</v>
      </c>
      <c r="D639" s="11">
        <f t="shared" si="18"/>
        <v>55</v>
      </c>
      <c r="E639" t="s">
        <v>6</v>
      </c>
      <c r="F639">
        <v>81.2</v>
      </c>
      <c r="G639">
        <f t="shared" si="19"/>
        <v>81.2</v>
      </c>
      <c r="I639" s="5">
        <f t="shared" si="20"/>
        <v>331</v>
      </c>
      <c r="M639" s="2">
        <v>42334</v>
      </c>
    </row>
    <row r="640" spans="1:13" x14ac:dyDescent="0.25">
      <c r="A640" t="s">
        <v>10</v>
      </c>
      <c r="B640" s="2">
        <v>42439</v>
      </c>
      <c r="C640">
        <v>2016</v>
      </c>
      <c r="D640" s="11">
        <f t="shared" si="18"/>
        <v>70</v>
      </c>
      <c r="E640" t="s">
        <v>6</v>
      </c>
      <c r="F640">
        <v>94.7</v>
      </c>
      <c r="G640">
        <f t="shared" si="19"/>
        <v>94.7</v>
      </c>
      <c r="I640" s="5">
        <f t="shared" si="20"/>
        <v>333</v>
      </c>
      <c r="M640" s="2">
        <v>42336</v>
      </c>
    </row>
    <row r="641" spans="1:13" x14ac:dyDescent="0.25">
      <c r="A641" t="s">
        <v>10</v>
      </c>
      <c r="B641" s="2">
        <v>42452</v>
      </c>
      <c r="C641">
        <v>2016</v>
      </c>
      <c r="D641" s="11">
        <f t="shared" si="18"/>
        <v>83</v>
      </c>
      <c r="E641" t="s">
        <v>6</v>
      </c>
      <c r="F641">
        <v>97.8</v>
      </c>
      <c r="G641">
        <f t="shared" si="19"/>
        <v>97.8</v>
      </c>
      <c r="I641" s="5">
        <f t="shared" si="20"/>
        <v>330</v>
      </c>
      <c r="M641" s="2">
        <v>42333</v>
      </c>
    </row>
    <row r="642" spans="1:13" x14ac:dyDescent="0.25">
      <c r="A642" t="s">
        <v>10</v>
      </c>
      <c r="B642" s="2">
        <v>42467</v>
      </c>
      <c r="C642">
        <v>2016</v>
      </c>
      <c r="D642" s="11">
        <f t="shared" si="18"/>
        <v>98</v>
      </c>
      <c r="E642" t="s">
        <v>6</v>
      </c>
      <c r="F642">
        <v>109.2</v>
      </c>
      <c r="G642">
        <f t="shared" si="19"/>
        <v>109.2</v>
      </c>
      <c r="I642" s="5">
        <f t="shared" si="20"/>
        <v>331</v>
      </c>
      <c r="M642" s="2">
        <v>42334</v>
      </c>
    </row>
    <row r="643" spans="1:13" x14ac:dyDescent="0.25">
      <c r="A643" t="s">
        <v>10</v>
      </c>
      <c r="B643" s="2">
        <v>42474</v>
      </c>
      <c r="C643">
        <v>2016</v>
      </c>
      <c r="D643" s="11">
        <f t="shared" ref="D643:D706" si="21">B643-DATE(YEAR(B643),1,0)</f>
        <v>105</v>
      </c>
      <c r="E643" t="s">
        <v>6</v>
      </c>
      <c r="F643">
        <v>107.3</v>
      </c>
      <c r="G643">
        <f t="shared" si="19"/>
        <v>107.3</v>
      </c>
      <c r="I643" s="5">
        <f t="shared" si="20"/>
        <v>327</v>
      </c>
      <c r="M643" s="2">
        <v>42330</v>
      </c>
    </row>
    <row r="644" spans="1:13" x14ac:dyDescent="0.25">
      <c r="A644" t="s">
        <v>10</v>
      </c>
      <c r="B644" s="2">
        <v>42482</v>
      </c>
      <c r="C644">
        <v>2016</v>
      </c>
      <c r="D644" s="11">
        <f t="shared" si="21"/>
        <v>113</v>
      </c>
      <c r="E644" t="s">
        <v>6</v>
      </c>
      <c r="F644">
        <v>112.8</v>
      </c>
      <c r="G644">
        <f t="shared" si="19"/>
        <v>112.8</v>
      </c>
      <c r="I644" s="5">
        <f t="shared" si="20"/>
        <v>334</v>
      </c>
      <c r="M644" s="2">
        <v>42337</v>
      </c>
    </row>
    <row r="645" spans="1:13" x14ac:dyDescent="0.25">
      <c r="A645" t="s">
        <v>10</v>
      </c>
      <c r="B645" s="2">
        <v>42489</v>
      </c>
      <c r="C645">
        <v>2016</v>
      </c>
      <c r="D645" s="11">
        <f t="shared" si="21"/>
        <v>120</v>
      </c>
      <c r="E645" t="s">
        <v>6</v>
      </c>
      <c r="F645">
        <v>110.8</v>
      </c>
      <c r="G645">
        <f t="shared" si="19"/>
        <v>110.8</v>
      </c>
      <c r="I645" s="5">
        <f t="shared" si="20"/>
        <v>336</v>
      </c>
      <c r="M645" s="2">
        <v>42339</v>
      </c>
    </row>
    <row r="646" spans="1:13" x14ac:dyDescent="0.25">
      <c r="A646" t="s">
        <v>10</v>
      </c>
      <c r="B646" s="2">
        <v>42496</v>
      </c>
      <c r="C646">
        <v>2016</v>
      </c>
      <c r="D646" s="11">
        <f t="shared" si="21"/>
        <v>127</v>
      </c>
      <c r="E646" t="s">
        <v>6</v>
      </c>
      <c r="F646">
        <v>115.6</v>
      </c>
      <c r="G646">
        <f t="shared" si="19"/>
        <v>115.6</v>
      </c>
      <c r="I646" s="5">
        <f t="shared" si="20"/>
        <v>331</v>
      </c>
      <c r="M646" s="2">
        <v>42334</v>
      </c>
    </row>
    <row r="647" spans="1:13" x14ac:dyDescent="0.25">
      <c r="A647" t="s">
        <v>10</v>
      </c>
      <c r="B647" s="2">
        <v>42510</v>
      </c>
      <c r="C647">
        <v>2016</v>
      </c>
      <c r="D647" s="11">
        <f t="shared" si="21"/>
        <v>141</v>
      </c>
      <c r="E647" t="s">
        <v>6</v>
      </c>
      <c r="F647">
        <v>114.4</v>
      </c>
      <c r="G647">
        <f t="shared" si="19"/>
        <v>114.4</v>
      </c>
      <c r="I647" s="5">
        <f t="shared" si="20"/>
        <v>333</v>
      </c>
      <c r="M647" s="2">
        <v>42336</v>
      </c>
    </row>
    <row r="648" spans="1:13" x14ac:dyDescent="0.25">
      <c r="A648" t="s">
        <v>10</v>
      </c>
      <c r="B648" s="2">
        <v>42523</v>
      </c>
      <c r="C648">
        <v>2016</v>
      </c>
      <c r="D648" s="11">
        <f t="shared" si="21"/>
        <v>154</v>
      </c>
      <c r="E648" t="s">
        <v>6</v>
      </c>
      <c r="F648">
        <v>113.8</v>
      </c>
      <c r="G648">
        <f t="shared" si="19"/>
        <v>113.8</v>
      </c>
      <c r="I648" s="5">
        <f t="shared" si="20"/>
        <v>330</v>
      </c>
      <c r="M648" s="2">
        <v>42333</v>
      </c>
    </row>
    <row r="649" spans="1:13" x14ac:dyDescent="0.25">
      <c r="A649" t="s">
        <v>10</v>
      </c>
      <c r="B649" s="2">
        <v>42535</v>
      </c>
      <c r="C649">
        <v>2016</v>
      </c>
      <c r="D649" s="11">
        <f t="shared" si="21"/>
        <v>166</v>
      </c>
      <c r="E649" t="s">
        <v>6</v>
      </c>
      <c r="F649">
        <v>119.1</v>
      </c>
      <c r="G649">
        <f t="shared" si="19"/>
        <v>119.1</v>
      </c>
      <c r="I649" s="5">
        <f t="shared" si="20"/>
        <v>336</v>
      </c>
      <c r="M649" s="2">
        <v>42339</v>
      </c>
    </row>
    <row r="650" spans="1:13" x14ac:dyDescent="0.25">
      <c r="A650" t="s">
        <v>10</v>
      </c>
      <c r="B650" s="2">
        <v>42386</v>
      </c>
      <c r="C650">
        <v>2016</v>
      </c>
      <c r="D650" s="11">
        <f t="shared" si="21"/>
        <v>17</v>
      </c>
      <c r="E650" t="s">
        <v>6</v>
      </c>
      <c r="F650">
        <v>65.2</v>
      </c>
      <c r="G650">
        <f t="shared" si="19"/>
        <v>65.2</v>
      </c>
      <c r="I650" s="5">
        <f t="shared" si="20"/>
        <v>333</v>
      </c>
      <c r="M650" s="2">
        <v>42336</v>
      </c>
    </row>
    <row r="651" spans="1:13" x14ac:dyDescent="0.25">
      <c r="A651" t="s">
        <v>10</v>
      </c>
      <c r="B651" s="2">
        <v>42386</v>
      </c>
      <c r="C651">
        <v>2016</v>
      </c>
      <c r="D651" s="11">
        <f t="shared" si="21"/>
        <v>17</v>
      </c>
      <c r="E651" t="s">
        <v>6</v>
      </c>
      <c r="F651">
        <v>62.3</v>
      </c>
      <c r="G651">
        <f t="shared" si="19"/>
        <v>62.3</v>
      </c>
      <c r="I651" s="5">
        <f t="shared" si="20"/>
        <v>330</v>
      </c>
      <c r="M651" s="2">
        <v>42333</v>
      </c>
    </row>
    <row r="652" spans="1:13" x14ac:dyDescent="0.25">
      <c r="A652" t="s">
        <v>10</v>
      </c>
      <c r="B652" s="2">
        <v>42386</v>
      </c>
      <c r="C652">
        <v>2016</v>
      </c>
      <c r="D652" s="11">
        <f t="shared" si="21"/>
        <v>17</v>
      </c>
      <c r="E652" t="s">
        <v>6</v>
      </c>
      <c r="F652">
        <v>61.2</v>
      </c>
      <c r="G652">
        <f t="shared" si="19"/>
        <v>61.2</v>
      </c>
      <c r="I652" s="5">
        <f t="shared" si="20"/>
        <v>331</v>
      </c>
      <c r="M652" s="2">
        <v>42334</v>
      </c>
    </row>
    <row r="653" spans="1:13" x14ac:dyDescent="0.25">
      <c r="A653" t="s">
        <v>10</v>
      </c>
      <c r="B653" s="2">
        <v>42389</v>
      </c>
      <c r="C653">
        <v>2016</v>
      </c>
      <c r="D653" s="11">
        <f t="shared" si="21"/>
        <v>20</v>
      </c>
      <c r="E653" t="s">
        <v>6</v>
      </c>
      <c r="F653">
        <v>61</v>
      </c>
      <c r="G653">
        <f t="shared" si="19"/>
        <v>61</v>
      </c>
      <c r="I653" s="5">
        <f t="shared" si="20"/>
        <v>327</v>
      </c>
      <c r="M653" s="2">
        <v>42330</v>
      </c>
    </row>
    <row r="654" spans="1:13" x14ac:dyDescent="0.25">
      <c r="A654" t="s">
        <v>10</v>
      </c>
      <c r="B654" s="2">
        <v>42424</v>
      </c>
      <c r="C654">
        <v>2016</v>
      </c>
      <c r="D654" s="11">
        <f t="shared" si="21"/>
        <v>55</v>
      </c>
      <c r="E654" t="s">
        <v>6</v>
      </c>
      <c r="F654">
        <v>91.7</v>
      </c>
      <c r="G654">
        <f t="shared" si="19"/>
        <v>91.7</v>
      </c>
      <c r="I654" s="5">
        <f t="shared" si="20"/>
        <v>334</v>
      </c>
      <c r="M654" s="2">
        <v>42337</v>
      </c>
    </row>
    <row r="655" spans="1:13" x14ac:dyDescent="0.25">
      <c r="A655" t="s">
        <v>10</v>
      </c>
      <c r="B655" s="2">
        <v>42424</v>
      </c>
      <c r="C655">
        <v>2016</v>
      </c>
      <c r="D655" s="11">
        <f t="shared" si="21"/>
        <v>55</v>
      </c>
      <c r="E655" t="s">
        <v>6</v>
      </c>
      <c r="F655">
        <v>88.5</v>
      </c>
      <c r="G655">
        <f t="shared" si="19"/>
        <v>88.5</v>
      </c>
      <c r="I655" s="5">
        <f t="shared" si="20"/>
        <v>331</v>
      </c>
      <c r="M655" s="2">
        <v>42334</v>
      </c>
    </row>
    <row r="656" spans="1:13" x14ac:dyDescent="0.25">
      <c r="A656" t="s">
        <v>10</v>
      </c>
      <c r="B656" s="2">
        <v>42424</v>
      </c>
      <c r="C656">
        <v>2016</v>
      </c>
      <c r="D656" s="11">
        <f t="shared" si="21"/>
        <v>55</v>
      </c>
      <c r="E656" t="s">
        <v>6</v>
      </c>
      <c r="F656">
        <v>81.3</v>
      </c>
      <c r="G656">
        <f t="shared" si="19"/>
        <v>81.3</v>
      </c>
      <c r="I656" s="5">
        <f t="shared" si="20"/>
        <v>331</v>
      </c>
      <c r="M656" s="2">
        <v>42334</v>
      </c>
    </row>
    <row r="657" spans="1:13" x14ac:dyDescent="0.25">
      <c r="A657" t="s">
        <v>10</v>
      </c>
      <c r="B657" s="2">
        <v>42424</v>
      </c>
      <c r="C657">
        <v>2016</v>
      </c>
      <c r="D657" s="11">
        <f t="shared" si="21"/>
        <v>55</v>
      </c>
      <c r="E657" t="s">
        <v>6</v>
      </c>
      <c r="F657">
        <v>78.599999999999994</v>
      </c>
      <c r="G657">
        <f t="shared" si="19"/>
        <v>78.599999999999994</v>
      </c>
      <c r="I657" s="5">
        <f t="shared" si="20"/>
        <v>327</v>
      </c>
      <c r="M657" s="2">
        <v>42330</v>
      </c>
    </row>
    <row r="658" spans="1:13" x14ac:dyDescent="0.25">
      <c r="A658" t="s">
        <v>10</v>
      </c>
      <c r="B658" s="2">
        <v>42438</v>
      </c>
      <c r="C658">
        <v>2016</v>
      </c>
      <c r="D658" s="11">
        <f t="shared" si="21"/>
        <v>69</v>
      </c>
      <c r="E658" t="s">
        <v>6</v>
      </c>
      <c r="F658">
        <v>85.2</v>
      </c>
      <c r="G658">
        <f t="shared" si="19"/>
        <v>85.2</v>
      </c>
      <c r="I658" s="5">
        <f t="shared" si="20"/>
        <v>334</v>
      </c>
      <c r="M658" s="2">
        <v>42337</v>
      </c>
    </row>
    <row r="659" spans="1:13" x14ac:dyDescent="0.25">
      <c r="A659" t="s">
        <v>10</v>
      </c>
      <c r="B659" s="2">
        <v>42439</v>
      </c>
      <c r="C659">
        <v>2016</v>
      </c>
      <c r="D659" s="11">
        <f t="shared" si="21"/>
        <v>70</v>
      </c>
      <c r="E659" t="s">
        <v>6</v>
      </c>
      <c r="F659">
        <v>100.6</v>
      </c>
      <c r="G659">
        <f t="shared" si="19"/>
        <v>100.6</v>
      </c>
      <c r="I659" s="5">
        <f t="shared" si="20"/>
        <v>336</v>
      </c>
      <c r="M659" s="2">
        <v>42339</v>
      </c>
    </row>
    <row r="660" spans="1:13" x14ac:dyDescent="0.25">
      <c r="A660" t="s">
        <v>10</v>
      </c>
      <c r="B660" s="2">
        <v>42439</v>
      </c>
      <c r="C660">
        <v>2016</v>
      </c>
      <c r="D660" s="11">
        <f t="shared" si="21"/>
        <v>70</v>
      </c>
      <c r="E660" t="s">
        <v>6</v>
      </c>
      <c r="F660">
        <v>99.5</v>
      </c>
      <c r="G660">
        <f t="shared" si="19"/>
        <v>99.5</v>
      </c>
      <c r="I660" s="5">
        <f t="shared" si="20"/>
        <v>331</v>
      </c>
      <c r="M660" s="2">
        <v>42334</v>
      </c>
    </row>
    <row r="661" spans="1:13" x14ac:dyDescent="0.25">
      <c r="A661" t="s">
        <v>10</v>
      </c>
      <c r="B661" s="2">
        <v>42439</v>
      </c>
      <c r="C661">
        <v>2016</v>
      </c>
      <c r="D661" s="11">
        <f t="shared" si="21"/>
        <v>70</v>
      </c>
      <c r="E661" t="s">
        <v>6</v>
      </c>
      <c r="F661">
        <v>85.7</v>
      </c>
      <c r="G661">
        <f t="shared" si="19"/>
        <v>85.7</v>
      </c>
      <c r="I661" s="5">
        <f t="shared" si="20"/>
        <v>333</v>
      </c>
      <c r="M661" s="2">
        <v>42336</v>
      </c>
    </row>
    <row r="662" spans="1:13" x14ac:dyDescent="0.25">
      <c r="A662" t="s">
        <v>10</v>
      </c>
      <c r="B662" s="2">
        <v>42452</v>
      </c>
      <c r="C662">
        <v>2016</v>
      </c>
      <c r="D662" s="11">
        <f t="shared" si="21"/>
        <v>83</v>
      </c>
      <c r="E662" t="s">
        <v>6</v>
      </c>
      <c r="F662">
        <v>109.5</v>
      </c>
      <c r="G662">
        <f t="shared" si="19"/>
        <v>109.5</v>
      </c>
      <c r="I662" s="5">
        <f t="shared" si="20"/>
        <v>330</v>
      </c>
      <c r="M662" s="2">
        <v>42333</v>
      </c>
    </row>
    <row r="663" spans="1:13" x14ac:dyDescent="0.25">
      <c r="A663" t="s">
        <v>10</v>
      </c>
      <c r="B663" s="2">
        <v>42452</v>
      </c>
      <c r="C663">
        <v>2016</v>
      </c>
      <c r="D663" s="11">
        <f t="shared" si="21"/>
        <v>83</v>
      </c>
      <c r="E663" t="s">
        <v>6</v>
      </c>
      <c r="F663">
        <v>103.6</v>
      </c>
      <c r="G663">
        <f t="shared" si="19"/>
        <v>103.6</v>
      </c>
      <c r="I663" s="5">
        <f t="shared" si="20"/>
        <v>331</v>
      </c>
      <c r="M663" s="2">
        <v>42334</v>
      </c>
    </row>
    <row r="664" spans="1:13" x14ac:dyDescent="0.25">
      <c r="A664" t="s">
        <v>10</v>
      </c>
      <c r="B664" s="2">
        <v>42452</v>
      </c>
      <c r="C664">
        <v>2016</v>
      </c>
      <c r="D664" s="11">
        <f t="shared" si="21"/>
        <v>83</v>
      </c>
      <c r="E664" t="s">
        <v>6</v>
      </c>
      <c r="F664">
        <v>93.8</v>
      </c>
      <c r="G664">
        <f t="shared" si="19"/>
        <v>93.8</v>
      </c>
      <c r="I664" s="5">
        <f t="shared" si="20"/>
        <v>336</v>
      </c>
      <c r="M664" s="2">
        <v>42339</v>
      </c>
    </row>
    <row r="665" spans="1:13" x14ac:dyDescent="0.25">
      <c r="A665" t="s">
        <v>10</v>
      </c>
      <c r="B665" s="2">
        <v>42452</v>
      </c>
      <c r="C665">
        <v>2016</v>
      </c>
      <c r="D665" s="11">
        <f t="shared" si="21"/>
        <v>83</v>
      </c>
      <c r="E665" t="s">
        <v>6</v>
      </c>
      <c r="F665">
        <v>91.6</v>
      </c>
      <c r="G665">
        <f t="shared" si="19"/>
        <v>91.6</v>
      </c>
      <c r="I665" s="5">
        <f t="shared" si="20"/>
        <v>327</v>
      </c>
      <c r="M665" s="2">
        <v>42330</v>
      </c>
    </row>
    <row r="666" spans="1:13" x14ac:dyDescent="0.25">
      <c r="A666" t="s">
        <v>10</v>
      </c>
      <c r="B666" s="2">
        <v>42467</v>
      </c>
      <c r="C666">
        <v>2016</v>
      </c>
      <c r="D666" s="11">
        <f t="shared" si="21"/>
        <v>98</v>
      </c>
      <c r="E666" t="s">
        <v>6</v>
      </c>
      <c r="F666">
        <v>118.7</v>
      </c>
      <c r="G666">
        <f t="shared" si="19"/>
        <v>118.7</v>
      </c>
      <c r="I666" s="5">
        <f t="shared" si="20"/>
        <v>334</v>
      </c>
      <c r="M666" s="2">
        <v>42337</v>
      </c>
    </row>
    <row r="667" spans="1:13" x14ac:dyDescent="0.25">
      <c r="A667" t="s">
        <v>10</v>
      </c>
      <c r="B667" s="2">
        <v>42467</v>
      </c>
      <c r="C667">
        <v>2016</v>
      </c>
      <c r="D667" s="11">
        <f t="shared" si="21"/>
        <v>98</v>
      </c>
      <c r="E667" t="s">
        <v>6</v>
      </c>
      <c r="F667">
        <v>113.1</v>
      </c>
      <c r="G667">
        <f t="shared" si="19"/>
        <v>113.1</v>
      </c>
      <c r="I667" s="5">
        <f t="shared" si="20"/>
        <v>331</v>
      </c>
      <c r="M667" s="2">
        <v>42334</v>
      </c>
    </row>
    <row r="668" spans="1:13" x14ac:dyDescent="0.25">
      <c r="A668" t="s">
        <v>10</v>
      </c>
      <c r="B668" s="2">
        <v>42467</v>
      </c>
      <c r="C668">
        <v>2016</v>
      </c>
      <c r="D668" s="11">
        <f t="shared" si="21"/>
        <v>98</v>
      </c>
      <c r="E668" t="s">
        <v>6</v>
      </c>
      <c r="F668">
        <v>102</v>
      </c>
      <c r="G668">
        <f t="shared" si="19"/>
        <v>102</v>
      </c>
      <c r="I668" s="5">
        <f t="shared" si="20"/>
        <v>333</v>
      </c>
      <c r="M668" s="2">
        <v>42336</v>
      </c>
    </row>
    <row r="669" spans="1:13" x14ac:dyDescent="0.25">
      <c r="A669" t="s">
        <v>10</v>
      </c>
      <c r="B669" s="2">
        <v>42467</v>
      </c>
      <c r="C669">
        <v>2016</v>
      </c>
      <c r="D669" s="11">
        <f t="shared" si="21"/>
        <v>98</v>
      </c>
      <c r="E669" t="s">
        <v>6</v>
      </c>
      <c r="F669">
        <v>99.5</v>
      </c>
      <c r="G669">
        <f t="shared" si="19"/>
        <v>99.5</v>
      </c>
      <c r="I669" s="5">
        <f t="shared" si="20"/>
        <v>330</v>
      </c>
      <c r="M669" s="2">
        <v>42333</v>
      </c>
    </row>
    <row r="670" spans="1:13" x14ac:dyDescent="0.25">
      <c r="A670" t="s">
        <v>10</v>
      </c>
      <c r="B670" s="2">
        <v>42474</v>
      </c>
      <c r="C670">
        <v>2016</v>
      </c>
      <c r="D670" s="11">
        <f t="shared" si="21"/>
        <v>105</v>
      </c>
      <c r="E670" t="s">
        <v>6</v>
      </c>
      <c r="F670">
        <v>101.5</v>
      </c>
      <c r="G670">
        <f t="shared" si="19"/>
        <v>101.5</v>
      </c>
      <c r="I670" s="5">
        <f t="shared" si="20"/>
        <v>331</v>
      </c>
      <c r="M670" s="2">
        <v>42334</v>
      </c>
    </row>
    <row r="671" spans="1:13" x14ac:dyDescent="0.25">
      <c r="A671" t="s">
        <v>10</v>
      </c>
      <c r="B671" s="2">
        <v>42475</v>
      </c>
      <c r="C671">
        <v>2016</v>
      </c>
      <c r="D671" s="11">
        <f t="shared" si="21"/>
        <v>106</v>
      </c>
      <c r="E671" t="s">
        <v>6</v>
      </c>
      <c r="F671">
        <v>118.9</v>
      </c>
      <c r="G671">
        <f t="shared" si="19"/>
        <v>118.9</v>
      </c>
      <c r="I671" s="5">
        <f t="shared" si="20"/>
        <v>336</v>
      </c>
      <c r="M671" s="2">
        <v>42339</v>
      </c>
    </row>
    <row r="672" spans="1:13" x14ac:dyDescent="0.25">
      <c r="A672" t="s">
        <v>10</v>
      </c>
      <c r="B672" s="2">
        <v>42475</v>
      </c>
      <c r="C672">
        <v>2016</v>
      </c>
      <c r="D672" s="11">
        <f t="shared" si="21"/>
        <v>106</v>
      </c>
      <c r="E672" t="s">
        <v>6</v>
      </c>
      <c r="F672">
        <v>112.3</v>
      </c>
      <c r="G672">
        <f t="shared" si="19"/>
        <v>112.3</v>
      </c>
      <c r="I672" s="5">
        <f t="shared" si="20"/>
        <v>330</v>
      </c>
      <c r="M672" s="2">
        <v>42333</v>
      </c>
    </row>
    <row r="673" spans="1:13" x14ac:dyDescent="0.25">
      <c r="A673" t="s">
        <v>10</v>
      </c>
      <c r="B673" s="2">
        <v>42475</v>
      </c>
      <c r="C673">
        <v>2016</v>
      </c>
      <c r="D673" s="11">
        <f t="shared" si="21"/>
        <v>106</v>
      </c>
      <c r="E673" t="s">
        <v>6</v>
      </c>
      <c r="F673">
        <v>104.3</v>
      </c>
      <c r="G673">
        <f t="shared" si="19"/>
        <v>104.3</v>
      </c>
      <c r="I673" s="5">
        <f t="shared" si="20"/>
        <v>327</v>
      </c>
      <c r="M673" s="2">
        <v>42330</v>
      </c>
    </row>
    <row r="674" spans="1:13" x14ac:dyDescent="0.25">
      <c r="A674" t="s">
        <v>10</v>
      </c>
      <c r="B674" s="2">
        <v>42482</v>
      </c>
      <c r="C674">
        <v>2016</v>
      </c>
      <c r="D674" s="11">
        <f t="shared" si="21"/>
        <v>113</v>
      </c>
      <c r="E674" t="s">
        <v>6</v>
      </c>
      <c r="F674">
        <v>120.9</v>
      </c>
      <c r="G674">
        <f t="shared" si="19"/>
        <v>120.9</v>
      </c>
      <c r="I674" s="5">
        <f t="shared" si="20"/>
        <v>334</v>
      </c>
      <c r="M674" s="2">
        <v>42337</v>
      </c>
    </row>
    <row r="675" spans="1:13" x14ac:dyDescent="0.25">
      <c r="A675" t="s">
        <v>10</v>
      </c>
      <c r="B675" s="2">
        <v>42482</v>
      </c>
      <c r="C675">
        <v>2016</v>
      </c>
      <c r="D675" s="11">
        <f t="shared" si="21"/>
        <v>113</v>
      </c>
      <c r="E675" t="s">
        <v>6</v>
      </c>
      <c r="F675">
        <v>114.2</v>
      </c>
      <c r="G675">
        <f t="shared" si="19"/>
        <v>114.2</v>
      </c>
      <c r="I675" s="5">
        <f t="shared" si="20"/>
        <v>331</v>
      </c>
      <c r="M675" s="2">
        <v>42334</v>
      </c>
    </row>
    <row r="676" spans="1:13" x14ac:dyDescent="0.25">
      <c r="A676" t="s">
        <v>10</v>
      </c>
      <c r="B676" s="2">
        <v>42482</v>
      </c>
      <c r="C676">
        <v>2016</v>
      </c>
      <c r="D676" s="11">
        <f t="shared" si="21"/>
        <v>113</v>
      </c>
      <c r="E676" t="s">
        <v>6</v>
      </c>
      <c r="F676">
        <v>102.6</v>
      </c>
      <c r="G676">
        <f t="shared" si="19"/>
        <v>102.6</v>
      </c>
      <c r="I676" s="5">
        <f t="shared" si="20"/>
        <v>333</v>
      </c>
      <c r="M676" s="2">
        <v>42336</v>
      </c>
    </row>
    <row r="677" spans="1:13" x14ac:dyDescent="0.25">
      <c r="A677" t="s">
        <v>10</v>
      </c>
      <c r="B677" s="2">
        <v>42482</v>
      </c>
      <c r="C677">
        <v>2016</v>
      </c>
      <c r="D677" s="11">
        <f t="shared" si="21"/>
        <v>113</v>
      </c>
      <c r="E677" t="s">
        <v>6</v>
      </c>
      <c r="F677">
        <v>101</v>
      </c>
      <c r="G677">
        <f t="shared" si="19"/>
        <v>101</v>
      </c>
      <c r="I677" s="5">
        <f t="shared" si="20"/>
        <v>327</v>
      </c>
      <c r="M677" s="2">
        <v>42330</v>
      </c>
    </row>
    <row r="678" spans="1:13" x14ac:dyDescent="0.25">
      <c r="A678" t="s">
        <v>10</v>
      </c>
      <c r="B678" s="2">
        <v>42489</v>
      </c>
      <c r="C678">
        <v>2016</v>
      </c>
      <c r="D678" s="11">
        <f t="shared" si="21"/>
        <v>120</v>
      </c>
      <c r="E678" t="s">
        <v>6</v>
      </c>
      <c r="F678">
        <v>122.8</v>
      </c>
      <c r="G678">
        <f t="shared" si="19"/>
        <v>122.8</v>
      </c>
      <c r="I678" s="5">
        <f t="shared" si="20"/>
        <v>331</v>
      </c>
      <c r="M678" s="2">
        <v>42334</v>
      </c>
    </row>
    <row r="679" spans="1:13" x14ac:dyDescent="0.25">
      <c r="A679" t="s">
        <v>10</v>
      </c>
      <c r="B679" s="2">
        <v>42489</v>
      </c>
      <c r="C679">
        <v>2016</v>
      </c>
      <c r="D679" s="11">
        <f t="shared" si="21"/>
        <v>120</v>
      </c>
      <c r="E679" t="s">
        <v>6</v>
      </c>
      <c r="F679">
        <v>117.3</v>
      </c>
      <c r="G679">
        <f t="shared" ref="G679:G742" si="22">F679</f>
        <v>117.3</v>
      </c>
      <c r="I679" s="5">
        <f t="shared" ref="I679:I742" si="23" xml:space="preserve"> DATEDIF(DATE(YEAR(M679),1,0),M679,"d")+1</f>
        <v>330</v>
      </c>
      <c r="M679" s="2">
        <v>42333</v>
      </c>
    </row>
    <row r="680" spans="1:13" x14ac:dyDescent="0.25">
      <c r="A680" t="s">
        <v>10</v>
      </c>
      <c r="B680" s="2">
        <v>42489</v>
      </c>
      <c r="C680">
        <v>2016</v>
      </c>
      <c r="D680" s="11">
        <f t="shared" si="21"/>
        <v>120</v>
      </c>
      <c r="E680" t="s">
        <v>6</v>
      </c>
      <c r="F680">
        <v>103.3</v>
      </c>
      <c r="G680">
        <f t="shared" si="22"/>
        <v>103.3</v>
      </c>
      <c r="I680" s="5">
        <f t="shared" si="23"/>
        <v>331</v>
      </c>
      <c r="M680" s="2">
        <v>42334</v>
      </c>
    </row>
    <row r="681" spans="1:13" x14ac:dyDescent="0.25">
      <c r="A681" t="s">
        <v>10</v>
      </c>
      <c r="B681" s="2">
        <v>42489</v>
      </c>
      <c r="C681">
        <v>2016</v>
      </c>
      <c r="D681" s="11">
        <f t="shared" si="21"/>
        <v>120</v>
      </c>
      <c r="E681" t="s">
        <v>6</v>
      </c>
      <c r="F681">
        <v>104.8</v>
      </c>
      <c r="G681">
        <f t="shared" si="22"/>
        <v>104.8</v>
      </c>
      <c r="I681" s="5">
        <f t="shared" si="23"/>
        <v>334</v>
      </c>
      <c r="M681" s="2">
        <v>42337</v>
      </c>
    </row>
    <row r="682" spans="1:13" x14ac:dyDescent="0.25">
      <c r="A682" t="s">
        <v>10</v>
      </c>
      <c r="B682" s="2">
        <v>42494</v>
      </c>
      <c r="C682">
        <v>2016</v>
      </c>
      <c r="D682" s="11">
        <f t="shared" si="21"/>
        <v>125</v>
      </c>
      <c r="E682" t="s">
        <v>6</v>
      </c>
      <c r="F682">
        <v>108.8</v>
      </c>
      <c r="G682">
        <f t="shared" si="22"/>
        <v>108.8</v>
      </c>
      <c r="I682" s="5">
        <f t="shared" si="23"/>
        <v>336</v>
      </c>
      <c r="M682" s="2">
        <v>42339</v>
      </c>
    </row>
    <row r="683" spans="1:13" x14ac:dyDescent="0.25">
      <c r="A683" t="s">
        <v>10</v>
      </c>
      <c r="B683" s="2">
        <v>42496</v>
      </c>
      <c r="C683">
        <v>2016</v>
      </c>
      <c r="D683" s="11">
        <f t="shared" si="21"/>
        <v>127</v>
      </c>
      <c r="E683" t="s">
        <v>6</v>
      </c>
      <c r="F683">
        <v>122</v>
      </c>
      <c r="G683">
        <f t="shared" si="22"/>
        <v>122</v>
      </c>
      <c r="I683" s="5">
        <f t="shared" si="23"/>
        <v>333</v>
      </c>
      <c r="M683" s="2">
        <v>42336</v>
      </c>
    </row>
    <row r="684" spans="1:13" x14ac:dyDescent="0.25">
      <c r="A684" t="s">
        <v>10</v>
      </c>
      <c r="B684" s="2">
        <v>42496</v>
      </c>
      <c r="C684">
        <v>2016</v>
      </c>
      <c r="D684" s="11">
        <f t="shared" si="21"/>
        <v>127</v>
      </c>
      <c r="E684" t="s">
        <v>6</v>
      </c>
      <c r="F684">
        <v>123.2</v>
      </c>
      <c r="G684">
        <f t="shared" si="22"/>
        <v>123.2</v>
      </c>
      <c r="I684" s="5">
        <f t="shared" si="23"/>
        <v>331</v>
      </c>
      <c r="M684" s="2">
        <v>42334</v>
      </c>
    </row>
    <row r="685" spans="1:13" x14ac:dyDescent="0.25">
      <c r="A685" t="s">
        <v>10</v>
      </c>
      <c r="B685" s="2">
        <v>42496</v>
      </c>
      <c r="C685">
        <v>2016</v>
      </c>
      <c r="D685" s="11">
        <f t="shared" si="21"/>
        <v>127</v>
      </c>
      <c r="E685" t="s">
        <v>6</v>
      </c>
      <c r="F685">
        <v>104.9</v>
      </c>
      <c r="G685">
        <f t="shared" si="22"/>
        <v>104.9</v>
      </c>
      <c r="I685" s="5">
        <f t="shared" si="23"/>
        <v>336</v>
      </c>
      <c r="M685" s="2">
        <v>42339</v>
      </c>
    </row>
    <row r="686" spans="1:13" x14ac:dyDescent="0.25">
      <c r="A686" t="s">
        <v>10</v>
      </c>
      <c r="B686" s="2">
        <v>42509</v>
      </c>
      <c r="C686">
        <v>2016</v>
      </c>
      <c r="D686" s="11">
        <f t="shared" si="21"/>
        <v>140</v>
      </c>
      <c r="E686" t="s">
        <v>6</v>
      </c>
      <c r="F686">
        <v>122.6</v>
      </c>
      <c r="G686">
        <f t="shared" si="22"/>
        <v>122.6</v>
      </c>
      <c r="I686" s="5">
        <f t="shared" si="23"/>
        <v>330</v>
      </c>
      <c r="M686" s="2">
        <v>42333</v>
      </c>
    </row>
    <row r="687" spans="1:13" x14ac:dyDescent="0.25">
      <c r="A687" t="s">
        <v>10</v>
      </c>
      <c r="B687" s="2">
        <v>42509</v>
      </c>
      <c r="C687">
        <v>2016</v>
      </c>
      <c r="D687" s="11">
        <f t="shared" si="21"/>
        <v>140</v>
      </c>
      <c r="E687" t="s">
        <v>6</v>
      </c>
      <c r="F687">
        <v>110.8</v>
      </c>
      <c r="G687">
        <f t="shared" si="22"/>
        <v>110.8</v>
      </c>
      <c r="I687" s="5">
        <f t="shared" si="23"/>
        <v>327</v>
      </c>
      <c r="M687" s="2">
        <v>42330</v>
      </c>
    </row>
    <row r="688" spans="1:13" x14ac:dyDescent="0.25">
      <c r="A688" t="s">
        <v>10</v>
      </c>
      <c r="B688" s="2">
        <v>42509</v>
      </c>
      <c r="C688">
        <v>2016</v>
      </c>
      <c r="D688" s="11">
        <f t="shared" si="21"/>
        <v>140</v>
      </c>
      <c r="E688" t="s">
        <v>6</v>
      </c>
      <c r="F688">
        <v>110</v>
      </c>
      <c r="G688">
        <f t="shared" si="22"/>
        <v>110</v>
      </c>
      <c r="I688" s="5">
        <f t="shared" si="23"/>
        <v>334</v>
      </c>
      <c r="M688" s="2">
        <v>42337</v>
      </c>
    </row>
    <row r="689" spans="1:13" x14ac:dyDescent="0.25">
      <c r="A689" t="s">
        <v>10</v>
      </c>
      <c r="B689" s="2">
        <v>42510</v>
      </c>
      <c r="C689">
        <v>2016</v>
      </c>
      <c r="D689" s="11">
        <f t="shared" si="21"/>
        <v>141</v>
      </c>
      <c r="E689" t="s">
        <v>6</v>
      </c>
      <c r="F689">
        <v>121.7</v>
      </c>
      <c r="G689">
        <f t="shared" si="22"/>
        <v>121.7</v>
      </c>
      <c r="I689" s="5">
        <f t="shared" si="23"/>
        <v>331</v>
      </c>
      <c r="M689" s="2">
        <v>42334</v>
      </c>
    </row>
    <row r="690" spans="1:13" x14ac:dyDescent="0.25">
      <c r="A690" t="s">
        <v>10</v>
      </c>
      <c r="B690" s="2">
        <v>42522</v>
      </c>
      <c r="C690">
        <v>2016</v>
      </c>
      <c r="D690" s="11">
        <f t="shared" si="21"/>
        <v>153</v>
      </c>
      <c r="E690" t="s">
        <v>6</v>
      </c>
      <c r="F690">
        <v>109</v>
      </c>
      <c r="G690">
        <f t="shared" si="22"/>
        <v>109</v>
      </c>
      <c r="I690" s="5">
        <f t="shared" si="23"/>
        <v>333</v>
      </c>
      <c r="M690" s="2">
        <v>42336</v>
      </c>
    </row>
    <row r="691" spans="1:13" x14ac:dyDescent="0.25">
      <c r="A691" t="s">
        <v>10</v>
      </c>
      <c r="B691" s="2">
        <v>42523</v>
      </c>
      <c r="C691">
        <v>2016</v>
      </c>
      <c r="D691" s="11">
        <f t="shared" si="21"/>
        <v>154</v>
      </c>
      <c r="E691" t="s">
        <v>6</v>
      </c>
      <c r="F691">
        <v>121.5</v>
      </c>
      <c r="G691">
        <f t="shared" si="22"/>
        <v>121.5</v>
      </c>
      <c r="I691" s="5">
        <f t="shared" si="23"/>
        <v>334</v>
      </c>
      <c r="M691" s="2">
        <v>42337</v>
      </c>
    </row>
    <row r="692" spans="1:13" x14ac:dyDescent="0.25">
      <c r="A692" t="s">
        <v>10</v>
      </c>
      <c r="B692" s="2">
        <v>42523</v>
      </c>
      <c r="C692">
        <v>2016</v>
      </c>
      <c r="D692" s="11">
        <f t="shared" si="21"/>
        <v>154</v>
      </c>
      <c r="E692" t="s">
        <v>6</v>
      </c>
      <c r="F692">
        <v>121.1</v>
      </c>
      <c r="G692">
        <f t="shared" si="22"/>
        <v>121.1</v>
      </c>
      <c r="I692" s="5">
        <f t="shared" si="23"/>
        <v>331</v>
      </c>
      <c r="M692" s="2">
        <v>42334</v>
      </c>
    </row>
    <row r="693" spans="1:13" x14ac:dyDescent="0.25">
      <c r="A693" t="s">
        <v>10</v>
      </c>
      <c r="B693" s="2">
        <v>42523</v>
      </c>
      <c r="C693">
        <v>2016</v>
      </c>
      <c r="D693" s="11">
        <f t="shared" si="21"/>
        <v>154</v>
      </c>
      <c r="E693" t="s">
        <v>6</v>
      </c>
      <c r="F693">
        <v>108.4</v>
      </c>
      <c r="G693">
        <f t="shared" si="22"/>
        <v>108.4</v>
      </c>
      <c r="I693" s="5">
        <f t="shared" si="23"/>
        <v>327</v>
      </c>
      <c r="M693" s="2">
        <v>42330</v>
      </c>
    </row>
    <row r="694" spans="1:13" x14ac:dyDescent="0.25">
      <c r="A694" t="s">
        <v>10</v>
      </c>
      <c r="B694" s="2">
        <v>42531</v>
      </c>
      <c r="C694">
        <v>2016</v>
      </c>
      <c r="D694" s="11">
        <f t="shared" si="21"/>
        <v>162</v>
      </c>
      <c r="E694" t="s">
        <v>6</v>
      </c>
      <c r="F694">
        <v>124</v>
      </c>
      <c r="G694">
        <f t="shared" si="22"/>
        <v>124</v>
      </c>
      <c r="I694" s="5">
        <f t="shared" si="23"/>
        <v>336</v>
      </c>
      <c r="M694" s="2">
        <v>42339</v>
      </c>
    </row>
    <row r="695" spans="1:13" x14ac:dyDescent="0.25">
      <c r="A695" t="s">
        <v>10</v>
      </c>
      <c r="B695" s="2">
        <v>42535</v>
      </c>
      <c r="C695">
        <v>2016</v>
      </c>
      <c r="D695" s="11">
        <f t="shared" si="21"/>
        <v>166</v>
      </c>
      <c r="E695" t="s">
        <v>6</v>
      </c>
      <c r="F695">
        <v>123.9</v>
      </c>
      <c r="G695">
        <f t="shared" si="22"/>
        <v>123.9</v>
      </c>
      <c r="I695" s="5">
        <f t="shared" si="23"/>
        <v>331</v>
      </c>
      <c r="M695" s="2">
        <v>42334</v>
      </c>
    </row>
    <row r="696" spans="1:13" x14ac:dyDescent="0.25">
      <c r="A696" t="s">
        <v>10</v>
      </c>
      <c r="B696" s="2">
        <v>42535</v>
      </c>
      <c r="C696">
        <v>2016</v>
      </c>
      <c r="D696" s="11">
        <f t="shared" si="21"/>
        <v>166</v>
      </c>
      <c r="E696" t="s">
        <v>6</v>
      </c>
      <c r="F696">
        <v>114.6</v>
      </c>
      <c r="G696">
        <f t="shared" si="22"/>
        <v>114.6</v>
      </c>
      <c r="I696" s="5">
        <f t="shared" si="23"/>
        <v>333</v>
      </c>
      <c r="M696" s="2">
        <v>42336</v>
      </c>
    </row>
    <row r="697" spans="1:13" x14ac:dyDescent="0.25">
      <c r="A697" t="s">
        <v>11</v>
      </c>
      <c r="B697" s="2">
        <v>42752</v>
      </c>
      <c r="C697">
        <v>2017</v>
      </c>
      <c r="D697" s="11">
        <f t="shared" si="21"/>
        <v>17</v>
      </c>
      <c r="E697" t="s">
        <v>6</v>
      </c>
      <c r="F697">
        <v>64.3</v>
      </c>
      <c r="G697">
        <f t="shared" si="22"/>
        <v>64.3</v>
      </c>
      <c r="I697" s="5">
        <f t="shared" si="23"/>
        <v>330</v>
      </c>
      <c r="M697" s="2">
        <v>42698</v>
      </c>
    </row>
    <row r="698" spans="1:13" x14ac:dyDescent="0.25">
      <c r="A698" t="s">
        <v>11</v>
      </c>
      <c r="B698" s="2">
        <v>42752</v>
      </c>
      <c r="C698">
        <v>2017</v>
      </c>
      <c r="D698" s="11">
        <f t="shared" si="21"/>
        <v>17</v>
      </c>
      <c r="E698" t="s">
        <v>6</v>
      </c>
      <c r="F698">
        <v>54.6</v>
      </c>
      <c r="G698">
        <f t="shared" si="22"/>
        <v>54.6</v>
      </c>
      <c r="I698" s="5">
        <f t="shared" si="23"/>
        <v>340</v>
      </c>
      <c r="M698" s="2">
        <v>42708</v>
      </c>
    </row>
    <row r="699" spans="1:13" x14ac:dyDescent="0.25">
      <c r="A699" t="s">
        <v>11</v>
      </c>
      <c r="B699" s="2">
        <v>42787</v>
      </c>
      <c r="C699">
        <v>2017</v>
      </c>
      <c r="D699" s="11">
        <f t="shared" si="21"/>
        <v>52</v>
      </c>
      <c r="E699" t="s">
        <v>6</v>
      </c>
      <c r="F699">
        <v>86</v>
      </c>
      <c r="G699">
        <f t="shared" si="22"/>
        <v>86</v>
      </c>
      <c r="I699" s="5">
        <f t="shared" si="23"/>
        <v>324</v>
      </c>
      <c r="M699" s="2">
        <v>42692</v>
      </c>
    </row>
    <row r="700" spans="1:13" x14ac:dyDescent="0.25">
      <c r="A700" t="s">
        <v>11</v>
      </c>
      <c r="B700" s="2">
        <v>42787</v>
      </c>
      <c r="C700">
        <v>2017</v>
      </c>
      <c r="D700" s="11">
        <f t="shared" si="21"/>
        <v>52</v>
      </c>
      <c r="E700" t="s">
        <v>6</v>
      </c>
      <c r="F700">
        <v>82.6</v>
      </c>
      <c r="G700">
        <f t="shared" si="22"/>
        <v>82.6</v>
      </c>
      <c r="I700" s="5">
        <f t="shared" si="23"/>
        <v>328</v>
      </c>
      <c r="M700" s="2">
        <v>42696</v>
      </c>
    </row>
    <row r="701" spans="1:13" x14ac:dyDescent="0.25">
      <c r="A701" t="s">
        <v>11</v>
      </c>
      <c r="B701" s="2">
        <v>42801</v>
      </c>
      <c r="C701">
        <v>2017</v>
      </c>
      <c r="D701" s="11">
        <f t="shared" si="21"/>
        <v>66</v>
      </c>
      <c r="E701" t="s">
        <v>6</v>
      </c>
      <c r="F701">
        <v>96.5</v>
      </c>
      <c r="G701">
        <f t="shared" si="22"/>
        <v>96.5</v>
      </c>
      <c r="I701" s="5">
        <f t="shared" si="23"/>
        <v>325</v>
      </c>
      <c r="M701" s="2">
        <v>42693</v>
      </c>
    </row>
    <row r="702" spans="1:13" x14ac:dyDescent="0.25">
      <c r="A702" t="s">
        <v>11</v>
      </c>
      <c r="B702" s="2">
        <v>42801</v>
      </c>
      <c r="C702">
        <v>2017</v>
      </c>
      <c r="D702" s="11">
        <f t="shared" si="21"/>
        <v>66</v>
      </c>
      <c r="E702" t="s">
        <v>6</v>
      </c>
      <c r="F702">
        <v>88.4</v>
      </c>
      <c r="G702">
        <f t="shared" si="22"/>
        <v>88.4</v>
      </c>
      <c r="I702" s="5">
        <f t="shared" si="23"/>
        <v>333</v>
      </c>
      <c r="M702" s="2">
        <v>42701</v>
      </c>
    </row>
    <row r="703" spans="1:13" x14ac:dyDescent="0.25">
      <c r="A703" t="s">
        <v>11</v>
      </c>
      <c r="B703" s="2">
        <v>42815</v>
      </c>
      <c r="C703">
        <v>2017</v>
      </c>
      <c r="D703" s="11">
        <f t="shared" si="21"/>
        <v>80</v>
      </c>
      <c r="E703" t="s">
        <v>6</v>
      </c>
      <c r="F703">
        <v>102.8</v>
      </c>
      <c r="G703">
        <f t="shared" si="22"/>
        <v>102.8</v>
      </c>
      <c r="I703" s="5">
        <f t="shared" si="23"/>
        <v>325</v>
      </c>
      <c r="M703" s="2">
        <v>42693</v>
      </c>
    </row>
    <row r="704" spans="1:13" x14ac:dyDescent="0.25">
      <c r="A704" t="s">
        <v>11</v>
      </c>
      <c r="B704" s="2">
        <v>42815</v>
      </c>
      <c r="C704">
        <v>2017</v>
      </c>
      <c r="D704" s="11">
        <f t="shared" si="21"/>
        <v>80</v>
      </c>
      <c r="E704" t="s">
        <v>6</v>
      </c>
      <c r="F704">
        <v>93.6</v>
      </c>
      <c r="G704">
        <f t="shared" si="22"/>
        <v>93.6</v>
      </c>
      <c r="I704" s="5">
        <f t="shared" si="23"/>
        <v>330</v>
      </c>
      <c r="M704" s="2">
        <v>42698</v>
      </c>
    </row>
    <row r="705" spans="1:13" x14ac:dyDescent="0.25">
      <c r="A705" t="s">
        <v>11</v>
      </c>
      <c r="B705" s="2">
        <v>42829</v>
      </c>
      <c r="C705">
        <v>2017</v>
      </c>
      <c r="D705" s="11">
        <f t="shared" si="21"/>
        <v>94</v>
      </c>
      <c r="E705" t="s">
        <v>6</v>
      </c>
      <c r="F705">
        <v>117.4</v>
      </c>
      <c r="G705">
        <f t="shared" si="22"/>
        <v>117.4</v>
      </c>
      <c r="I705" s="5">
        <f t="shared" si="23"/>
        <v>340</v>
      </c>
      <c r="M705" s="2">
        <v>42708</v>
      </c>
    </row>
    <row r="706" spans="1:13" x14ac:dyDescent="0.25">
      <c r="A706" t="s">
        <v>11</v>
      </c>
      <c r="B706" s="2">
        <v>42829</v>
      </c>
      <c r="C706">
        <v>2017</v>
      </c>
      <c r="D706" s="11">
        <f t="shared" si="21"/>
        <v>94</v>
      </c>
      <c r="E706" t="s">
        <v>6</v>
      </c>
      <c r="F706">
        <v>103.2</v>
      </c>
      <c r="G706">
        <f t="shared" si="22"/>
        <v>103.2</v>
      </c>
      <c r="I706" s="5">
        <f t="shared" si="23"/>
        <v>325</v>
      </c>
      <c r="M706" s="2">
        <v>42693</v>
      </c>
    </row>
    <row r="707" spans="1:13" x14ac:dyDescent="0.25">
      <c r="A707" t="s">
        <v>11</v>
      </c>
      <c r="B707" s="2">
        <v>42839</v>
      </c>
      <c r="C707">
        <v>2017</v>
      </c>
      <c r="D707" s="11">
        <f t="shared" ref="D707:D770" si="24">B707-DATE(YEAR(B707),1,0)</f>
        <v>104</v>
      </c>
      <c r="E707" t="s">
        <v>6</v>
      </c>
      <c r="F707">
        <v>114.5</v>
      </c>
      <c r="G707">
        <f t="shared" si="22"/>
        <v>114.5</v>
      </c>
      <c r="I707" s="5">
        <f t="shared" si="23"/>
        <v>324</v>
      </c>
      <c r="M707" s="2">
        <v>42692</v>
      </c>
    </row>
    <row r="708" spans="1:13" x14ac:dyDescent="0.25">
      <c r="A708" t="s">
        <v>11</v>
      </c>
      <c r="B708" s="2">
        <v>42839</v>
      </c>
      <c r="C708">
        <v>2017</v>
      </c>
      <c r="D708" s="11">
        <f t="shared" si="24"/>
        <v>104</v>
      </c>
      <c r="E708" t="s">
        <v>6</v>
      </c>
      <c r="F708">
        <v>108.9</v>
      </c>
      <c r="G708">
        <f t="shared" si="22"/>
        <v>108.9</v>
      </c>
      <c r="I708" s="5">
        <f t="shared" si="23"/>
        <v>328</v>
      </c>
      <c r="M708" s="2">
        <v>42696</v>
      </c>
    </row>
    <row r="709" spans="1:13" x14ac:dyDescent="0.25">
      <c r="A709" t="s">
        <v>11</v>
      </c>
      <c r="B709" s="2">
        <v>42844</v>
      </c>
      <c r="C709">
        <v>2017</v>
      </c>
      <c r="D709" s="11">
        <f t="shared" si="24"/>
        <v>109</v>
      </c>
      <c r="E709" t="s">
        <v>6</v>
      </c>
      <c r="F709">
        <v>118.9</v>
      </c>
      <c r="G709">
        <f t="shared" si="22"/>
        <v>118.9</v>
      </c>
      <c r="I709" s="5">
        <f t="shared" si="23"/>
        <v>325</v>
      </c>
      <c r="M709" s="2">
        <v>42693</v>
      </c>
    </row>
    <row r="710" spans="1:13" x14ac:dyDescent="0.25">
      <c r="A710" t="s">
        <v>11</v>
      </c>
      <c r="B710" s="2">
        <v>42844</v>
      </c>
      <c r="C710">
        <v>2017</v>
      </c>
      <c r="D710" s="11">
        <f t="shared" si="24"/>
        <v>109</v>
      </c>
      <c r="E710" t="s">
        <v>6</v>
      </c>
      <c r="F710">
        <v>111.8</v>
      </c>
      <c r="G710">
        <f t="shared" si="22"/>
        <v>111.8</v>
      </c>
      <c r="I710" s="5">
        <f t="shared" si="23"/>
        <v>333</v>
      </c>
      <c r="M710" s="2">
        <v>42701</v>
      </c>
    </row>
    <row r="711" spans="1:13" x14ac:dyDescent="0.25">
      <c r="A711" t="s">
        <v>11</v>
      </c>
      <c r="B711" s="2">
        <v>42850</v>
      </c>
      <c r="C711">
        <v>2017</v>
      </c>
      <c r="D711" s="11">
        <f t="shared" si="24"/>
        <v>115</v>
      </c>
      <c r="E711" t="s">
        <v>6</v>
      </c>
      <c r="F711">
        <v>110.2</v>
      </c>
      <c r="G711">
        <f t="shared" si="22"/>
        <v>110.2</v>
      </c>
      <c r="I711" s="5">
        <f t="shared" si="23"/>
        <v>330</v>
      </c>
      <c r="M711" s="2">
        <v>42698</v>
      </c>
    </row>
    <row r="712" spans="1:13" x14ac:dyDescent="0.25">
      <c r="A712" t="s">
        <v>11</v>
      </c>
      <c r="B712" s="2">
        <v>42853</v>
      </c>
      <c r="C712">
        <v>2017</v>
      </c>
      <c r="D712" s="11">
        <f t="shared" si="24"/>
        <v>118</v>
      </c>
      <c r="E712" t="s">
        <v>6</v>
      </c>
      <c r="F712">
        <v>124.6</v>
      </c>
      <c r="G712">
        <f t="shared" si="22"/>
        <v>124.6</v>
      </c>
      <c r="I712" s="5">
        <f t="shared" si="23"/>
        <v>340</v>
      </c>
      <c r="M712" s="2">
        <v>42708</v>
      </c>
    </row>
    <row r="713" spans="1:13" x14ac:dyDescent="0.25">
      <c r="A713" t="s">
        <v>11</v>
      </c>
      <c r="B713" s="2">
        <v>42858</v>
      </c>
      <c r="C713">
        <v>2017</v>
      </c>
      <c r="D713" s="11">
        <f t="shared" si="24"/>
        <v>123</v>
      </c>
      <c r="E713" t="s">
        <v>6</v>
      </c>
      <c r="F713">
        <v>120.5</v>
      </c>
      <c r="G713" s="7">
        <f>Calculations!D3</f>
        <v>119.78251616423884</v>
      </c>
      <c r="H713" t="s">
        <v>27</v>
      </c>
      <c r="I713" s="5">
        <f t="shared" si="23"/>
        <v>328</v>
      </c>
      <c r="M713" s="2">
        <v>42696</v>
      </c>
    </row>
    <row r="714" spans="1:13" x14ac:dyDescent="0.25">
      <c r="A714" t="s">
        <v>11</v>
      </c>
      <c r="B714" s="2">
        <v>42858</v>
      </c>
      <c r="C714">
        <v>2017</v>
      </c>
      <c r="D714" s="11">
        <f t="shared" si="24"/>
        <v>123</v>
      </c>
      <c r="E714" t="s">
        <v>6</v>
      </c>
      <c r="F714">
        <v>109.1</v>
      </c>
      <c r="G714">
        <f t="shared" si="22"/>
        <v>109.1</v>
      </c>
      <c r="I714" s="5">
        <f t="shared" si="23"/>
        <v>325</v>
      </c>
      <c r="M714" s="2">
        <v>42693</v>
      </c>
    </row>
    <row r="715" spans="1:13" x14ac:dyDescent="0.25">
      <c r="A715" t="s">
        <v>11</v>
      </c>
      <c r="B715" s="2">
        <v>42871</v>
      </c>
      <c r="C715">
        <v>2017</v>
      </c>
      <c r="D715" s="11">
        <f t="shared" si="24"/>
        <v>136</v>
      </c>
      <c r="E715" t="s">
        <v>6</v>
      </c>
      <c r="F715">
        <v>123.6</v>
      </c>
      <c r="G715">
        <f t="shared" si="22"/>
        <v>123.6</v>
      </c>
      <c r="I715" s="5">
        <f t="shared" si="23"/>
        <v>324</v>
      </c>
      <c r="M715" s="2">
        <v>42692</v>
      </c>
    </row>
    <row r="716" spans="1:13" x14ac:dyDescent="0.25">
      <c r="A716" t="s">
        <v>11</v>
      </c>
      <c r="B716" s="2">
        <v>42871</v>
      </c>
      <c r="C716">
        <v>2017</v>
      </c>
      <c r="D716" s="11">
        <f t="shared" si="24"/>
        <v>136</v>
      </c>
      <c r="E716" t="s">
        <v>6</v>
      </c>
      <c r="F716">
        <v>117.7</v>
      </c>
      <c r="G716">
        <f t="shared" si="22"/>
        <v>117.7</v>
      </c>
      <c r="I716" s="5">
        <f t="shared" si="23"/>
        <v>325</v>
      </c>
      <c r="M716" s="2">
        <v>42693</v>
      </c>
    </row>
    <row r="717" spans="1:13" x14ac:dyDescent="0.25">
      <c r="A717" t="s">
        <v>11</v>
      </c>
      <c r="B717" s="2">
        <v>42885</v>
      </c>
      <c r="C717">
        <v>2017</v>
      </c>
      <c r="D717" s="11">
        <f t="shared" si="24"/>
        <v>150</v>
      </c>
      <c r="E717" t="s">
        <v>6</v>
      </c>
      <c r="F717">
        <v>121.5</v>
      </c>
      <c r="G717">
        <f t="shared" si="22"/>
        <v>121.5</v>
      </c>
      <c r="I717" s="5">
        <f t="shared" si="23"/>
        <v>333</v>
      </c>
      <c r="M717" s="2">
        <v>42701</v>
      </c>
    </row>
    <row r="718" spans="1:13" x14ac:dyDescent="0.25">
      <c r="A718" t="s">
        <v>11</v>
      </c>
      <c r="B718" s="2">
        <v>42885</v>
      </c>
      <c r="C718">
        <v>2017</v>
      </c>
      <c r="D718" s="11">
        <f t="shared" si="24"/>
        <v>150</v>
      </c>
      <c r="E718" t="s">
        <v>6</v>
      </c>
      <c r="F718">
        <v>118.8</v>
      </c>
      <c r="G718">
        <f t="shared" si="22"/>
        <v>118.8</v>
      </c>
      <c r="I718" s="5">
        <f t="shared" si="23"/>
        <v>330</v>
      </c>
      <c r="M718" s="2">
        <v>42698</v>
      </c>
    </row>
    <row r="719" spans="1:13" x14ac:dyDescent="0.25">
      <c r="A719" t="s">
        <v>11</v>
      </c>
      <c r="B719" s="2">
        <v>42893</v>
      </c>
      <c r="C719">
        <v>2017</v>
      </c>
      <c r="D719" s="11">
        <f t="shared" si="24"/>
        <v>158</v>
      </c>
      <c r="E719" t="s">
        <v>6</v>
      </c>
      <c r="F719">
        <v>122.4</v>
      </c>
      <c r="G719">
        <f t="shared" si="22"/>
        <v>122.4</v>
      </c>
      <c r="I719" s="5">
        <f t="shared" si="23"/>
        <v>340</v>
      </c>
      <c r="M719" s="2">
        <v>42708</v>
      </c>
    </row>
    <row r="720" spans="1:13" x14ac:dyDescent="0.25">
      <c r="A720" t="s">
        <v>11</v>
      </c>
      <c r="B720" s="2">
        <v>42893</v>
      </c>
      <c r="C720">
        <v>2017</v>
      </c>
      <c r="D720" s="11">
        <f t="shared" si="24"/>
        <v>158</v>
      </c>
      <c r="E720" t="s">
        <v>6</v>
      </c>
      <c r="F720">
        <v>113</v>
      </c>
      <c r="G720">
        <f t="shared" si="22"/>
        <v>113</v>
      </c>
      <c r="I720" s="5">
        <f t="shared" si="23"/>
        <v>325</v>
      </c>
      <c r="M720" s="2">
        <v>42693</v>
      </c>
    </row>
    <row r="721" spans="1:13" x14ac:dyDescent="0.25">
      <c r="A721" t="s">
        <v>11</v>
      </c>
      <c r="B721" s="2">
        <v>42907</v>
      </c>
      <c r="C721">
        <v>2017</v>
      </c>
      <c r="D721" s="11">
        <f t="shared" si="24"/>
        <v>172</v>
      </c>
      <c r="E721" t="s">
        <v>6</v>
      </c>
      <c r="F721">
        <v>115.9</v>
      </c>
      <c r="G721">
        <f t="shared" si="22"/>
        <v>115.9</v>
      </c>
      <c r="I721" s="5">
        <f t="shared" si="23"/>
        <v>324</v>
      </c>
      <c r="M721" s="2">
        <v>42692</v>
      </c>
    </row>
    <row r="722" spans="1:13" x14ac:dyDescent="0.25">
      <c r="A722" t="s">
        <v>11</v>
      </c>
      <c r="B722" s="2">
        <v>42907</v>
      </c>
      <c r="C722">
        <v>2017</v>
      </c>
      <c r="D722" s="11">
        <f t="shared" si="24"/>
        <v>172</v>
      </c>
      <c r="E722" t="s">
        <v>6</v>
      </c>
      <c r="F722">
        <v>117.7</v>
      </c>
      <c r="G722">
        <f t="shared" si="22"/>
        <v>117.7</v>
      </c>
      <c r="I722" s="5">
        <f t="shared" si="23"/>
        <v>328</v>
      </c>
      <c r="M722" s="2">
        <v>42696</v>
      </c>
    </row>
    <row r="723" spans="1:13" x14ac:dyDescent="0.25">
      <c r="A723" t="s">
        <v>11</v>
      </c>
      <c r="B723" s="2">
        <v>42753</v>
      </c>
      <c r="C723">
        <v>2017</v>
      </c>
      <c r="D723" s="11">
        <f t="shared" si="24"/>
        <v>18</v>
      </c>
      <c r="E723" t="s">
        <v>6</v>
      </c>
      <c r="F723">
        <v>63.8</v>
      </c>
      <c r="G723">
        <f t="shared" si="22"/>
        <v>63.8</v>
      </c>
      <c r="I723" s="5">
        <f t="shared" si="23"/>
        <v>325</v>
      </c>
      <c r="M723" s="2">
        <v>42693</v>
      </c>
    </row>
    <row r="724" spans="1:13" x14ac:dyDescent="0.25">
      <c r="A724" t="s">
        <v>11</v>
      </c>
      <c r="B724" s="2">
        <v>42789</v>
      </c>
      <c r="C724">
        <v>2017</v>
      </c>
      <c r="D724" s="11">
        <f t="shared" si="24"/>
        <v>54</v>
      </c>
      <c r="E724" t="s">
        <v>6</v>
      </c>
      <c r="F724">
        <v>92.9</v>
      </c>
      <c r="G724">
        <f t="shared" si="22"/>
        <v>92.9</v>
      </c>
      <c r="I724" s="5">
        <f t="shared" si="23"/>
        <v>333</v>
      </c>
      <c r="M724" s="2">
        <v>42701</v>
      </c>
    </row>
    <row r="725" spans="1:13" x14ac:dyDescent="0.25">
      <c r="A725" t="s">
        <v>11</v>
      </c>
      <c r="B725" s="2">
        <v>42804</v>
      </c>
      <c r="C725">
        <v>2017</v>
      </c>
      <c r="D725" s="11">
        <f t="shared" si="24"/>
        <v>69</v>
      </c>
      <c r="E725" t="s">
        <v>6</v>
      </c>
      <c r="F725">
        <v>102.8</v>
      </c>
      <c r="G725">
        <f t="shared" si="22"/>
        <v>102.8</v>
      </c>
      <c r="I725" s="5">
        <f t="shared" si="23"/>
        <v>330</v>
      </c>
      <c r="M725" s="2">
        <v>42698</v>
      </c>
    </row>
    <row r="726" spans="1:13" x14ac:dyDescent="0.25">
      <c r="A726" t="s">
        <v>11</v>
      </c>
      <c r="B726" s="2">
        <v>42817</v>
      </c>
      <c r="C726">
        <v>2017</v>
      </c>
      <c r="D726" s="11">
        <f t="shared" si="24"/>
        <v>82</v>
      </c>
      <c r="E726" t="s">
        <v>6</v>
      </c>
      <c r="F726">
        <v>112.2</v>
      </c>
      <c r="G726">
        <f t="shared" si="22"/>
        <v>112.2</v>
      </c>
      <c r="I726" s="5">
        <f t="shared" si="23"/>
        <v>340</v>
      </c>
      <c r="M726" s="2">
        <v>42708</v>
      </c>
    </row>
    <row r="727" spans="1:13" x14ac:dyDescent="0.25">
      <c r="A727" t="s">
        <v>11</v>
      </c>
      <c r="B727" s="2">
        <v>42832</v>
      </c>
      <c r="C727">
        <v>2017</v>
      </c>
      <c r="D727" s="11">
        <f t="shared" si="24"/>
        <v>97</v>
      </c>
      <c r="E727" t="s">
        <v>6</v>
      </c>
      <c r="F727">
        <v>123.8</v>
      </c>
      <c r="G727">
        <f t="shared" si="22"/>
        <v>123.8</v>
      </c>
      <c r="I727" s="5">
        <f t="shared" si="23"/>
        <v>325</v>
      </c>
      <c r="M727" s="2">
        <v>42693</v>
      </c>
    </row>
    <row r="728" spans="1:13" x14ac:dyDescent="0.25">
      <c r="A728" t="s">
        <v>11</v>
      </c>
      <c r="B728" s="2">
        <v>42838</v>
      </c>
      <c r="C728">
        <v>2017</v>
      </c>
      <c r="D728" s="11">
        <f t="shared" si="24"/>
        <v>103</v>
      </c>
      <c r="E728" t="s">
        <v>6</v>
      </c>
      <c r="F728">
        <v>125.9</v>
      </c>
      <c r="G728">
        <f t="shared" si="22"/>
        <v>125.9</v>
      </c>
      <c r="I728" s="5">
        <f t="shared" si="23"/>
        <v>324</v>
      </c>
      <c r="M728" s="2">
        <v>42692</v>
      </c>
    </row>
    <row r="729" spans="1:13" x14ac:dyDescent="0.25">
      <c r="A729" t="s">
        <v>11</v>
      </c>
      <c r="B729" s="2">
        <v>42845</v>
      </c>
      <c r="C729">
        <v>2017</v>
      </c>
      <c r="D729" s="11">
        <f t="shared" si="24"/>
        <v>110</v>
      </c>
      <c r="E729" t="s">
        <v>6</v>
      </c>
      <c r="F729">
        <v>129.1</v>
      </c>
      <c r="G729">
        <f t="shared" si="22"/>
        <v>129.1</v>
      </c>
      <c r="I729" s="5">
        <f t="shared" si="23"/>
        <v>328</v>
      </c>
      <c r="M729" s="2">
        <v>42696</v>
      </c>
    </row>
    <row r="730" spans="1:13" x14ac:dyDescent="0.25">
      <c r="A730" t="s">
        <v>11</v>
      </c>
      <c r="B730" s="2">
        <v>42853</v>
      </c>
      <c r="C730">
        <v>2017</v>
      </c>
      <c r="D730" s="11">
        <f t="shared" si="24"/>
        <v>118</v>
      </c>
      <c r="E730" t="s">
        <v>6</v>
      </c>
      <c r="F730">
        <v>132.1</v>
      </c>
      <c r="G730">
        <f t="shared" si="22"/>
        <v>132.1</v>
      </c>
      <c r="I730" s="5">
        <f t="shared" si="23"/>
        <v>325</v>
      </c>
      <c r="M730" s="2">
        <v>42693</v>
      </c>
    </row>
    <row r="731" spans="1:13" x14ac:dyDescent="0.25">
      <c r="A731" t="s">
        <v>11</v>
      </c>
      <c r="B731" s="2">
        <v>42859</v>
      </c>
      <c r="C731">
        <v>2017</v>
      </c>
      <c r="D731" s="11">
        <f t="shared" si="24"/>
        <v>124</v>
      </c>
      <c r="E731" t="s">
        <v>6</v>
      </c>
      <c r="F731">
        <v>131.9</v>
      </c>
      <c r="G731">
        <f t="shared" si="22"/>
        <v>131.9</v>
      </c>
      <c r="I731" s="5">
        <f t="shared" si="23"/>
        <v>333</v>
      </c>
      <c r="M731" s="2">
        <v>42701</v>
      </c>
    </row>
    <row r="732" spans="1:13" x14ac:dyDescent="0.25">
      <c r="A732" t="s">
        <v>11</v>
      </c>
      <c r="B732" s="2">
        <v>42873</v>
      </c>
      <c r="C732">
        <v>2017</v>
      </c>
      <c r="D732" s="11">
        <f t="shared" si="24"/>
        <v>138</v>
      </c>
      <c r="E732" t="s">
        <v>6</v>
      </c>
      <c r="F732">
        <v>134.6</v>
      </c>
      <c r="G732">
        <f t="shared" si="22"/>
        <v>134.6</v>
      </c>
      <c r="I732" s="5">
        <f t="shared" si="23"/>
        <v>325</v>
      </c>
      <c r="M732" s="2">
        <v>42693</v>
      </c>
    </row>
    <row r="733" spans="1:13" x14ac:dyDescent="0.25">
      <c r="A733" t="s">
        <v>11</v>
      </c>
      <c r="B733" s="2">
        <v>42887</v>
      </c>
      <c r="C733">
        <v>2017</v>
      </c>
      <c r="D733" s="11">
        <f t="shared" si="24"/>
        <v>152</v>
      </c>
      <c r="E733" t="s">
        <v>6</v>
      </c>
      <c r="F733">
        <v>134.80000000000001</v>
      </c>
      <c r="G733">
        <f t="shared" si="22"/>
        <v>134.80000000000001</v>
      </c>
      <c r="I733" s="5">
        <f t="shared" si="23"/>
        <v>324</v>
      </c>
      <c r="M733" s="2">
        <v>42692</v>
      </c>
    </row>
    <row r="734" spans="1:13" x14ac:dyDescent="0.25">
      <c r="A734" t="s">
        <v>11</v>
      </c>
      <c r="B734" s="2">
        <v>42894</v>
      </c>
      <c r="C734">
        <v>2017</v>
      </c>
      <c r="D734" s="11">
        <f t="shared" si="24"/>
        <v>159</v>
      </c>
      <c r="E734" t="s">
        <v>6</v>
      </c>
      <c r="F734">
        <v>130.9</v>
      </c>
      <c r="G734">
        <f t="shared" si="22"/>
        <v>130.9</v>
      </c>
      <c r="I734" s="5">
        <f t="shared" si="23"/>
        <v>328</v>
      </c>
      <c r="M734" s="2">
        <v>42696</v>
      </c>
    </row>
    <row r="735" spans="1:13" x14ac:dyDescent="0.25">
      <c r="A735" t="s">
        <v>11</v>
      </c>
      <c r="B735" s="2">
        <v>42908</v>
      </c>
      <c r="C735">
        <v>2017</v>
      </c>
      <c r="D735" s="11">
        <f t="shared" si="24"/>
        <v>173</v>
      </c>
      <c r="E735" t="s">
        <v>6</v>
      </c>
      <c r="F735">
        <v>127.7</v>
      </c>
      <c r="G735">
        <f t="shared" si="22"/>
        <v>127.7</v>
      </c>
      <c r="I735" s="5">
        <f t="shared" si="23"/>
        <v>325</v>
      </c>
      <c r="M735" s="2">
        <v>42693</v>
      </c>
    </row>
    <row r="736" spans="1:13" x14ac:dyDescent="0.25">
      <c r="A736" t="s">
        <v>11</v>
      </c>
      <c r="B736" s="2">
        <v>42753</v>
      </c>
      <c r="C736">
        <v>2017</v>
      </c>
      <c r="D736" s="11">
        <f t="shared" si="24"/>
        <v>18</v>
      </c>
      <c r="E736" t="s">
        <v>6</v>
      </c>
      <c r="F736">
        <v>63.7</v>
      </c>
      <c r="G736">
        <f t="shared" si="22"/>
        <v>63.7</v>
      </c>
      <c r="I736" s="5">
        <f t="shared" si="23"/>
        <v>333</v>
      </c>
      <c r="M736" s="2">
        <v>42701</v>
      </c>
    </row>
    <row r="737" spans="1:13" x14ac:dyDescent="0.25">
      <c r="A737" t="s">
        <v>11</v>
      </c>
      <c r="B737" s="2">
        <v>42753</v>
      </c>
      <c r="C737">
        <v>2017</v>
      </c>
      <c r="D737" s="11">
        <f t="shared" si="24"/>
        <v>18</v>
      </c>
      <c r="E737" t="s">
        <v>6</v>
      </c>
      <c r="F737">
        <v>64.7</v>
      </c>
      <c r="G737">
        <f t="shared" si="22"/>
        <v>64.7</v>
      </c>
      <c r="I737" s="5">
        <f t="shared" si="23"/>
        <v>330</v>
      </c>
      <c r="M737" s="2">
        <v>42698</v>
      </c>
    </row>
    <row r="738" spans="1:13" x14ac:dyDescent="0.25">
      <c r="A738" t="s">
        <v>11</v>
      </c>
      <c r="B738" s="2">
        <v>42753</v>
      </c>
      <c r="C738">
        <v>2017</v>
      </c>
      <c r="D738" s="11">
        <f t="shared" si="24"/>
        <v>18</v>
      </c>
      <c r="E738" t="s">
        <v>6</v>
      </c>
      <c r="F738">
        <v>67.099999999999994</v>
      </c>
      <c r="G738">
        <f t="shared" si="22"/>
        <v>67.099999999999994</v>
      </c>
      <c r="I738" s="5">
        <f t="shared" si="23"/>
        <v>340</v>
      </c>
      <c r="M738" s="2">
        <v>42708</v>
      </c>
    </row>
    <row r="739" spans="1:13" x14ac:dyDescent="0.25">
      <c r="A739" t="s">
        <v>11</v>
      </c>
      <c r="B739" s="2">
        <v>42753</v>
      </c>
      <c r="C739">
        <v>2017</v>
      </c>
      <c r="D739" s="11">
        <f t="shared" si="24"/>
        <v>18</v>
      </c>
      <c r="E739" t="s">
        <v>6</v>
      </c>
      <c r="F739">
        <v>70.2</v>
      </c>
      <c r="G739">
        <f t="shared" si="22"/>
        <v>70.2</v>
      </c>
      <c r="I739" s="5">
        <f t="shared" si="23"/>
        <v>330</v>
      </c>
      <c r="M739" s="2">
        <v>42698</v>
      </c>
    </row>
    <row r="740" spans="1:13" x14ac:dyDescent="0.25">
      <c r="A740" t="s">
        <v>11</v>
      </c>
      <c r="B740" s="2">
        <v>42788</v>
      </c>
      <c r="C740">
        <v>2017</v>
      </c>
      <c r="D740" s="11">
        <f t="shared" si="24"/>
        <v>53</v>
      </c>
      <c r="E740" t="s">
        <v>6</v>
      </c>
      <c r="F740">
        <v>93.9</v>
      </c>
      <c r="G740">
        <f t="shared" si="22"/>
        <v>93.9</v>
      </c>
      <c r="I740" s="5">
        <f t="shared" si="23"/>
        <v>340</v>
      </c>
      <c r="M740" s="2">
        <v>42708</v>
      </c>
    </row>
    <row r="741" spans="1:13" x14ac:dyDescent="0.25">
      <c r="A741" t="s">
        <v>11</v>
      </c>
      <c r="B741" s="2">
        <v>42789</v>
      </c>
      <c r="C741">
        <v>2017</v>
      </c>
      <c r="D741" s="11">
        <f t="shared" si="24"/>
        <v>54</v>
      </c>
      <c r="E741" t="s">
        <v>6</v>
      </c>
      <c r="F741">
        <v>84.1</v>
      </c>
      <c r="G741">
        <f t="shared" si="22"/>
        <v>84.1</v>
      </c>
      <c r="I741" s="5">
        <f t="shared" si="23"/>
        <v>325</v>
      </c>
      <c r="M741" s="2">
        <v>42693</v>
      </c>
    </row>
    <row r="742" spans="1:13" x14ac:dyDescent="0.25">
      <c r="A742" t="s">
        <v>11</v>
      </c>
      <c r="B742" s="2">
        <v>42789</v>
      </c>
      <c r="C742">
        <v>2017</v>
      </c>
      <c r="D742" s="11">
        <f t="shared" si="24"/>
        <v>54</v>
      </c>
      <c r="E742" t="s">
        <v>6</v>
      </c>
      <c r="F742">
        <v>96</v>
      </c>
      <c r="G742">
        <f t="shared" si="22"/>
        <v>96</v>
      </c>
      <c r="I742" s="5">
        <f t="shared" si="23"/>
        <v>324</v>
      </c>
      <c r="M742" s="2">
        <v>42692</v>
      </c>
    </row>
    <row r="743" spans="1:13" x14ac:dyDescent="0.25">
      <c r="A743" t="s">
        <v>11</v>
      </c>
      <c r="B743" s="2">
        <v>42789</v>
      </c>
      <c r="C743">
        <v>2017</v>
      </c>
      <c r="D743" s="11">
        <f t="shared" si="24"/>
        <v>54</v>
      </c>
      <c r="E743" t="s">
        <v>6</v>
      </c>
      <c r="F743">
        <v>85.8</v>
      </c>
      <c r="G743">
        <f t="shared" ref="G743:G806" si="25">F743</f>
        <v>85.8</v>
      </c>
      <c r="I743" s="5">
        <f t="shared" ref="I743:I806" si="26" xml:space="preserve"> DATEDIF(DATE(YEAR(M743),1,0),M743,"d")+1</f>
        <v>328</v>
      </c>
      <c r="M743" s="2">
        <v>42696</v>
      </c>
    </row>
    <row r="744" spans="1:13" x14ac:dyDescent="0.25">
      <c r="A744" t="s">
        <v>11</v>
      </c>
      <c r="B744" s="2">
        <v>42803</v>
      </c>
      <c r="C744">
        <v>2017</v>
      </c>
      <c r="D744" s="11">
        <f t="shared" si="24"/>
        <v>68</v>
      </c>
      <c r="E744" t="s">
        <v>6</v>
      </c>
      <c r="F744">
        <v>107.9</v>
      </c>
      <c r="G744">
        <f t="shared" si="25"/>
        <v>107.9</v>
      </c>
      <c r="I744" s="5">
        <f t="shared" si="26"/>
        <v>325</v>
      </c>
      <c r="M744" s="2">
        <v>42693</v>
      </c>
    </row>
    <row r="745" spans="1:13" x14ac:dyDescent="0.25">
      <c r="A745" t="s">
        <v>11</v>
      </c>
      <c r="B745" s="2">
        <v>42803</v>
      </c>
      <c r="C745">
        <v>2017</v>
      </c>
      <c r="D745" s="11">
        <f t="shared" si="24"/>
        <v>68</v>
      </c>
      <c r="E745" t="s">
        <v>6</v>
      </c>
      <c r="F745">
        <v>102.9</v>
      </c>
      <c r="G745">
        <f t="shared" si="25"/>
        <v>102.9</v>
      </c>
      <c r="I745" s="5">
        <f t="shared" si="26"/>
        <v>333</v>
      </c>
      <c r="M745" s="2">
        <v>42701</v>
      </c>
    </row>
    <row r="746" spans="1:13" x14ac:dyDescent="0.25">
      <c r="A746" t="s">
        <v>11</v>
      </c>
      <c r="B746" s="2">
        <v>42804</v>
      </c>
      <c r="C746">
        <v>2017</v>
      </c>
      <c r="D746" s="11">
        <f t="shared" si="24"/>
        <v>69</v>
      </c>
      <c r="E746" t="s">
        <v>6</v>
      </c>
      <c r="F746">
        <v>94.6</v>
      </c>
      <c r="G746">
        <f t="shared" si="25"/>
        <v>94.6</v>
      </c>
      <c r="I746" s="5">
        <f t="shared" si="26"/>
        <v>340</v>
      </c>
      <c r="M746" s="2">
        <v>42708</v>
      </c>
    </row>
    <row r="747" spans="1:13" x14ac:dyDescent="0.25">
      <c r="A747" t="s">
        <v>11</v>
      </c>
      <c r="B747" s="2">
        <v>42804</v>
      </c>
      <c r="C747">
        <v>2017</v>
      </c>
      <c r="D747" s="11">
        <f t="shared" si="24"/>
        <v>69</v>
      </c>
      <c r="E747" t="s">
        <v>6</v>
      </c>
      <c r="F747">
        <v>98.9</v>
      </c>
      <c r="G747">
        <f t="shared" si="25"/>
        <v>98.9</v>
      </c>
      <c r="I747" s="5">
        <f t="shared" si="26"/>
        <v>330</v>
      </c>
      <c r="M747" s="2">
        <v>42698</v>
      </c>
    </row>
    <row r="748" spans="1:13" x14ac:dyDescent="0.25">
      <c r="A748" t="s">
        <v>11</v>
      </c>
      <c r="B748" s="2">
        <v>42816</v>
      </c>
      <c r="C748">
        <v>2017</v>
      </c>
      <c r="D748" s="11">
        <f t="shared" si="24"/>
        <v>81</v>
      </c>
      <c r="E748" t="s">
        <v>6</v>
      </c>
      <c r="F748">
        <v>110.9</v>
      </c>
      <c r="G748">
        <f t="shared" si="25"/>
        <v>110.9</v>
      </c>
      <c r="I748" s="5">
        <f t="shared" si="26"/>
        <v>324</v>
      </c>
      <c r="M748" s="2">
        <v>42692</v>
      </c>
    </row>
    <row r="749" spans="1:13" x14ac:dyDescent="0.25">
      <c r="A749" t="s">
        <v>11</v>
      </c>
      <c r="B749" s="2">
        <v>42817</v>
      </c>
      <c r="C749">
        <v>2017</v>
      </c>
      <c r="D749" s="11">
        <f t="shared" si="24"/>
        <v>82</v>
      </c>
      <c r="E749" t="s">
        <v>6</v>
      </c>
      <c r="F749">
        <v>101.5</v>
      </c>
      <c r="G749">
        <f t="shared" si="25"/>
        <v>101.5</v>
      </c>
      <c r="I749" s="5">
        <f t="shared" si="26"/>
        <v>328</v>
      </c>
      <c r="M749" s="2">
        <v>42696</v>
      </c>
    </row>
    <row r="750" spans="1:13" x14ac:dyDescent="0.25">
      <c r="A750" t="s">
        <v>11</v>
      </c>
      <c r="B750" s="2">
        <v>42817</v>
      </c>
      <c r="C750">
        <v>2017</v>
      </c>
      <c r="D750" s="11">
        <f t="shared" si="24"/>
        <v>82</v>
      </c>
      <c r="E750" t="s">
        <v>6</v>
      </c>
      <c r="F750">
        <v>112.1</v>
      </c>
      <c r="G750">
        <f t="shared" si="25"/>
        <v>112.1</v>
      </c>
      <c r="I750" s="5">
        <f t="shared" si="26"/>
        <v>325</v>
      </c>
      <c r="M750" s="2">
        <v>42693</v>
      </c>
    </row>
    <row r="751" spans="1:13" x14ac:dyDescent="0.25">
      <c r="A751" t="s">
        <v>11</v>
      </c>
      <c r="B751" s="2">
        <v>42817</v>
      </c>
      <c r="C751">
        <v>2017</v>
      </c>
      <c r="D751" s="11">
        <f t="shared" si="24"/>
        <v>82</v>
      </c>
      <c r="E751" t="s">
        <v>6</v>
      </c>
      <c r="F751">
        <v>105.8</v>
      </c>
      <c r="G751">
        <f t="shared" si="25"/>
        <v>105.8</v>
      </c>
      <c r="I751" s="5">
        <f t="shared" si="26"/>
        <v>333</v>
      </c>
      <c r="M751" s="2">
        <v>42701</v>
      </c>
    </row>
    <row r="752" spans="1:13" x14ac:dyDescent="0.25">
      <c r="A752" t="s">
        <v>11</v>
      </c>
      <c r="B752" s="2">
        <v>42831</v>
      </c>
      <c r="C752">
        <v>2017</v>
      </c>
      <c r="D752" s="11">
        <f t="shared" si="24"/>
        <v>96</v>
      </c>
      <c r="E752" t="s">
        <v>6</v>
      </c>
      <c r="F752">
        <v>126.1</v>
      </c>
      <c r="G752">
        <f t="shared" si="25"/>
        <v>126.1</v>
      </c>
      <c r="I752" s="5">
        <f t="shared" si="26"/>
        <v>325</v>
      </c>
      <c r="M752" s="2">
        <v>42693</v>
      </c>
    </row>
    <row r="753" spans="1:13" x14ac:dyDescent="0.25">
      <c r="A753" t="s">
        <v>11</v>
      </c>
      <c r="B753" s="2">
        <v>42832</v>
      </c>
      <c r="C753">
        <v>2017</v>
      </c>
      <c r="D753" s="11">
        <f t="shared" si="24"/>
        <v>97</v>
      </c>
      <c r="E753" t="s">
        <v>6</v>
      </c>
      <c r="F753">
        <v>109.7</v>
      </c>
      <c r="G753">
        <f t="shared" si="25"/>
        <v>109.7</v>
      </c>
      <c r="I753" s="5">
        <f t="shared" si="26"/>
        <v>330</v>
      </c>
      <c r="M753" s="2">
        <v>42698</v>
      </c>
    </row>
    <row r="754" spans="1:13" x14ac:dyDescent="0.25">
      <c r="A754" t="s">
        <v>11</v>
      </c>
      <c r="B754" s="2">
        <v>42832</v>
      </c>
      <c r="C754">
        <v>2017</v>
      </c>
      <c r="D754" s="11">
        <f t="shared" si="24"/>
        <v>97</v>
      </c>
      <c r="E754" t="s">
        <v>6</v>
      </c>
      <c r="F754">
        <v>123.2</v>
      </c>
      <c r="G754">
        <f t="shared" si="25"/>
        <v>123.2</v>
      </c>
      <c r="I754" s="5">
        <f t="shared" si="26"/>
        <v>340</v>
      </c>
      <c r="M754" s="2">
        <v>42708</v>
      </c>
    </row>
    <row r="755" spans="1:13" x14ac:dyDescent="0.25">
      <c r="A755" t="s">
        <v>11</v>
      </c>
      <c r="B755" s="2">
        <v>42832</v>
      </c>
      <c r="C755">
        <v>2017</v>
      </c>
      <c r="D755" s="11">
        <f t="shared" si="24"/>
        <v>97</v>
      </c>
      <c r="E755" t="s">
        <v>6</v>
      </c>
      <c r="F755">
        <v>116.9</v>
      </c>
      <c r="G755">
        <f t="shared" si="25"/>
        <v>116.9</v>
      </c>
      <c r="I755" s="5">
        <f t="shared" si="26"/>
        <v>325</v>
      </c>
      <c r="M755" s="2">
        <v>42693</v>
      </c>
    </row>
    <row r="756" spans="1:13" x14ac:dyDescent="0.25">
      <c r="A756" t="s">
        <v>11</v>
      </c>
      <c r="B756" s="2">
        <v>42837</v>
      </c>
      <c r="C756">
        <v>2017</v>
      </c>
      <c r="D756" s="11">
        <f t="shared" si="24"/>
        <v>102</v>
      </c>
      <c r="E756" t="s">
        <v>6</v>
      </c>
      <c r="F756">
        <v>128.69999999999999</v>
      </c>
      <c r="G756">
        <f t="shared" si="25"/>
        <v>128.69999999999999</v>
      </c>
      <c r="I756" s="5">
        <f t="shared" si="26"/>
        <v>328</v>
      </c>
      <c r="M756" s="2">
        <v>42696</v>
      </c>
    </row>
    <row r="757" spans="1:13" x14ac:dyDescent="0.25">
      <c r="A757" t="s">
        <v>11</v>
      </c>
      <c r="B757" s="2">
        <v>42838</v>
      </c>
      <c r="C757">
        <v>2017</v>
      </c>
      <c r="D757" s="11">
        <f t="shared" si="24"/>
        <v>103</v>
      </c>
      <c r="E757" t="s">
        <v>6</v>
      </c>
      <c r="F757">
        <v>115.1</v>
      </c>
      <c r="G757">
        <f t="shared" si="25"/>
        <v>115.1</v>
      </c>
      <c r="I757" s="5">
        <f t="shared" si="26"/>
        <v>333</v>
      </c>
      <c r="M757" s="2">
        <v>42701</v>
      </c>
    </row>
    <row r="758" spans="1:13" x14ac:dyDescent="0.25">
      <c r="A758" t="s">
        <v>11</v>
      </c>
      <c r="B758" s="2">
        <v>42838</v>
      </c>
      <c r="C758">
        <v>2017</v>
      </c>
      <c r="D758" s="11">
        <f t="shared" si="24"/>
        <v>103</v>
      </c>
      <c r="E758" t="s">
        <v>6</v>
      </c>
      <c r="F758">
        <v>127.2</v>
      </c>
      <c r="G758">
        <f t="shared" si="25"/>
        <v>127.2</v>
      </c>
      <c r="I758" s="5">
        <f t="shared" si="26"/>
        <v>324</v>
      </c>
      <c r="M758" s="2">
        <v>42692</v>
      </c>
    </row>
    <row r="759" spans="1:13" x14ac:dyDescent="0.25">
      <c r="A759" t="s">
        <v>11</v>
      </c>
      <c r="B759" s="2">
        <v>42838</v>
      </c>
      <c r="C759">
        <v>2017</v>
      </c>
      <c r="D759" s="11">
        <f t="shared" si="24"/>
        <v>103</v>
      </c>
      <c r="E759" t="s">
        <v>6</v>
      </c>
      <c r="F759">
        <v>119.1</v>
      </c>
      <c r="G759">
        <f t="shared" si="25"/>
        <v>119.1</v>
      </c>
      <c r="I759" s="5">
        <f t="shared" si="26"/>
        <v>325</v>
      </c>
      <c r="M759" s="2">
        <v>42693</v>
      </c>
    </row>
    <row r="760" spans="1:13" x14ac:dyDescent="0.25">
      <c r="A760" t="s">
        <v>11</v>
      </c>
      <c r="B760" s="2">
        <v>42844</v>
      </c>
      <c r="C760">
        <v>2017</v>
      </c>
      <c r="D760" s="11">
        <f t="shared" si="24"/>
        <v>109</v>
      </c>
      <c r="E760" t="s">
        <v>6</v>
      </c>
      <c r="F760">
        <v>131.69999999999999</v>
      </c>
      <c r="G760">
        <f t="shared" si="25"/>
        <v>131.69999999999999</v>
      </c>
      <c r="I760" s="5">
        <f t="shared" si="26"/>
        <v>330</v>
      </c>
      <c r="M760" s="2">
        <v>42698</v>
      </c>
    </row>
    <row r="761" spans="1:13" x14ac:dyDescent="0.25">
      <c r="A761" t="s">
        <v>11</v>
      </c>
      <c r="B761" s="2">
        <v>42845</v>
      </c>
      <c r="C761">
        <v>2017</v>
      </c>
      <c r="D761" s="11">
        <f t="shared" si="24"/>
        <v>110</v>
      </c>
      <c r="E761" t="s">
        <v>6</v>
      </c>
      <c r="F761">
        <v>116</v>
      </c>
      <c r="G761">
        <f t="shared" si="25"/>
        <v>116</v>
      </c>
      <c r="I761" s="5">
        <f t="shared" si="26"/>
        <v>340</v>
      </c>
      <c r="M761" s="2">
        <v>42708</v>
      </c>
    </row>
    <row r="762" spans="1:13" x14ac:dyDescent="0.25">
      <c r="A762" t="s">
        <v>11</v>
      </c>
      <c r="B762" s="2">
        <v>42845</v>
      </c>
      <c r="C762">
        <v>2017</v>
      </c>
      <c r="D762" s="11">
        <f t="shared" si="24"/>
        <v>110</v>
      </c>
      <c r="E762" t="s">
        <v>6</v>
      </c>
      <c r="F762">
        <v>125.3</v>
      </c>
      <c r="G762">
        <f t="shared" si="25"/>
        <v>125.3</v>
      </c>
      <c r="I762" s="5">
        <f t="shared" si="26"/>
        <v>325</v>
      </c>
      <c r="M762" s="2">
        <v>42693</v>
      </c>
    </row>
    <row r="763" spans="1:13" x14ac:dyDescent="0.25">
      <c r="A763" t="s">
        <v>11</v>
      </c>
      <c r="B763" s="2">
        <v>42845</v>
      </c>
      <c r="C763">
        <v>2017</v>
      </c>
      <c r="D763" s="11">
        <f t="shared" si="24"/>
        <v>110</v>
      </c>
      <c r="E763" t="s">
        <v>6</v>
      </c>
      <c r="F763">
        <v>120.2</v>
      </c>
      <c r="G763">
        <f t="shared" si="25"/>
        <v>120.2</v>
      </c>
      <c r="I763" s="5">
        <f t="shared" si="26"/>
        <v>324</v>
      </c>
      <c r="M763" s="2">
        <v>42692</v>
      </c>
    </row>
    <row r="764" spans="1:13" x14ac:dyDescent="0.25">
      <c r="A764" t="s">
        <v>11</v>
      </c>
      <c r="B764" s="2">
        <v>42853</v>
      </c>
      <c r="C764">
        <v>2017</v>
      </c>
      <c r="D764" s="11">
        <f t="shared" si="24"/>
        <v>118</v>
      </c>
      <c r="E764" t="s">
        <v>6</v>
      </c>
      <c r="F764">
        <v>114.2</v>
      </c>
      <c r="G764">
        <f t="shared" si="25"/>
        <v>114.2</v>
      </c>
      <c r="I764" s="5">
        <f t="shared" si="26"/>
        <v>328</v>
      </c>
      <c r="M764" s="2">
        <v>42696</v>
      </c>
    </row>
    <row r="765" spans="1:13" x14ac:dyDescent="0.25">
      <c r="A765" t="s">
        <v>11</v>
      </c>
      <c r="B765" s="2">
        <v>42853</v>
      </c>
      <c r="C765">
        <v>2017</v>
      </c>
      <c r="D765" s="11">
        <f t="shared" si="24"/>
        <v>118</v>
      </c>
      <c r="E765" t="s">
        <v>6</v>
      </c>
      <c r="F765">
        <v>125.6</v>
      </c>
      <c r="G765">
        <f t="shared" si="25"/>
        <v>125.6</v>
      </c>
      <c r="I765" s="5">
        <f t="shared" si="26"/>
        <v>325</v>
      </c>
      <c r="M765" s="2">
        <v>42693</v>
      </c>
    </row>
    <row r="766" spans="1:13" x14ac:dyDescent="0.25">
      <c r="A766" t="s">
        <v>11</v>
      </c>
      <c r="B766" s="2">
        <v>42853</v>
      </c>
      <c r="C766">
        <v>2017</v>
      </c>
      <c r="D766" s="11">
        <f t="shared" si="24"/>
        <v>118</v>
      </c>
      <c r="E766" t="s">
        <v>6</v>
      </c>
      <c r="F766">
        <v>120.9</v>
      </c>
      <c r="G766">
        <f t="shared" si="25"/>
        <v>120.9</v>
      </c>
      <c r="I766" s="5">
        <f t="shared" si="26"/>
        <v>333</v>
      </c>
      <c r="M766" s="2">
        <v>42701</v>
      </c>
    </row>
    <row r="767" spans="1:13" x14ac:dyDescent="0.25">
      <c r="A767" t="s">
        <v>11</v>
      </c>
      <c r="B767" s="2">
        <v>42853</v>
      </c>
      <c r="C767">
        <v>2017</v>
      </c>
      <c r="D767" s="11">
        <f t="shared" si="24"/>
        <v>118</v>
      </c>
      <c r="E767" t="s">
        <v>6</v>
      </c>
      <c r="F767">
        <v>130.30000000000001</v>
      </c>
      <c r="G767">
        <f t="shared" si="25"/>
        <v>130.30000000000001</v>
      </c>
      <c r="I767" s="5">
        <f t="shared" si="26"/>
        <v>330</v>
      </c>
      <c r="M767" s="2">
        <v>42698</v>
      </c>
    </row>
    <row r="768" spans="1:13" x14ac:dyDescent="0.25">
      <c r="A768" t="s">
        <v>11</v>
      </c>
      <c r="B768" s="2">
        <v>42858</v>
      </c>
      <c r="C768">
        <v>2017</v>
      </c>
      <c r="D768" s="11">
        <f t="shared" si="24"/>
        <v>123</v>
      </c>
      <c r="E768" t="s">
        <v>6</v>
      </c>
      <c r="F768">
        <v>135.9</v>
      </c>
      <c r="G768">
        <f t="shared" si="25"/>
        <v>135.9</v>
      </c>
      <c r="I768" s="5">
        <f t="shared" si="26"/>
        <v>340</v>
      </c>
      <c r="M768" s="2">
        <v>42708</v>
      </c>
    </row>
    <row r="769" spans="1:13" x14ac:dyDescent="0.25">
      <c r="A769" t="s">
        <v>11</v>
      </c>
      <c r="B769" s="2">
        <v>42859</v>
      </c>
      <c r="C769">
        <v>2017</v>
      </c>
      <c r="D769" s="11">
        <f t="shared" si="24"/>
        <v>124</v>
      </c>
      <c r="E769" t="s">
        <v>6</v>
      </c>
      <c r="F769">
        <v>128.4</v>
      </c>
      <c r="G769">
        <f t="shared" si="25"/>
        <v>128.4</v>
      </c>
      <c r="I769" s="5">
        <f t="shared" si="26"/>
        <v>325</v>
      </c>
      <c r="M769" s="2">
        <v>42693</v>
      </c>
    </row>
    <row r="770" spans="1:13" x14ac:dyDescent="0.25">
      <c r="A770" t="s">
        <v>11</v>
      </c>
      <c r="B770" s="2">
        <v>42860</v>
      </c>
      <c r="C770">
        <v>2017</v>
      </c>
      <c r="D770" s="11">
        <f t="shared" si="24"/>
        <v>125</v>
      </c>
      <c r="E770" t="s">
        <v>6</v>
      </c>
      <c r="F770">
        <v>116</v>
      </c>
      <c r="G770">
        <f t="shared" si="25"/>
        <v>116</v>
      </c>
      <c r="I770" s="5">
        <f t="shared" si="26"/>
        <v>324</v>
      </c>
      <c r="M770" s="2">
        <v>42692</v>
      </c>
    </row>
    <row r="771" spans="1:13" x14ac:dyDescent="0.25">
      <c r="A771" t="s">
        <v>11</v>
      </c>
      <c r="B771" s="2">
        <v>42860</v>
      </c>
      <c r="C771">
        <v>2017</v>
      </c>
      <c r="D771" s="11">
        <f t="shared" ref="D771:D834" si="27">B771-DATE(YEAR(B771),1,0)</f>
        <v>125</v>
      </c>
      <c r="E771" t="s">
        <v>6</v>
      </c>
      <c r="F771">
        <v>121.5</v>
      </c>
      <c r="G771">
        <f t="shared" si="25"/>
        <v>121.5</v>
      </c>
      <c r="I771" s="5">
        <f t="shared" si="26"/>
        <v>328</v>
      </c>
      <c r="M771" s="2">
        <v>42696</v>
      </c>
    </row>
    <row r="772" spans="1:13" x14ac:dyDescent="0.25">
      <c r="A772" t="s">
        <v>11</v>
      </c>
      <c r="B772" s="2">
        <v>42872</v>
      </c>
      <c r="C772">
        <v>2017</v>
      </c>
      <c r="D772" s="11">
        <f t="shared" si="27"/>
        <v>137</v>
      </c>
      <c r="E772" t="s">
        <v>6</v>
      </c>
      <c r="F772">
        <v>130.30000000000001</v>
      </c>
      <c r="G772">
        <f t="shared" si="25"/>
        <v>130.30000000000001</v>
      </c>
      <c r="I772" s="5">
        <f t="shared" si="26"/>
        <v>325</v>
      </c>
      <c r="M772" s="2">
        <v>42693</v>
      </c>
    </row>
    <row r="773" spans="1:13" x14ac:dyDescent="0.25">
      <c r="A773" t="s">
        <v>11</v>
      </c>
      <c r="B773" s="2">
        <v>42873</v>
      </c>
      <c r="C773">
        <v>2017</v>
      </c>
      <c r="D773" s="11">
        <f t="shared" si="27"/>
        <v>138</v>
      </c>
      <c r="E773" t="s">
        <v>6</v>
      </c>
      <c r="F773">
        <v>121.6</v>
      </c>
      <c r="G773">
        <f t="shared" si="25"/>
        <v>121.6</v>
      </c>
      <c r="I773" s="5">
        <f t="shared" si="26"/>
        <v>333</v>
      </c>
      <c r="M773" s="2">
        <v>42701</v>
      </c>
    </row>
    <row r="774" spans="1:13" x14ac:dyDescent="0.25">
      <c r="A774" t="s">
        <v>11</v>
      </c>
      <c r="B774" s="2">
        <v>42873</v>
      </c>
      <c r="C774">
        <v>2017</v>
      </c>
      <c r="D774" s="11">
        <f t="shared" si="27"/>
        <v>138</v>
      </c>
      <c r="E774" t="s">
        <v>6</v>
      </c>
      <c r="F774">
        <v>131.6</v>
      </c>
      <c r="G774">
        <f t="shared" si="25"/>
        <v>131.6</v>
      </c>
      <c r="I774" s="5">
        <f t="shared" si="26"/>
        <v>330</v>
      </c>
      <c r="M774" s="2">
        <v>42698</v>
      </c>
    </row>
    <row r="775" spans="1:13" x14ac:dyDescent="0.25">
      <c r="A775" t="s">
        <v>11</v>
      </c>
      <c r="B775" s="2">
        <v>42873</v>
      </c>
      <c r="C775">
        <v>2017</v>
      </c>
      <c r="D775" s="11">
        <f t="shared" si="27"/>
        <v>138</v>
      </c>
      <c r="E775" t="s">
        <v>6</v>
      </c>
      <c r="F775">
        <v>123</v>
      </c>
      <c r="G775">
        <f t="shared" si="25"/>
        <v>123</v>
      </c>
      <c r="I775" s="5">
        <f t="shared" si="26"/>
        <v>324</v>
      </c>
      <c r="M775" s="2">
        <v>42692</v>
      </c>
    </row>
    <row r="776" spans="1:13" x14ac:dyDescent="0.25">
      <c r="A776" t="s">
        <v>11</v>
      </c>
      <c r="B776" s="2">
        <v>42886</v>
      </c>
      <c r="C776">
        <v>2017</v>
      </c>
      <c r="D776" s="11">
        <f t="shared" si="27"/>
        <v>151</v>
      </c>
      <c r="E776" t="s">
        <v>6</v>
      </c>
      <c r="F776">
        <v>133.1</v>
      </c>
      <c r="G776">
        <f t="shared" si="25"/>
        <v>133.1</v>
      </c>
      <c r="I776" s="5">
        <f t="shared" si="26"/>
        <v>340</v>
      </c>
      <c r="M776" s="2">
        <v>42708</v>
      </c>
    </row>
    <row r="777" spans="1:13" x14ac:dyDescent="0.25">
      <c r="A777" t="s">
        <v>11</v>
      </c>
      <c r="B777" s="2">
        <v>42887</v>
      </c>
      <c r="C777">
        <v>2017</v>
      </c>
      <c r="D777" s="11">
        <f t="shared" si="27"/>
        <v>152</v>
      </c>
      <c r="E777" t="s">
        <v>6</v>
      </c>
      <c r="F777">
        <v>116.4</v>
      </c>
      <c r="G777">
        <f t="shared" si="25"/>
        <v>116.4</v>
      </c>
      <c r="I777" s="5">
        <f t="shared" si="26"/>
        <v>325</v>
      </c>
      <c r="M777" s="2">
        <v>42693</v>
      </c>
    </row>
    <row r="778" spans="1:13" x14ac:dyDescent="0.25">
      <c r="A778" t="s">
        <v>11</v>
      </c>
      <c r="B778" s="2">
        <v>42887</v>
      </c>
      <c r="C778">
        <v>2017</v>
      </c>
      <c r="D778" s="11">
        <f t="shared" si="27"/>
        <v>152</v>
      </c>
      <c r="E778" t="s">
        <v>6</v>
      </c>
      <c r="F778">
        <v>131.9</v>
      </c>
      <c r="G778">
        <f t="shared" si="25"/>
        <v>131.9</v>
      </c>
      <c r="I778" s="5">
        <f t="shared" si="26"/>
        <v>333</v>
      </c>
      <c r="M778" s="2">
        <v>42701</v>
      </c>
    </row>
    <row r="779" spans="1:13" x14ac:dyDescent="0.25">
      <c r="A779" t="s">
        <v>11</v>
      </c>
      <c r="B779" s="2">
        <v>42887</v>
      </c>
      <c r="C779">
        <v>2017</v>
      </c>
      <c r="D779" s="11">
        <f t="shared" si="27"/>
        <v>152</v>
      </c>
      <c r="E779" t="s">
        <v>6</v>
      </c>
      <c r="F779">
        <v>124.7</v>
      </c>
      <c r="G779">
        <f t="shared" si="25"/>
        <v>124.7</v>
      </c>
      <c r="I779" s="5">
        <f t="shared" si="26"/>
        <v>325</v>
      </c>
      <c r="M779" s="2">
        <v>42693</v>
      </c>
    </row>
    <row r="780" spans="1:13" x14ac:dyDescent="0.25">
      <c r="A780" t="s">
        <v>11</v>
      </c>
      <c r="B780" s="2">
        <v>42893</v>
      </c>
      <c r="C780">
        <v>2017</v>
      </c>
      <c r="D780" s="11">
        <f t="shared" si="27"/>
        <v>158</v>
      </c>
      <c r="E780" t="s">
        <v>6</v>
      </c>
      <c r="F780">
        <v>119</v>
      </c>
      <c r="G780">
        <f t="shared" si="25"/>
        <v>119</v>
      </c>
      <c r="I780" s="5">
        <f t="shared" si="26"/>
        <v>330</v>
      </c>
      <c r="M780" s="2">
        <v>42698</v>
      </c>
    </row>
    <row r="781" spans="1:13" x14ac:dyDescent="0.25">
      <c r="A781" t="s">
        <v>11</v>
      </c>
      <c r="B781" s="2">
        <v>42893</v>
      </c>
      <c r="C781">
        <v>2017</v>
      </c>
      <c r="D781" s="11">
        <f t="shared" si="27"/>
        <v>158</v>
      </c>
      <c r="E781" t="s">
        <v>6</v>
      </c>
      <c r="F781">
        <v>121.2</v>
      </c>
      <c r="G781">
        <f t="shared" si="25"/>
        <v>121.2</v>
      </c>
      <c r="I781" s="5">
        <f t="shared" si="26"/>
        <v>324</v>
      </c>
      <c r="M781" s="2">
        <v>42692</v>
      </c>
    </row>
    <row r="782" spans="1:13" x14ac:dyDescent="0.25">
      <c r="A782" t="s">
        <v>11</v>
      </c>
      <c r="B782" s="2">
        <v>42894</v>
      </c>
      <c r="C782">
        <v>2017</v>
      </c>
      <c r="D782" s="11">
        <f t="shared" si="27"/>
        <v>159</v>
      </c>
      <c r="E782" t="s">
        <v>6</v>
      </c>
      <c r="F782">
        <v>132.6</v>
      </c>
      <c r="G782">
        <f t="shared" si="25"/>
        <v>132.6</v>
      </c>
      <c r="I782" s="5">
        <f t="shared" si="26"/>
        <v>340</v>
      </c>
      <c r="M782" s="2">
        <v>42708</v>
      </c>
    </row>
    <row r="783" spans="1:13" x14ac:dyDescent="0.25">
      <c r="A783" t="s">
        <v>11</v>
      </c>
      <c r="B783" s="2">
        <v>42907</v>
      </c>
      <c r="C783">
        <v>2017</v>
      </c>
      <c r="D783" s="11">
        <f t="shared" si="27"/>
        <v>172</v>
      </c>
      <c r="E783" t="s">
        <v>6</v>
      </c>
      <c r="F783">
        <v>117.5</v>
      </c>
      <c r="G783">
        <f t="shared" si="25"/>
        <v>117.5</v>
      </c>
      <c r="I783" s="5">
        <f t="shared" si="26"/>
        <v>325</v>
      </c>
      <c r="M783" s="2">
        <v>42693</v>
      </c>
    </row>
    <row r="784" spans="1:13" x14ac:dyDescent="0.25">
      <c r="A784" t="s">
        <v>11</v>
      </c>
      <c r="B784" s="2">
        <v>42907</v>
      </c>
      <c r="C784">
        <v>2017</v>
      </c>
      <c r="D784" s="11">
        <f t="shared" si="27"/>
        <v>172</v>
      </c>
      <c r="E784" t="s">
        <v>6</v>
      </c>
      <c r="F784">
        <v>121.7</v>
      </c>
      <c r="G784">
        <f t="shared" si="25"/>
        <v>121.7</v>
      </c>
      <c r="I784" s="5">
        <f t="shared" si="26"/>
        <v>333</v>
      </c>
      <c r="M784" s="2">
        <v>42701</v>
      </c>
    </row>
    <row r="785" spans="1:13" x14ac:dyDescent="0.25">
      <c r="A785" t="s">
        <v>11</v>
      </c>
      <c r="B785" s="2">
        <v>42908</v>
      </c>
      <c r="C785">
        <v>2017</v>
      </c>
      <c r="D785" s="11">
        <f t="shared" si="27"/>
        <v>173</v>
      </c>
      <c r="E785" t="s">
        <v>6</v>
      </c>
      <c r="F785">
        <v>130.1</v>
      </c>
      <c r="G785">
        <f t="shared" si="25"/>
        <v>130.1</v>
      </c>
      <c r="I785" s="5">
        <f t="shared" si="26"/>
        <v>325</v>
      </c>
      <c r="M785" s="2">
        <v>42693</v>
      </c>
    </row>
    <row r="786" spans="1:13" x14ac:dyDescent="0.25">
      <c r="A786" t="s">
        <v>12</v>
      </c>
      <c r="B786" s="2">
        <v>43116</v>
      </c>
      <c r="C786">
        <v>2018</v>
      </c>
      <c r="D786" s="11">
        <f t="shared" si="27"/>
        <v>16</v>
      </c>
      <c r="E786" t="s">
        <v>6</v>
      </c>
      <c r="F786">
        <v>62.4</v>
      </c>
      <c r="G786">
        <f t="shared" si="25"/>
        <v>62.4</v>
      </c>
      <c r="I786" s="5">
        <f t="shared" si="26"/>
        <v>331</v>
      </c>
      <c r="M786" s="2">
        <v>43065</v>
      </c>
    </row>
    <row r="787" spans="1:13" x14ac:dyDescent="0.25">
      <c r="A787" t="s">
        <v>12</v>
      </c>
      <c r="B787" s="2">
        <v>43116</v>
      </c>
      <c r="C787">
        <v>2018</v>
      </c>
      <c r="D787" s="11">
        <f t="shared" si="27"/>
        <v>16</v>
      </c>
      <c r="E787" t="s">
        <v>6</v>
      </c>
      <c r="F787">
        <v>57.1</v>
      </c>
      <c r="G787">
        <f t="shared" si="25"/>
        <v>57.1</v>
      </c>
      <c r="I787" s="5">
        <f t="shared" si="26"/>
        <v>326</v>
      </c>
      <c r="M787" s="2">
        <v>43060</v>
      </c>
    </row>
    <row r="788" spans="1:13" x14ac:dyDescent="0.25">
      <c r="A788" t="s">
        <v>12</v>
      </c>
      <c r="B788" s="2">
        <v>43151</v>
      </c>
      <c r="C788">
        <v>2018</v>
      </c>
      <c r="D788" s="11">
        <f t="shared" si="27"/>
        <v>51</v>
      </c>
      <c r="E788" t="s">
        <v>6</v>
      </c>
      <c r="F788">
        <v>82.1</v>
      </c>
      <c r="G788">
        <f t="shared" si="25"/>
        <v>82.1</v>
      </c>
      <c r="I788" s="5">
        <f t="shared" si="26"/>
        <v>331</v>
      </c>
      <c r="M788" s="2">
        <v>43065</v>
      </c>
    </row>
    <row r="789" spans="1:13" x14ac:dyDescent="0.25">
      <c r="A789" t="s">
        <v>12</v>
      </c>
      <c r="B789" s="2">
        <v>43151</v>
      </c>
      <c r="C789">
        <v>2018</v>
      </c>
      <c r="D789" s="11">
        <f t="shared" si="27"/>
        <v>51</v>
      </c>
      <c r="E789" t="s">
        <v>6</v>
      </c>
      <c r="F789">
        <v>79.7</v>
      </c>
      <c r="G789">
        <f t="shared" si="25"/>
        <v>79.7</v>
      </c>
      <c r="I789" s="5">
        <f t="shared" si="26"/>
        <v>327</v>
      </c>
      <c r="M789" s="2">
        <v>43061</v>
      </c>
    </row>
    <row r="790" spans="1:13" x14ac:dyDescent="0.25">
      <c r="A790" t="s">
        <v>12</v>
      </c>
      <c r="B790" s="2">
        <v>43165</v>
      </c>
      <c r="C790">
        <v>2018</v>
      </c>
      <c r="D790" s="11">
        <f t="shared" si="27"/>
        <v>65</v>
      </c>
      <c r="E790" t="s">
        <v>6</v>
      </c>
      <c r="F790">
        <v>89.9</v>
      </c>
      <c r="G790">
        <f t="shared" si="25"/>
        <v>89.9</v>
      </c>
      <c r="I790" s="5">
        <f t="shared" si="26"/>
        <v>336</v>
      </c>
      <c r="M790" s="2">
        <v>43070</v>
      </c>
    </row>
    <row r="791" spans="1:13" x14ac:dyDescent="0.25">
      <c r="A791" t="s">
        <v>12</v>
      </c>
      <c r="B791" s="2">
        <v>43165</v>
      </c>
      <c r="C791">
        <v>2018</v>
      </c>
      <c r="D791" s="11">
        <f t="shared" si="27"/>
        <v>65</v>
      </c>
      <c r="E791" t="s">
        <v>6</v>
      </c>
      <c r="F791">
        <v>87.6</v>
      </c>
      <c r="G791">
        <f t="shared" si="25"/>
        <v>87.6</v>
      </c>
      <c r="I791" s="5">
        <f t="shared" si="26"/>
        <v>330</v>
      </c>
      <c r="M791" s="2">
        <v>43064</v>
      </c>
    </row>
    <row r="792" spans="1:13" x14ac:dyDescent="0.25">
      <c r="A792" t="s">
        <v>12</v>
      </c>
      <c r="B792" s="2">
        <v>43179</v>
      </c>
      <c r="C792">
        <v>2018</v>
      </c>
      <c r="D792" s="11">
        <f t="shared" si="27"/>
        <v>79</v>
      </c>
      <c r="E792" t="s">
        <v>6</v>
      </c>
      <c r="F792">
        <v>93.2</v>
      </c>
      <c r="G792">
        <f t="shared" si="25"/>
        <v>93.2</v>
      </c>
      <c r="I792" s="5">
        <f t="shared" si="26"/>
        <v>334</v>
      </c>
      <c r="M792" s="2">
        <v>43068</v>
      </c>
    </row>
    <row r="793" spans="1:13" x14ac:dyDescent="0.25">
      <c r="A793" t="s">
        <v>12</v>
      </c>
      <c r="B793" s="2">
        <v>43179</v>
      </c>
      <c r="C793">
        <v>2018</v>
      </c>
      <c r="D793" s="11">
        <f t="shared" si="27"/>
        <v>79</v>
      </c>
      <c r="E793" t="s">
        <v>6</v>
      </c>
      <c r="F793">
        <v>90.1</v>
      </c>
      <c r="G793">
        <f t="shared" si="25"/>
        <v>90.1</v>
      </c>
      <c r="I793" s="5">
        <f t="shared" si="26"/>
        <v>331</v>
      </c>
      <c r="M793" s="2">
        <v>43065</v>
      </c>
    </row>
    <row r="794" spans="1:13" x14ac:dyDescent="0.25">
      <c r="A794" t="s">
        <v>12</v>
      </c>
      <c r="B794" s="2">
        <v>43195</v>
      </c>
      <c r="C794">
        <v>2018</v>
      </c>
      <c r="D794" s="11">
        <f t="shared" si="27"/>
        <v>95</v>
      </c>
      <c r="E794" t="s">
        <v>6</v>
      </c>
      <c r="F794">
        <v>102.3</v>
      </c>
      <c r="G794">
        <f t="shared" si="25"/>
        <v>102.3</v>
      </c>
      <c r="I794" s="5">
        <f t="shared" si="26"/>
        <v>326</v>
      </c>
      <c r="M794" s="2">
        <v>43060</v>
      </c>
    </row>
    <row r="795" spans="1:13" x14ac:dyDescent="0.25">
      <c r="A795" t="s">
        <v>12</v>
      </c>
      <c r="B795" s="2">
        <v>43195</v>
      </c>
      <c r="C795">
        <v>2018</v>
      </c>
      <c r="D795" s="11">
        <f t="shared" si="27"/>
        <v>95</v>
      </c>
      <c r="E795" t="s">
        <v>6</v>
      </c>
      <c r="F795">
        <v>98.2</v>
      </c>
      <c r="G795">
        <f t="shared" si="25"/>
        <v>98.2</v>
      </c>
      <c r="I795" s="5">
        <f t="shared" si="26"/>
        <v>331</v>
      </c>
      <c r="M795" s="2">
        <v>43065</v>
      </c>
    </row>
    <row r="796" spans="1:13" x14ac:dyDescent="0.25">
      <c r="A796" t="s">
        <v>12</v>
      </c>
      <c r="B796" s="2">
        <v>43201</v>
      </c>
      <c r="C796">
        <v>2018</v>
      </c>
      <c r="D796" s="11">
        <f t="shared" si="27"/>
        <v>101</v>
      </c>
      <c r="E796" t="s">
        <v>6</v>
      </c>
      <c r="F796">
        <v>105.5</v>
      </c>
      <c r="G796">
        <f t="shared" si="25"/>
        <v>105.5</v>
      </c>
      <c r="I796" s="5">
        <f t="shared" si="26"/>
        <v>327</v>
      </c>
      <c r="M796" s="2">
        <v>43061</v>
      </c>
    </row>
    <row r="797" spans="1:13" x14ac:dyDescent="0.25">
      <c r="A797" t="s">
        <v>12</v>
      </c>
      <c r="B797" s="2">
        <v>43201</v>
      </c>
      <c r="C797">
        <v>2018</v>
      </c>
      <c r="D797" s="11">
        <f t="shared" si="27"/>
        <v>101</v>
      </c>
      <c r="E797" t="s">
        <v>6</v>
      </c>
      <c r="F797">
        <v>98.8</v>
      </c>
      <c r="G797">
        <f t="shared" si="25"/>
        <v>98.8</v>
      </c>
      <c r="I797" s="5">
        <f t="shared" si="26"/>
        <v>336</v>
      </c>
      <c r="M797" s="2">
        <v>43070</v>
      </c>
    </row>
    <row r="798" spans="1:13" x14ac:dyDescent="0.25">
      <c r="A798" t="s">
        <v>12</v>
      </c>
      <c r="B798" s="2">
        <v>43209</v>
      </c>
      <c r="C798">
        <v>2018</v>
      </c>
      <c r="D798" s="11">
        <f t="shared" si="27"/>
        <v>109</v>
      </c>
      <c r="E798" t="s">
        <v>6</v>
      </c>
      <c r="F798">
        <v>110</v>
      </c>
      <c r="G798">
        <f t="shared" si="25"/>
        <v>110</v>
      </c>
      <c r="I798" s="5">
        <f t="shared" si="26"/>
        <v>330</v>
      </c>
      <c r="M798" s="2">
        <v>43064</v>
      </c>
    </row>
    <row r="799" spans="1:13" x14ac:dyDescent="0.25">
      <c r="A799" t="s">
        <v>12</v>
      </c>
      <c r="B799" s="2">
        <v>43209</v>
      </c>
      <c r="C799">
        <v>2018</v>
      </c>
      <c r="D799" s="11">
        <f t="shared" si="27"/>
        <v>109</v>
      </c>
      <c r="E799" t="s">
        <v>6</v>
      </c>
      <c r="F799">
        <v>99.3</v>
      </c>
      <c r="G799">
        <f t="shared" si="25"/>
        <v>99.3</v>
      </c>
      <c r="I799" s="5">
        <f t="shared" si="26"/>
        <v>334</v>
      </c>
      <c r="M799" s="2">
        <v>43068</v>
      </c>
    </row>
    <row r="800" spans="1:13" x14ac:dyDescent="0.25">
      <c r="A800" t="s">
        <v>12</v>
      </c>
      <c r="B800" s="2">
        <v>43215</v>
      </c>
      <c r="C800">
        <v>2018</v>
      </c>
      <c r="D800" s="11">
        <f t="shared" si="27"/>
        <v>115</v>
      </c>
      <c r="E800" t="s">
        <v>6</v>
      </c>
      <c r="F800">
        <v>113.2</v>
      </c>
      <c r="G800">
        <f t="shared" si="25"/>
        <v>113.2</v>
      </c>
      <c r="I800" s="5">
        <f t="shared" si="26"/>
        <v>331</v>
      </c>
      <c r="M800" s="2">
        <v>43065</v>
      </c>
    </row>
    <row r="801" spans="1:13" x14ac:dyDescent="0.25">
      <c r="A801" t="s">
        <v>12</v>
      </c>
      <c r="B801" s="2">
        <v>43215</v>
      </c>
      <c r="C801">
        <v>2018</v>
      </c>
      <c r="D801" s="11">
        <f t="shared" si="27"/>
        <v>115</v>
      </c>
      <c r="E801" t="s">
        <v>6</v>
      </c>
      <c r="F801">
        <v>106.4</v>
      </c>
      <c r="G801">
        <f t="shared" si="25"/>
        <v>106.4</v>
      </c>
      <c r="I801" s="5">
        <f t="shared" si="26"/>
        <v>326</v>
      </c>
      <c r="M801" s="2">
        <v>43060</v>
      </c>
    </row>
    <row r="802" spans="1:13" x14ac:dyDescent="0.25">
      <c r="A802" t="s">
        <v>12</v>
      </c>
      <c r="B802" s="2">
        <v>43221</v>
      </c>
      <c r="C802">
        <v>2018</v>
      </c>
      <c r="D802" s="11">
        <f t="shared" si="27"/>
        <v>121</v>
      </c>
      <c r="E802" t="s">
        <v>6</v>
      </c>
      <c r="F802">
        <v>117.6</v>
      </c>
      <c r="G802" s="7">
        <f>Calculations!D4</f>
        <v>109.14848951622386</v>
      </c>
      <c r="H802" t="s">
        <v>27</v>
      </c>
      <c r="I802" s="5">
        <f t="shared" si="26"/>
        <v>331</v>
      </c>
      <c r="M802" s="2">
        <v>43065</v>
      </c>
    </row>
    <row r="803" spans="1:13" x14ac:dyDescent="0.25">
      <c r="A803" t="s">
        <v>12</v>
      </c>
      <c r="B803" s="2">
        <v>43221</v>
      </c>
      <c r="C803">
        <v>2018</v>
      </c>
      <c r="D803" s="11">
        <f t="shared" si="27"/>
        <v>121</v>
      </c>
      <c r="E803" t="s">
        <v>6</v>
      </c>
      <c r="F803">
        <v>109</v>
      </c>
      <c r="G803">
        <f t="shared" si="25"/>
        <v>109</v>
      </c>
      <c r="I803" s="5">
        <f t="shared" si="26"/>
        <v>327</v>
      </c>
      <c r="M803" s="2">
        <v>43061</v>
      </c>
    </row>
    <row r="804" spans="1:13" x14ac:dyDescent="0.25">
      <c r="A804" t="s">
        <v>12</v>
      </c>
      <c r="B804" s="2">
        <v>43235</v>
      </c>
      <c r="C804">
        <v>2018</v>
      </c>
      <c r="D804" s="11">
        <f t="shared" si="27"/>
        <v>135</v>
      </c>
      <c r="E804" t="s">
        <v>6</v>
      </c>
      <c r="F804">
        <v>115.1</v>
      </c>
      <c r="G804">
        <f t="shared" si="25"/>
        <v>115.1</v>
      </c>
      <c r="I804" s="5">
        <f t="shared" si="26"/>
        <v>336</v>
      </c>
      <c r="M804" s="2">
        <v>43070</v>
      </c>
    </row>
    <row r="805" spans="1:13" x14ac:dyDescent="0.25">
      <c r="A805" t="s">
        <v>12</v>
      </c>
      <c r="B805" s="2">
        <v>43235</v>
      </c>
      <c r="C805">
        <v>2018</v>
      </c>
      <c r="D805" s="11">
        <f t="shared" si="27"/>
        <v>135</v>
      </c>
      <c r="E805" t="s">
        <v>6</v>
      </c>
      <c r="F805">
        <v>108.3</v>
      </c>
      <c r="G805">
        <f t="shared" si="25"/>
        <v>108.3</v>
      </c>
      <c r="I805" s="5">
        <f t="shared" si="26"/>
        <v>330</v>
      </c>
      <c r="M805" s="2">
        <v>43064</v>
      </c>
    </row>
    <row r="806" spans="1:13" x14ac:dyDescent="0.25">
      <c r="A806" t="s">
        <v>12</v>
      </c>
      <c r="B806" s="2">
        <v>43249</v>
      </c>
      <c r="C806">
        <v>2018</v>
      </c>
      <c r="D806" s="11">
        <f t="shared" si="27"/>
        <v>149</v>
      </c>
      <c r="E806" t="s">
        <v>6</v>
      </c>
      <c r="F806">
        <v>114.4</v>
      </c>
      <c r="G806">
        <f t="shared" si="25"/>
        <v>114.4</v>
      </c>
      <c r="I806" s="5">
        <f t="shared" si="26"/>
        <v>334</v>
      </c>
      <c r="M806" s="2">
        <v>43068</v>
      </c>
    </row>
    <row r="807" spans="1:13" x14ac:dyDescent="0.25">
      <c r="A807" t="s">
        <v>12</v>
      </c>
      <c r="B807" s="2">
        <v>43249</v>
      </c>
      <c r="C807">
        <v>2018</v>
      </c>
      <c r="D807" s="11">
        <f t="shared" si="27"/>
        <v>149</v>
      </c>
      <c r="E807" t="s">
        <v>6</v>
      </c>
      <c r="F807">
        <v>105.5</v>
      </c>
      <c r="G807">
        <f t="shared" ref="G807:G869" si="28">F807</f>
        <v>105.5</v>
      </c>
      <c r="I807" s="5">
        <f t="shared" ref="I807:I870" si="29" xml:space="preserve"> DATEDIF(DATE(YEAR(M807),1,0),M807,"d")+1</f>
        <v>331</v>
      </c>
      <c r="M807" s="2">
        <v>43065</v>
      </c>
    </row>
    <row r="808" spans="1:13" x14ac:dyDescent="0.25">
      <c r="A808" t="s">
        <v>12</v>
      </c>
      <c r="B808" s="2">
        <v>43116</v>
      </c>
      <c r="C808">
        <v>2018</v>
      </c>
      <c r="D808" s="11">
        <f t="shared" si="27"/>
        <v>16</v>
      </c>
      <c r="E808" t="s">
        <v>6</v>
      </c>
      <c r="F808">
        <v>61.5</v>
      </c>
      <c r="G808">
        <f t="shared" si="28"/>
        <v>61.5</v>
      </c>
      <c r="I808" s="5">
        <f t="shared" si="29"/>
        <v>326</v>
      </c>
      <c r="M808" s="2">
        <v>43060</v>
      </c>
    </row>
    <row r="809" spans="1:13" x14ac:dyDescent="0.25">
      <c r="A809" t="s">
        <v>12</v>
      </c>
      <c r="B809" s="2">
        <v>43151</v>
      </c>
      <c r="C809">
        <v>2018</v>
      </c>
      <c r="D809" s="11">
        <f t="shared" si="27"/>
        <v>51</v>
      </c>
      <c r="E809" t="s">
        <v>6</v>
      </c>
      <c r="F809">
        <v>82.5</v>
      </c>
      <c r="G809">
        <f t="shared" si="28"/>
        <v>82.5</v>
      </c>
      <c r="I809" s="5">
        <f t="shared" si="29"/>
        <v>331</v>
      </c>
      <c r="M809" s="2">
        <v>43065</v>
      </c>
    </row>
    <row r="810" spans="1:13" x14ac:dyDescent="0.25">
      <c r="A810" t="s">
        <v>12</v>
      </c>
      <c r="B810" s="2">
        <v>43165</v>
      </c>
      <c r="C810">
        <v>2018</v>
      </c>
      <c r="D810" s="11">
        <f t="shared" si="27"/>
        <v>65</v>
      </c>
      <c r="E810" t="s">
        <v>6</v>
      </c>
      <c r="F810">
        <v>93.7</v>
      </c>
      <c r="G810">
        <f t="shared" si="28"/>
        <v>93.7</v>
      </c>
      <c r="I810" s="5">
        <f t="shared" si="29"/>
        <v>327</v>
      </c>
      <c r="M810" s="2">
        <v>43061</v>
      </c>
    </row>
    <row r="811" spans="1:13" x14ac:dyDescent="0.25">
      <c r="A811" t="s">
        <v>12</v>
      </c>
      <c r="B811" s="2">
        <v>43179</v>
      </c>
      <c r="C811">
        <v>2018</v>
      </c>
      <c r="D811" s="11">
        <f t="shared" si="27"/>
        <v>79</v>
      </c>
      <c r="E811" t="s">
        <v>6</v>
      </c>
      <c r="F811">
        <v>95.8</v>
      </c>
      <c r="G811">
        <f t="shared" si="28"/>
        <v>95.8</v>
      </c>
      <c r="I811" s="5">
        <f t="shared" si="29"/>
        <v>336</v>
      </c>
      <c r="M811" s="2">
        <v>43070</v>
      </c>
    </row>
    <row r="812" spans="1:13" x14ac:dyDescent="0.25">
      <c r="A812" t="s">
        <v>12</v>
      </c>
      <c r="B812" s="2">
        <v>43194</v>
      </c>
      <c r="C812">
        <v>2018</v>
      </c>
      <c r="D812" s="11">
        <f t="shared" si="27"/>
        <v>94</v>
      </c>
      <c r="E812" t="s">
        <v>6</v>
      </c>
      <c r="F812">
        <v>105.4</v>
      </c>
      <c r="G812">
        <f t="shared" si="28"/>
        <v>105.4</v>
      </c>
      <c r="I812" s="5">
        <f t="shared" si="29"/>
        <v>330</v>
      </c>
      <c r="M812" s="2">
        <v>43064</v>
      </c>
    </row>
    <row r="813" spans="1:13" x14ac:dyDescent="0.25">
      <c r="A813" t="s">
        <v>12</v>
      </c>
      <c r="B813" s="2">
        <v>43201</v>
      </c>
      <c r="C813">
        <v>2018</v>
      </c>
      <c r="D813" s="11">
        <f t="shared" si="27"/>
        <v>101</v>
      </c>
      <c r="E813" t="s">
        <v>6</v>
      </c>
      <c r="F813">
        <v>106.4</v>
      </c>
      <c r="G813">
        <f t="shared" si="28"/>
        <v>106.4</v>
      </c>
      <c r="I813" s="5">
        <f t="shared" si="29"/>
        <v>334</v>
      </c>
      <c r="M813" s="2">
        <v>43068</v>
      </c>
    </row>
    <row r="814" spans="1:13" x14ac:dyDescent="0.25">
      <c r="A814" t="s">
        <v>12</v>
      </c>
      <c r="B814" s="2">
        <v>43209</v>
      </c>
      <c r="C814">
        <v>2018</v>
      </c>
      <c r="D814" s="11">
        <f t="shared" si="27"/>
        <v>109</v>
      </c>
      <c r="E814" t="s">
        <v>6</v>
      </c>
      <c r="F814">
        <v>108.9</v>
      </c>
      <c r="G814">
        <f t="shared" si="28"/>
        <v>108.9</v>
      </c>
      <c r="I814" s="5">
        <f t="shared" si="29"/>
        <v>331</v>
      </c>
      <c r="M814" s="2">
        <v>43065</v>
      </c>
    </row>
    <row r="815" spans="1:13" x14ac:dyDescent="0.25">
      <c r="A815" t="s">
        <v>12</v>
      </c>
      <c r="B815" s="2">
        <v>43215</v>
      </c>
      <c r="C815">
        <v>2018</v>
      </c>
      <c r="D815" s="11">
        <f t="shared" si="27"/>
        <v>115</v>
      </c>
      <c r="E815" t="s">
        <v>6</v>
      </c>
      <c r="F815">
        <v>112.6</v>
      </c>
      <c r="G815">
        <f t="shared" si="28"/>
        <v>112.6</v>
      </c>
      <c r="I815" s="5">
        <f t="shared" si="29"/>
        <v>334</v>
      </c>
      <c r="M815" s="2">
        <v>43068</v>
      </c>
    </row>
    <row r="816" spans="1:13" x14ac:dyDescent="0.25">
      <c r="A816" t="s">
        <v>12</v>
      </c>
      <c r="B816" s="2">
        <v>43221</v>
      </c>
      <c r="C816">
        <v>2018</v>
      </c>
      <c r="D816" s="11">
        <f t="shared" si="27"/>
        <v>121</v>
      </c>
      <c r="E816" t="s">
        <v>6</v>
      </c>
      <c r="F816">
        <v>116.3</v>
      </c>
      <c r="G816">
        <f t="shared" si="28"/>
        <v>116.3</v>
      </c>
      <c r="I816" s="5">
        <f t="shared" si="29"/>
        <v>326</v>
      </c>
      <c r="M816" s="2">
        <v>43060</v>
      </c>
    </row>
    <row r="817" spans="1:13" x14ac:dyDescent="0.25">
      <c r="A817" t="s">
        <v>12</v>
      </c>
      <c r="B817" s="2">
        <v>43235</v>
      </c>
      <c r="C817">
        <v>2018</v>
      </c>
      <c r="D817" s="11">
        <f t="shared" si="27"/>
        <v>135</v>
      </c>
      <c r="E817" t="s">
        <v>6</v>
      </c>
      <c r="F817">
        <v>115.2</v>
      </c>
      <c r="G817">
        <f t="shared" si="28"/>
        <v>115.2</v>
      </c>
      <c r="I817" s="5">
        <f t="shared" si="29"/>
        <v>331</v>
      </c>
      <c r="M817" s="2">
        <v>43065</v>
      </c>
    </row>
    <row r="818" spans="1:13" x14ac:dyDescent="0.25">
      <c r="A818" t="s">
        <v>12</v>
      </c>
      <c r="B818" s="2">
        <v>43249</v>
      </c>
      <c r="C818">
        <v>2018</v>
      </c>
      <c r="D818" s="11">
        <f t="shared" si="27"/>
        <v>149</v>
      </c>
      <c r="E818" t="s">
        <v>6</v>
      </c>
      <c r="F818">
        <v>115.4</v>
      </c>
      <c r="G818">
        <f t="shared" si="28"/>
        <v>115.4</v>
      </c>
      <c r="I818" s="5">
        <f t="shared" si="29"/>
        <v>327</v>
      </c>
      <c r="M818" s="2">
        <v>43061</v>
      </c>
    </row>
    <row r="819" spans="1:13" x14ac:dyDescent="0.25">
      <c r="A819" t="s">
        <v>12</v>
      </c>
      <c r="B819" s="2">
        <v>43115</v>
      </c>
      <c r="C819">
        <v>2018</v>
      </c>
      <c r="D819" s="11">
        <f t="shared" si="27"/>
        <v>15</v>
      </c>
      <c r="E819" t="s">
        <v>6</v>
      </c>
      <c r="F819">
        <v>59.6</v>
      </c>
      <c r="G819">
        <f t="shared" si="28"/>
        <v>59.6</v>
      </c>
      <c r="I819" s="5">
        <f t="shared" si="29"/>
        <v>336</v>
      </c>
      <c r="M819" s="2">
        <v>43070</v>
      </c>
    </row>
    <row r="820" spans="1:13" x14ac:dyDescent="0.25">
      <c r="A820" t="s">
        <v>12</v>
      </c>
      <c r="B820" s="2">
        <v>43115</v>
      </c>
      <c r="C820">
        <v>2018</v>
      </c>
      <c r="D820" s="11">
        <f t="shared" si="27"/>
        <v>15</v>
      </c>
      <c r="E820" t="s">
        <v>6</v>
      </c>
      <c r="F820">
        <v>67.7</v>
      </c>
      <c r="G820">
        <f t="shared" si="28"/>
        <v>67.7</v>
      </c>
      <c r="I820" s="5">
        <f t="shared" si="29"/>
        <v>330</v>
      </c>
      <c r="M820" s="2">
        <v>43064</v>
      </c>
    </row>
    <row r="821" spans="1:13" x14ac:dyDescent="0.25">
      <c r="A821" t="s">
        <v>12</v>
      </c>
      <c r="B821" s="2">
        <v>43116</v>
      </c>
      <c r="C821">
        <v>2018</v>
      </c>
      <c r="D821" s="11">
        <f t="shared" si="27"/>
        <v>16</v>
      </c>
      <c r="E821" t="s">
        <v>6</v>
      </c>
      <c r="F821">
        <v>63.1</v>
      </c>
      <c r="G821">
        <f t="shared" si="28"/>
        <v>63.1</v>
      </c>
      <c r="I821" s="5">
        <f t="shared" si="29"/>
        <v>331</v>
      </c>
      <c r="M821" s="2">
        <v>43065</v>
      </c>
    </row>
    <row r="822" spans="1:13" x14ac:dyDescent="0.25">
      <c r="A822" t="s">
        <v>12</v>
      </c>
      <c r="B822" s="2">
        <v>43116</v>
      </c>
      <c r="C822">
        <v>2018</v>
      </c>
      <c r="D822" s="11">
        <f t="shared" si="27"/>
        <v>16</v>
      </c>
      <c r="E822" t="s">
        <v>6</v>
      </c>
      <c r="F822">
        <v>68.400000000000006</v>
      </c>
      <c r="G822">
        <f t="shared" si="28"/>
        <v>68.400000000000006</v>
      </c>
      <c r="I822" s="5">
        <f t="shared" si="29"/>
        <v>326</v>
      </c>
      <c r="M822" s="2">
        <v>43060</v>
      </c>
    </row>
    <row r="823" spans="1:13" x14ac:dyDescent="0.25">
      <c r="A823" t="s">
        <v>12</v>
      </c>
      <c r="B823" s="2">
        <v>43150</v>
      </c>
      <c r="C823">
        <v>2018</v>
      </c>
      <c r="D823" s="11">
        <f t="shared" si="27"/>
        <v>50</v>
      </c>
      <c r="E823" t="s">
        <v>6</v>
      </c>
      <c r="F823">
        <v>81.5</v>
      </c>
      <c r="G823">
        <f t="shared" si="28"/>
        <v>81.5</v>
      </c>
      <c r="I823" s="5">
        <f t="shared" si="29"/>
        <v>331</v>
      </c>
      <c r="M823" s="2">
        <v>43065</v>
      </c>
    </row>
    <row r="824" spans="1:13" x14ac:dyDescent="0.25">
      <c r="A824" t="s">
        <v>12</v>
      </c>
      <c r="B824" s="2">
        <v>43150</v>
      </c>
      <c r="C824">
        <v>2018</v>
      </c>
      <c r="D824" s="11">
        <f t="shared" si="27"/>
        <v>50</v>
      </c>
      <c r="E824" t="s">
        <v>6</v>
      </c>
      <c r="F824">
        <v>88</v>
      </c>
      <c r="G824">
        <f t="shared" si="28"/>
        <v>88</v>
      </c>
      <c r="I824" s="5">
        <f t="shared" si="29"/>
        <v>327</v>
      </c>
      <c r="M824" s="2">
        <v>43061</v>
      </c>
    </row>
    <row r="825" spans="1:13" x14ac:dyDescent="0.25">
      <c r="A825" t="s">
        <v>12</v>
      </c>
      <c r="B825" s="2">
        <v>43151</v>
      </c>
      <c r="C825">
        <v>2018</v>
      </c>
      <c r="D825" s="11">
        <f t="shared" si="27"/>
        <v>51</v>
      </c>
      <c r="E825" t="s">
        <v>6</v>
      </c>
      <c r="F825">
        <v>77.2</v>
      </c>
      <c r="G825">
        <f t="shared" si="28"/>
        <v>77.2</v>
      </c>
      <c r="I825" s="5">
        <f t="shared" si="29"/>
        <v>336</v>
      </c>
      <c r="M825" s="2">
        <v>43070</v>
      </c>
    </row>
    <row r="826" spans="1:13" x14ac:dyDescent="0.25">
      <c r="A826" t="s">
        <v>12</v>
      </c>
      <c r="B826" s="2">
        <v>43151</v>
      </c>
      <c r="C826">
        <v>2018</v>
      </c>
      <c r="D826" s="11">
        <f t="shared" si="27"/>
        <v>51</v>
      </c>
      <c r="E826" t="s">
        <v>6</v>
      </c>
      <c r="F826">
        <v>84.2</v>
      </c>
      <c r="G826">
        <f t="shared" si="28"/>
        <v>84.2</v>
      </c>
      <c r="I826" s="5">
        <f t="shared" si="29"/>
        <v>330</v>
      </c>
      <c r="M826" s="2">
        <v>43064</v>
      </c>
    </row>
    <row r="827" spans="1:13" x14ac:dyDescent="0.25">
      <c r="A827" t="s">
        <v>12</v>
      </c>
      <c r="B827" s="2">
        <v>43164</v>
      </c>
      <c r="C827">
        <v>2018</v>
      </c>
      <c r="D827" s="11">
        <f t="shared" si="27"/>
        <v>64</v>
      </c>
      <c r="E827" t="s">
        <v>6</v>
      </c>
      <c r="F827">
        <v>88.9</v>
      </c>
      <c r="G827">
        <f t="shared" si="28"/>
        <v>88.9</v>
      </c>
      <c r="I827" s="5">
        <f t="shared" si="29"/>
        <v>334</v>
      </c>
      <c r="M827" s="2">
        <v>43068</v>
      </c>
    </row>
    <row r="828" spans="1:13" x14ac:dyDescent="0.25">
      <c r="A828" t="s">
        <v>12</v>
      </c>
      <c r="B828" s="2">
        <v>43164</v>
      </c>
      <c r="C828">
        <v>2018</v>
      </c>
      <c r="D828" s="11">
        <f t="shared" si="27"/>
        <v>64</v>
      </c>
      <c r="E828" t="s">
        <v>6</v>
      </c>
      <c r="F828">
        <v>93.5</v>
      </c>
      <c r="G828">
        <f t="shared" si="28"/>
        <v>93.5</v>
      </c>
      <c r="I828" s="5">
        <f t="shared" si="29"/>
        <v>331</v>
      </c>
      <c r="M828" s="2">
        <v>43065</v>
      </c>
    </row>
    <row r="829" spans="1:13" x14ac:dyDescent="0.25">
      <c r="A829" t="s">
        <v>12</v>
      </c>
      <c r="B829" s="2">
        <v>43165</v>
      </c>
      <c r="C829">
        <v>2018</v>
      </c>
      <c r="D829" s="11">
        <f t="shared" si="27"/>
        <v>65</v>
      </c>
      <c r="E829" t="s">
        <v>6</v>
      </c>
      <c r="F829">
        <v>88.1</v>
      </c>
      <c r="G829">
        <f t="shared" si="28"/>
        <v>88.1</v>
      </c>
      <c r="I829" s="5">
        <f t="shared" si="29"/>
        <v>326</v>
      </c>
      <c r="M829" s="2">
        <v>43060</v>
      </c>
    </row>
    <row r="830" spans="1:13" x14ac:dyDescent="0.25">
      <c r="A830" t="s">
        <v>12</v>
      </c>
      <c r="B830" s="2">
        <v>43165</v>
      </c>
      <c r="C830">
        <v>2018</v>
      </c>
      <c r="D830" s="11">
        <f t="shared" si="27"/>
        <v>65</v>
      </c>
      <c r="E830" t="s">
        <v>6</v>
      </c>
      <c r="F830">
        <v>94.7</v>
      </c>
      <c r="G830">
        <f t="shared" si="28"/>
        <v>94.7</v>
      </c>
      <c r="I830" s="5">
        <f t="shared" si="29"/>
        <v>331</v>
      </c>
      <c r="M830" s="2">
        <v>43065</v>
      </c>
    </row>
    <row r="831" spans="1:13" x14ac:dyDescent="0.25">
      <c r="A831" t="s">
        <v>12</v>
      </c>
      <c r="B831" s="2">
        <v>43178</v>
      </c>
      <c r="C831">
        <v>2018</v>
      </c>
      <c r="D831" s="11">
        <f t="shared" si="27"/>
        <v>78</v>
      </c>
      <c r="E831" t="s">
        <v>6</v>
      </c>
      <c r="F831">
        <v>92.8</v>
      </c>
      <c r="G831">
        <f t="shared" si="28"/>
        <v>92.8</v>
      </c>
      <c r="I831" s="5">
        <f t="shared" si="29"/>
        <v>327</v>
      </c>
      <c r="M831" s="2">
        <v>43061</v>
      </c>
    </row>
    <row r="832" spans="1:13" x14ac:dyDescent="0.25">
      <c r="A832" t="s">
        <v>12</v>
      </c>
      <c r="B832" s="2">
        <v>43178</v>
      </c>
      <c r="C832">
        <v>2018</v>
      </c>
      <c r="D832" s="11">
        <f t="shared" si="27"/>
        <v>78</v>
      </c>
      <c r="E832" t="s">
        <v>6</v>
      </c>
      <c r="F832">
        <v>100.4</v>
      </c>
      <c r="G832">
        <f t="shared" si="28"/>
        <v>100.4</v>
      </c>
      <c r="I832" s="5">
        <f t="shared" si="29"/>
        <v>336</v>
      </c>
      <c r="M832" s="2">
        <v>43070</v>
      </c>
    </row>
    <row r="833" spans="1:13" x14ac:dyDescent="0.25">
      <c r="A833" t="s">
        <v>12</v>
      </c>
      <c r="B833" s="2">
        <v>43179</v>
      </c>
      <c r="C833">
        <v>2018</v>
      </c>
      <c r="D833" s="11">
        <f t="shared" si="27"/>
        <v>79</v>
      </c>
      <c r="E833" t="s">
        <v>6</v>
      </c>
      <c r="F833">
        <v>93.1</v>
      </c>
      <c r="G833">
        <f t="shared" si="28"/>
        <v>93.1</v>
      </c>
      <c r="I833" s="5">
        <f t="shared" si="29"/>
        <v>330</v>
      </c>
      <c r="M833" s="2">
        <v>43064</v>
      </c>
    </row>
    <row r="834" spans="1:13" x14ac:dyDescent="0.25">
      <c r="A834" t="s">
        <v>12</v>
      </c>
      <c r="B834" s="2">
        <v>43179</v>
      </c>
      <c r="C834">
        <v>2018</v>
      </c>
      <c r="D834" s="11">
        <f t="shared" si="27"/>
        <v>79</v>
      </c>
      <c r="E834" t="s">
        <v>6</v>
      </c>
      <c r="F834">
        <v>96.3</v>
      </c>
      <c r="G834">
        <f t="shared" si="28"/>
        <v>96.3</v>
      </c>
      <c r="I834" s="5">
        <f t="shared" si="29"/>
        <v>334</v>
      </c>
      <c r="M834" s="2">
        <v>43068</v>
      </c>
    </row>
    <row r="835" spans="1:13" x14ac:dyDescent="0.25">
      <c r="A835" t="s">
        <v>12</v>
      </c>
      <c r="B835" s="2">
        <v>43194</v>
      </c>
      <c r="C835">
        <v>2018</v>
      </c>
      <c r="D835" s="11">
        <f t="shared" ref="D835:D898" si="30">B835-DATE(YEAR(B835),1,0)</f>
        <v>94</v>
      </c>
      <c r="E835" t="s">
        <v>6</v>
      </c>
      <c r="F835">
        <v>102.6</v>
      </c>
      <c r="G835">
        <f t="shared" si="28"/>
        <v>102.6</v>
      </c>
      <c r="I835" s="5">
        <f t="shared" si="29"/>
        <v>331</v>
      </c>
      <c r="M835" s="2">
        <v>43065</v>
      </c>
    </row>
    <row r="836" spans="1:13" x14ac:dyDescent="0.25">
      <c r="A836" t="s">
        <v>12</v>
      </c>
      <c r="B836" s="2">
        <v>43194</v>
      </c>
      <c r="C836">
        <v>2018</v>
      </c>
      <c r="D836" s="11">
        <f t="shared" si="30"/>
        <v>94</v>
      </c>
      <c r="E836" t="s">
        <v>6</v>
      </c>
      <c r="F836">
        <v>110.1</v>
      </c>
      <c r="G836">
        <f t="shared" si="28"/>
        <v>110.1</v>
      </c>
      <c r="I836" s="5">
        <f t="shared" si="29"/>
        <v>327</v>
      </c>
      <c r="M836" s="2">
        <v>43061</v>
      </c>
    </row>
    <row r="837" spans="1:13" x14ac:dyDescent="0.25">
      <c r="A837" t="s">
        <v>12</v>
      </c>
      <c r="B837" s="2">
        <v>43195</v>
      </c>
      <c r="C837">
        <v>2018</v>
      </c>
      <c r="D837" s="11">
        <f t="shared" si="30"/>
        <v>95</v>
      </c>
      <c r="E837" t="s">
        <v>6</v>
      </c>
      <c r="F837">
        <v>98.9</v>
      </c>
      <c r="G837">
        <f t="shared" si="28"/>
        <v>98.9</v>
      </c>
      <c r="I837" s="5">
        <f t="shared" si="29"/>
        <v>331</v>
      </c>
      <c r="M837" s="2">
        <v>43065</v>
      </c>
    </row>
    <row r="838" spans="1:13" x14ac:dyDescent="0.25">
      <c r="A838" t="s">
        <v>12</v>
      </c>
      <c r="B838" s="2">
        <v>43195</v>
      </c>
      <c r="C838">
        <v>2018</v>
      </c>
      <c r="D838" s="11">
        <f t="shared" si="30"/>
        <v>95</v>
      </c>
      <c r="E838" t="s">
        <v>6</v>
      </c>
      <c r="F838">
        <v>105.7</v>
      </c>
      <c r="G838">
        <f t="shared" si="28"/>
        <v>105.7</v>
      </c>
      <c r="I838" s="5">
        <f t="shared" si="29"/>
        <v>336</v>
      </c>
      <c r="M838" s="2">
        <v>43070</v>
      </c>
    </row>
    <row r="839" spans="1:13" x14ac:dyDescent="0.25">
      <c r="A839" t="s">
        <v>12</v>
      </c>
      <c r="B839" s="2">
        <v>43200</v>
      </c>
      <c r="C839">
        <v>2018</v>
      </c>
      <c r="D839" s="11">
        <f t="shared" si="30"/>
        <v>100</v>
      </c>
      <c r="E839" t="s">
        <v>6</v>
      </c>
      <c r="F839">
        <v>100.4</v>
      </c>
      <c r="G839">
        <f t="shared" si="28"/>
        <v>100.4</v>
      </c>
      <c r="I839" s="5">
        <f t="shared" si="29"/>
        <v>330</v>
      </c>
      <c r="M839" s="2">
        <v>43064</v>
      </c>
    </row>
    <row r="840" spans="1:13" x14ac:dyDescent="0.25">
      <c r="A840" t="s">
        <v>12</v>
      </c>
      <c r="B840" s="2">
        <v>43200</v>
      </c>
      <c r="C840">
        <v>2018</v>
      </c>
      <c r="D840" s="11">
        <f t="shared" si="30"/>
        <v>100</v>
      </c>
      <c r="E840" t="s">
        <v>6</v>
      </c>
      <c r="F840">
        <v>111.8</v>
      </c>
      <c r="G840">
        <f t="shared" si="28"/>
        <v>111.8</v>
      </c>
      <c r="I840" s="5">
        <f t="shared" si="29"/>
        <v>334</v>
      </c>
      <c r="M840" s="2">
        <v>43068</v>
      </c>
    </row>
    <row r="841" spans="1:13" x14ac:dyDescent="0.25">
      <c r="A841" t="s">
        <v>12</v>
      </c>
      <c r="B841" s="2">
        <v>43201</v>
      </c>
      <c r="C841">
        <v>2018</v>
      </c>
      <c r="D841" s="11">
        <f t="shared" si="30"/>
        <v>101</v>
      </c>
      <c r="E841" t="s">
        <v>6</v>
      </c>
      <c r="F841">
        <v>100.7</v>
      </c>
      <c r="G841">
        <f t="shared" si="28"/>
        <v>100.7</v>
      </c>
      <c r="I841" s="5">
        <f t="shared" si="29"/>
        <v>326</v>
      </c>
      <c r="M841" s="2">
        <v>43060</v>
      </c>
    </row>
    <row r="842" spans="1:13" x14ac:dyDescent="0.25">
      <c r="A842" t="s">
        <v>12</v>
      </c>
      <c r="B842" s="2">
        <v>43201</v>
      </c>
      <c r="C842">
        <v>2018</v>
      </c>
      <c r="D842" s="11">
        <f t="shared" si="30"/>
        <v>101</v>
      </c>
      <c r="E842" t="s">
        <v>6</v>
      </c>
      <c r="F842">
        <v>109.4</v>
      </c>
      <c r="G842">
        <f t="shared" si="28"/>
        <v>109.4</v>
      </c>
      <c r="I842" s="5">
        <f t="shared" si="29"/>
        <v>331</v>
      </c>
      <c r="M842" s="2">
        <v>43065</v>
      </c>
    </row>
    <row r="843" spans="1:13" x14ac:dyDescent="0.25">
      <c r="A843" t="s">
        <v>12</v>
      </c>
      <c r="B843" s="2">
        <v>43206</v>
      </c>
      <c r="C843">
        <v>2018</v>
      </c>
      <c r="D843" s="11">
        <f t="shared" si="30"/>
        <v>106</v>
      </c>
      <c r="E843" t="s">
        <v>6</v>
      </c>
      <c r="F843">
        <v>102.3</v>
      </c>
      <c r="G843">
        <f t="shared" si="28"/>
        <v>102.3</v>
      </c>
      <c r="I843" s="5">
        <f t="shared" si="29"/>
        <v>327</v>
      </c>
      <c r="M843" s="2">
        <v>43061</v>
      </c>
    </row>
    <row r="844" spans="1:13" x14ac:dyDescent="0.25">
      <c r="A844" t="s">
        <v>12</v>
      </c>
      <c r="B844" s="2">
        <v>43206</v>
      </c>
      <c r="C844">
        <v>2018</v>
      </c>
      <c r="D844" s="11">
        <f t="shared" si="30"/>
        <v>106</v>
      </c>
      <c r="E844" t="s">
        <v>6</v>
      </c>
      <c r="F844">
        <v>111.2</v>
      </c>
      <c r="G844">
        <f t="shared" si="28"/>
        <v>111.2</v>
      </c>
      <c r="I844" s="5">
        <f t="shared" si="29"/>
        <v>331</v>
      </c>
      <c r="M844" s="2">
        <v>43065</v>
      </c>
    </row>
    <row r="845" spans="1:13" x14ac:dyDescent="0.25">
      <c r="A845" t="s">
        <v>12</v>
      </c>
      <c r="B845" s="2">
        <v>43209</v>
      </c>
      <c r="C845">
        <v>2018</v>
      </c>
      <c r="D845" s="11">
        <f t="shared" si="30"/>
        <v>109</v>
      </c>
      <c r="E845" t="s">
        <v>6</v>
      </c>
      <c r="F845">
        <v>103.4</v>
      </c>
      <c r="G845">
        <f t="shared" si="28"/>
        <v>103.4</v>
      </c>
      <c r="I845" s="5">
        <f t="shared" si="29"/>
        <v>336</v>
      </c>
      <c r="M845" s="2">
        <v>43070</v>
      </c>
    </row>
    <row r="846" spans="1:13" x14ac:dyDescent="0.25">
      <c r="A846" t="s">
        <v>12</v>
      </c>
      <c r="B846" s="2">
        <v>43209</v>
      </c>
      <c r="C846">
        <v>2018</v>
      </c>
      <c r="D846" s="11">
        <f t="shared" si="30"/>
        <v>109</v>
      </c>
      <c r="E846" t="s">
        <v>6</v>
      </c>
      <c r="F846">
        <v>114.4</v>
      </c>
      <c r="G846">
        <f t="shared" si="28"/>
        <v>114.4</v>
      </c>
      <c r="I846" s="5">
        <f t="shared" si="29"/>
        <v>330</v>
      </c>
      <c r="M846" s="2">
        <v>43064</v>
      </c>
    </row>
    <row r="847" spans="1:13" x14ac:dyDescent="0.25">
      <c r="A847" t="s">
        <v>12</v>
      </c>
      <c r="B847" s="2">
        <v>43215</v>
      </c>
      <c r="C847">
        <v>2018</v>
      </c>
      <c r="D847" s="11">
        <f t="shared" si="30"/>
        <v>115</v>
      </c>
      <c r="E847" t="s">
        <v>6</v>
      </c>
      <c r="F847">
        <v>100.7</v>
      </c>
      <c r="G847">
        <f t="shared" si="28"/>
        <v>100.7</v>
      </c>
      <c r="I847" s="5">
        <f t="shared" si="29"/>
        <v>334</v>
      </c>
      <c r="M847" s="2">
        <v>43068</v>
      </c>
    </row>
    <row r="848" spans="1:13" x14ac:dyDescent="0.25">
      <c r="A848" t="s">
        <v>12</v>
      </c>
      <c r="B848" s="2">
        <v>43215</v>
      </c>
      <c r="C848">
        <v>2018</v>
      </c>
      <c r="D848" s="11">
        <f t="shared" si="30"/>
        <v>115</v>
      </c>
      <c r="E848" t="s">
        <v>6</v>
      </c>
      <c r="F848">
        <v>106.2</v>
      </c>
      <c r="G848">
        <f t="shared" si="28"/>
        <v>106.2</v>
      </c>
      <c r="I848" s="5">
        <f t="shared" si="29"/>
        <v>326</v>
      </c>
      <c r="M848" s="2">
        <v>43060</v>
      </c>
    </row>
    <row r="849" spans="1:13" x14ac:dyDescent="0.25">
      <c r="A849" t="s">
        <v>12</v>
      </c>
      <c r="B849" s="2">
        <v>43215</v>
      </c>
      <c r="C849">
        <v>2018</v>
      </c>
      <c r="D849" s="11">
        <f t="shared" si="30"/>
        <v>115</v>
      </c>
      <c r="E849" t="s">
        <v>6</v>
      </c>
      <c r="F849">
        <v>118.2</v>
      </c>
      <c r="G849">
        <f t="shared" si="28"/>
        <v>118.2</v>
      </c>
      <c r="I849" s="5">
        <f t="shared" si="29"/>
        <v>331</v>
      </c>
      <c r="M849" s="2">
        <v>43065</v>
      </c>
    </row>
    <row r="850" spans="1:13" x14ac:dyDescent="0.25">
      <c r="A850" t="s">
        <v>12</v>
      </c>
      <c r="B850" s="2">
        <v>43215</v>
      </c>
      <c r="C850">
        <v>2018</v>
      </c>
      <c r="D850" s="11">
        <f t="shared" si="30"/>
        <v>115</v>
      </c>
      <c r="E850" t="s">
        <v>6</v>
      </c>
      <c r="F850">
        <v>114.1</v>
      </c>
      <c r="G850">
        <f t="shared" si="28"/>
        <v>114.1</v>
      </c>
      <c r="I850" s="5">
        <f t="shared" si="29"/>
        <v>326</v>
      </c>
      <c r="M850" s="2">
        <v>43060</v>
      </c>
    </row>
    <row r="851" spans="1:13" x14ac:dyDescent="0.25">
      <c r="A851" t="s">
        <v>12</v>
      </c>
      <c r="B851" s="2">
        <v>43221</v>
      </c>
      <c r="C851">
        <v>2018</v>
      </c>
      <c r="D851" s="11">
        <f t="shared" si="30"/>
        <v>121</v>
      </c>
      <c r="E851" t="s">
        <v>6</v>
      </c>
      <c r="F851">
        <v>109.9</v>
      </c>
      <c r="G851">
        <f t="shared" si="28"/>
        <v>109.9</v>
      </c>
      <c r="I851" s="5">
        <f t="shared" si="29"/>
        <v>331</v>
      </c>
      <c r="M851" s="2">
        <v>43065</v>
      </c>
    </row>
    <row r="852" spans="1:13" x14ac:dyDescent="0.25">
      <c r="A852" t="s">
        <v>12</v>
      </c>
      <c r="B852" s="2">
        <v>43221</v>
      </c>
      <c r="C852">
        <v>2018</v>
      </c>
      <c r="D852" s="11">
        <f t="shared" si="30"/>
        <v>121</v>
      </c>
      <c r="E852" t="s">
        <v>6</v>
      </c>
      <c r="F852">
        <v>114.4</v>
      </c>
      <c r="G852">
        <f t="shared" si="28"/>
        <v>114.4</v>
      </c>
      <c r="I852" s="5">
        <f t="shared" si="29"/>
        <v>327</v>
      </c>
      <c r="M852" s="2">
        <v>43061</v>
      </c>
    </row>
    <row r="853" spans="1:13" x14ac:dyDescent="0.25">
      <c r="A853" t="s">
        <v>12</v>
      </c>
      <c r="B853" s="2">
        <v>43221</v>
      </c>
      <c r="C853">
        <v>2018</v>
      </c>
      <c r="D853" s="11">
        <f t="shared" si="30"/>
        <v>121</v>
      </c>
      <c r="E853" t="s">
        <v>6</v>
      </c>
      <c r="F853">
        <v>118.9</v>
      </c>
      <c r="G853">
        <f t="shared" si="28"/>
        <v>118.9</v>
      </c>
      <c r="I853" s="5">
        <f t="shared" si="29"/>
        <v>336</v>
      </c>
      <c r="M853" s="2">
        <v>43070</v>
      </c>
    </row>
    <row r="854" spans="1:13" x14ac:dyDescent="0.25">
      <c r="A854" t="s">
        <v>12</v>
      </c>
      <c r="B854" s="2">
        <v>43221</v>
      </c>
      <c r="C854">
        <v>2018</v>
      </c>
      <c r="D854" s="11">
        <f t="shared" si="30"/>
        <v>121</v>
      </c>
      <c r="E854" t="s">
        <v>6</v>
      </c>
      <c r="F854">
        <v>120.6</v>
      </c>
      <c r="G854">
        <f t="shared" si="28"/>
        <v>120.6</v>
      </c>
      <c r="I854" s="5">
        <f t="shared" si="29"/>
        <v>330</v>
      </c>
      <c r="M854" s="2">
        <v>43064</v>
      </c>
    </row>
    <row r="855" spans="1:13" x14ac:dyDescent="0.25">
      <c r="A855" t="s">
        <v>12</v>
      </c>
      <c r="B855" s="2">
        <v>43234</v>
      </c>
      <c r="C855">
        <v>2018</v>
      </c>
      <c r="D855" s="11">
        <f t="shared" si="30"/>
        <v>134</v>
      </c>
      <c r="E855" t="s">
        <v>6</v>
      </c>
      <c r="F855">
        <v>109.5</v>
      </c>
      <c r="G855">
        <f t="shared" si="28"/>
        <v>109.5</v>
      </c>
      <c r="I855" s="5">
        <f t="shared" si="29"/>
        <v>334</v>
      </c>
      <c r="M855" s="2">
        <v>43068</v>
      </c>
    </row>
    <row r="856" spans="1:13" x14ac:dyDescent="0.25">
      <c r="A856" t="s">
        <v>12</v>
      </c>
      <c r="B856" s="2">
        <v>43234</v>
      </c>
      <c r="C856">
        <v>2018</v>
      </c>
      <c r="D856" s="11">
        <f t="shared" si="30"/>
        <v>134</v>
      </c>
      <c r="E856" t="s">
        <v>6</v>
      </c>
      <c r="F856">
        <v>118.4</v>
      </c>
      <c r="G856">
        <f t="shared" si="28"/>
        <v>118.4</v>
      </c>
      <c r="I856" s="5">
        <f t="shared" si="29"/>
        <v>331</v>
      </c>
      <c r="M856" s="2">
        <v>43065</v>
      </c>
    </row>
    <row r="857" spans="1:13" x14ac:dyDescent="0.25">
      <c r="A857" t="s">
        <v>12</v>
      </c>
      <c r="B857" s="2">
        <v>43235</v>
      </c>
      <c r="C857">
        <v>2018</v>
      </c>
      <c r="D857" s="11">
        <f t="shared" si="30"/>
        <v>135</v>
      </c>
      <c r="E857" t="s">
        <v>6</v>
      </c>
      <c r="F857">
        <v>107</v>
      </c>
      <c r="G857">
        <f t="shared" si="28"/>
        <v>107</v>
      </c>
      <c r="I857" s="5">
        <f t="shared" si="29"/>
        <v>326</v>
      </c>
      <c r="M857" s="2">
        <v>43060</v>
      </c>
    </row>
    <row r="858" spans="1:13" x14ac:dyDescent="0.25">
      <c r="A858" t="s">
        <v>12</v>
      </c>
      <c r="B858" s="2">
        <v>43235</v>
      </c>
      <c r="C858">
        <v>2018</v>
      </c>
      <c r="D858" s="11">
        <f t="shared" si="30"/>
        <v>135</v>
      </c>
      <c r="E858" t="s">
        <v>6</v>
      </c>
      <c r="F858">
        <v>116.6</v>
      </c>
      <c r="G858">
        <f t="shared" si="28"/>
        <v>116.6</v>
      </c>
      <c r="I858" s="5">
        <f t="shared" si="29"/>
        <v>331</v>
      </c>
      <c r="M858" s="2">
        <v>43065</v>
      </c>
    </row>
    <row r="859" spans="1:13" x14ac:dyDescent="0.25">
      <c r="A859" t="s">
        <v>12</v>
      </c>
      <c r="B859" s="2">
        <v>43248</v>
      </c>
      <c r="C859">
        <v>2018</v>
      </c>
      <c r="D859" s="11">
        <f t="shared" si="30"/>
        <v>148</v>
      </c>
      <c r="E859" t="s">
        <v>6</v>
      </c>
      <c r="F859">
        <v>112.9</v>
      </c>
      <c r="G859">
        <f t="shared" si="28"/>
        <v>112.9</v>
      </c>
      <c r="I859" s="5">
        <f t="shared" si="29"/>
        <v>327</v>
      </c>
      <c r="M859" s="2">
        <v>43061</v>
      </c>
    </row>
    <row r="860" spans="1:13" x14ac:dyDescent="0.25">
      <c r="A860" t="s">
        <v>12</v>
      </c>
      <c r="B860" s="2">
        <v>43248</v>
      </c>
      <c r="C860">
        <v>2018</v>
      </c>
      <c r="D860" s="11">
        <f t="shared" si="30"/>
        <v>148</v>
      </c>
      <c r="E860" t="s">
        <v>6</v>
      </c>
      <c r="F860">
        <v>118.1</v>
      </c>
      <c r="G860">
        <f t="shared" si="28"/>
        <v>118.1</v>
      </c>
      <c r="I860" s="5">
        <f t="shared" si="29"/>
        <v>336</v>
      </c>
      <c r="M860" s="2">
        <v>43070</v>
      </c>
    </row>
    <row r="861" spans="1:13" x14ac:dyDescent="0.25">
      <c r="A861" t="s">
        <v>12</v>
      </c>
      <c r="B861" s="2">
        <v>43249</v>
      </c>
      <c r="C861">
        <v>2018</v>
      </c>
      <c r="D861" s="11">
        <f t="shared" si="30"/>
        <v>149</v>
      </c>
      <c r="E861" t="s">
        <v>6</v>
      </c>
      <c r="F861">
        <v>104.3</v>
      </c>
      <c r="G861">
        <f t="shared" si="28"/>
        <v>104.3</v>
      </c>
      <c r="I861" s="5">
        <f t="shared" si="29"/>
        <v>330</v>
      </c>
      <c r="M861" s="2">
        <v>43064</v>
      </c>
    </row>
    <row r="862" spans="1:13" x14ac:dyDescent="0.25">
      <c r="A862" t="s">
        <v>12</v>
      </c>
      <c r="B862" s="2">
        <v>43249</v>
      </c>
      <c r="C862">
        <v>2018</v>
      </c>
      <c r="D862" s="11">
        <f t="shared" si="30"/>
        <v>149</v>
      </c>
      <c r="E862" t="s">
        <v>6</v>
      </c>
      <c r="F862">
        <v>118.2</v>
      </c>
      <c r="G862">
        <f t="shared" si="28"/>
        <v>118.2</v>
      </c>
      <c r="I862" s="5">
        <f t="shared" si="29"/>
        <v>334</v>
      </c>
      <c r="M862" s="2">
        <v>43068</v>
      </c>
    </row>
    <row r="863" spans="1:13" x14ac:dyDescent="0.25">
      <c r="A863" t="s">
        <v>13</v>
      </c>
      <c r="B863" s="2">
        <v>43479</v>
      </c>
      <c r="C863">
        <v>2019</v>
      </c>
      <c r="D863" s="11">
        <f t="shared" si="30"/>
        <v>14</v>
      </c>
      <c r="E863" t="s">
        <v>6</v>
      </c>
      <c r="F863">
        <v>52.3</v>
      </c>
      <c r="G863">
        <f t="shared" si="28"/>
        <v>52.3</v>
      </c>
      <c r="I863" s="5">
        <f t="shared" si="29"/>
        <v>324</v>
      </c>
      <c r="M863" s="2">
        <v>43423</v>
      </c>
    </row>
    <row r="864" spans="1:13" x14ac:dyDescent="0.25">
      <c r="A864" t="s">
        <v>13</v>
      </c>
      <c r="B864" s="2">
        <v>43515</v>
      </c>
      <c r="C864">
        <v>2019</v>
      </c>
      <c r="D864" s="11">
        <f t="shared" si="30"/>
        <v>50</v>
      </c>
      <c r="E864" t="s">
        <v>6</v>
      </c>
      <c r="F864">
        <v>72.099999999999994</v>
      </c>
      <c r="G864">
        <f t="shared" si="28"/>
        <v>72.099999999999994</v>
      </c>
      <c r="I864" s="5">
        <f t="shared" si="29"/>
        <v>329</v>
      </c>
      <c r="M864" s="2">
        <v>43428</v>
      </c>
    </row>
    <row r="865" spans="1:13" x14ac:dyDescent="0.25">
      <c r="A865" t="s">
        <v>13</v>
      </c>
      <c r="B865" s="2">
        <v>43529</v>
      </c>
      <c r="C865">
        <v>2019</v>
      </c>
      <c r="D865" s="11">
        <f t="shared" si="30"/>
        <v>64</v>
      </c>
      <c r="E865" t="s">
        <v>6</v>
      </c>
      <c r="F865">
        <v>78.900000000000006</v>
      </c>
      <c r="G865">
        <f t="shared" si="28"/>
        <v>78.900000000000006</v>
      </c>
      <c r="I865" s="5">
        <f t="shared" si="29"/>
        <v>333</v>
      </c>
      <c r="M865" s="2">
        <v>43432</v>
      </c>
    </row>
    <row r="866" spans="1:13" x14ac:dyDescent="0.25">
      <c r="A866" t="s">
        <v>13</v>
      </c>
      <c r="B866" s="2">
        <v>43543</v>
      </c>
      <c r="C866">
        <v>2019</v>
      </c>
      <c r="D866" s="11">
        <f t="shared" si="30"/>
        <v>78</v>
      </c>
      <c r="E866" t="s">
        <v>6</v>
      </c>
      <c r="F866">
        <v>90.7</v>
      </c>
      <c r="G866">
        <f t="shared" si="28"/>
        <v>90.7</v>
      </c>
      <c r="I866" s="5">
        <f t="shared" si="29"/>
        <v>325</v>
      </c>
      <c r="M866" s="2">
        <v>43424</v>
      </c>
    </row>
    <row r="867" spans="1:13" x14ac:dyDescent="0.25">
      <c r="A867" t="s">
        <v>13</v>
      </c>
      <c r="B867" s="2">
        <v>43557</v>
      </c>
      <c r="C867">
        <v>2019</v>
      </c>
      <c r="D867" s="11">
        <f t="shared" si="30"/>
        <v>92</v>
      </c>
      <c r="E867" t="s">
        <v>6</v>
      </c>
      <c r="F867">
        <v>98</v>
      </c>
      <c r="G867">
        <f t="shared" si="28"/>
        <v>98</v>
      </c>
      <c r="I867" s="5">
        <f t="shared" si="29"/>
        <v>331</v>
      </c>
      <c r="M867" s="2">
        <v>43430</v>
      </c>
    </row>
    <row r="868" spans="1:13" x14ac:dyDescent="0.25">
      <c r="A868" t="s">
        <v>13</v>
      </c>
      <c r="B868" s="2">
        <v>43564</v>
      </c>
      <c r="C868">
        <v>2019</v>
      </c>
      <c r="D868" s="11">
        <f t="shared" si="30"/>
        <v>99</v>
      </c>
      <c r="E868" t="s">
        <v>6</v>
      </c>
      <c r="F868">
        <v>100.2</v>
      </c>
      <c r="G868">
        <f t="shared" si="28"/>
        <v>100.2</v>
      </c>
      <c r="I868" s="5">
        <f t="shared" si="29"/>
        <v>325</v>
      </c>
      <c r="M868" s="2">
        <v>43424</v>
      </c>
    </row>
    <row r="869" spans="1:13" x14ac:dyDescent="0.25">
      <c r="A869" t="s">
        <v>13</v>
      </c>
      <c r="B869" s="2">
        <v>43570</v>
      </c>
      <c r="C869">
        <v>2019</v>
      </c>
      <c r="D869" s="11">
        <f t="shared" si="30"/>
        <v>105</v>
      </c>
      <c r="E869" t="s">
        <v>6</v>
      </c>
      <c r="F869">
        <v>104.2</v>
      </c>
      <c r="G869">
        <f t="shared" si="28"/>
        <v>104.2</v>
      </c>
      <c r="I869" s="5">
        <f t="shared" si="29"/>
        <v>324</v>
      </c>
      <c r="M869" s="2">
        <v>43423</v>
      </c>
    </row>
    <row r="870" spans="1:13" x14ac:dyDescent="0.25">
      <c r="A870" t="s">
        <v>13</v>
      </c>
      <c r="B870" s="2">
        <v>43577</v>
      </c>
      <c r="C870">
        <v>2019</v>
      </c>
      <c r="D870" s="11">
        <f t="shared" si="30"/>
        <v>112</v>
      </c>
      <c r="E870" t="s">
        <v>6</v>
      </c>
      <c r="F870">
        <v>100.3</v>
      </c>
      <c r="G870" s="7">
        <f>Calculations!D5</f>
        <v>102.96549774864684</v>
      </c>
      <c r="H870" t="s">
        <v>27</v>
      </c>
      <c r="I870" s="5">
        <f t="shared" si="29"/>
        <v>329</v>
      </c>
      <c r="M870" s="2">
        <v>43428</v>
      </c>
    </row>
    <row r="871" spans="1:13" x14ac:dyDescent="0.25">
      <c r="A871" t="s">
        <v>13</v>
      </c>
      <c r="B871" s="2">
        <v>43584</v>
      </c>
      <c r="C871">
        <v>2019</v>
      </c>
      <c r="D871" s="11">
        <f t="shared" si="30"/>
        <v>119</v>
      </c>
      <c r="E871" t="s">
        <v>6</v>
      </c>
      <c r="F871">
        <v>93.8</v>
      </c>
      <c r="G871">
        <f t="shared" ref="G871:G934" si="31">F871</f>
        <v>93.8</v>
      </c>
      <c r="I871" s="5">
        <f t="shared" ref="I871:I934" si="32" xml:space="preserve"> DATEDIF(DATE(YEAR(M871),1,0),M871,"d")+1</f>
        <v>325</v>
      </c>
      <c r="M871" s="2">
        <v>43424</v>
      </c>
    </row>
    <row r="872" spans="1:13" x14ac:dyDescent="0.25">
      <c r="A872" t="s">
        <v>13</v>
      </c>
      <c r="B872" s="2">
        <v>43613</v>
      </c>
      <c r="C872">
        <v>2019</v>
      </c>
      <c r="D872" s="11">
        <f t="shared" si="30"/>
        <v>148</v>
      </c>
      <c r="E872" t="s">
        <v>6</v>
      </c>
      <c r="F872">
        <v>105.9</v>
      </c>
      <c r="G872">
        <f t="shared" si="31"/>
        <v>105.9</v>
      </c>
      <c r="I872" s="5">
        <f t="shared" si="32"/>
        <v>325</v>
      </c>
      <c r="M872" s="2">
        <v>43424</v>
      </c>
    </row>
    <row r="873" spans="1:13" x14ac:dyDescent="0.25">
      <c r="A873" t="s">
        <v>13</v>
      </c>
      <c r="B873" s="2">
        <v>43479</v>
      </c>
      <c r="C873">
        <v>2019</v>
      </c>
      <c r="D873" s="11">
        <f t="shared" si="30"/>
        <v>14</v>
      </c>
      <c r="E873" t="s">
        <v>6</v>
      </c>
      <c r="F873">
        <v>56.6</v>
      </c>
      <c r="G873">
        <f t="shared" si="31"/>
        <v>56.6</v>
      </c>
      <c r="I873" s="5">
        <f t="shared" si="32"/>
        <v>333</v>
      </c>
      <c r="M873" s="2">
        <v>43432</v>
      </c>
    </row>
    <row r="874" spans="1:13" x14ac:dyDescent="0.25">
      <c r="A874" t="s">
        <v>13</v>
      </c>
      <c r="B874" s="2">
        <v>43515</v>
      </c>
      <c r="C874">
        <v>2019</v>
      </c>
      <c r="D874" s="11">
        <f t="shared" si="30"/>
        <v>50</v>
      </c>
      <c r="E874" t="s">
        <v>6</v>
      </c>
      <c r="F874">
        <v>75.3</v>
      </c>
      <c r="G874">
        <f t="shared" si="31"/>
        <v>75.3</v>
      </c>
      <c r="I874" s="5">
        <f t="shared" si="32"/>
        <v>331</v>
      </c>
      <c r="M874" s="2">
        <v>43430</v>
      </c>
    </row>
    <row r="875" spans="1:13" x14ac:dyDescent="0.25">
      <c r="A875" t="s">
        <v>13</v>
      </c>
      <c r="B875" s="2">
        <v>43529</v>
      </c>
      <c r="C875">
        <v>2019</v>
      </c>
      <c r="D875" s="11">
        <f t="shared" si="30"/>
        <v>64</v>
      </c>
      <c r="E875" t="s">
        <v>6</v>
      </c>
      <c r="F875">
        <v>82.6</v>
      </c>
      <c r="G875">
        <f t="shared" si="31"/>
        <v>82.6</v>
      </c>
      <c r="I875" s="5">
        <f t="shared" si="32"/>
        <v>329</v>
      </c>
      <c r="M875" s="2">
        <v>43428</v>
      </c>
    </row>
    <row r="876" spans="1:13" x14ac:dyDescent="0.25">
      <c r="A876" t="s">
        <v>13</v>
      </c>
      <c r="B876" s="2">
        <v>43543</v>
      </c>
      <c r="C876">
        <v>2019</v>
      </c>
      <c r="D876" s="11">
        <f t="shared" si="30"/>
        <v>78</v>
      </c>
      <c r="E876" t="s">
        <v>6</v>
      </c>
      <c r="F876">
        <v>92.1</v>
      </c>
      <c r="G876">
        <f t="shared" si="31"/>
        <v>92.1</v>
      </c>
      <c r="I876" s="5">
        <f t="shared" si="32"/>
        <v>325</v>
      </c>
      <c r="M876" s="2">
        <v>43424</v>
      </c>
    </row>
    <row r="877" spans="1:13" x14ac:dyDescent="0.25">
      <c r="A877" t="s">
        <v>13</v>
      </c>
      <c r="B877" s="2">
        <v>43557</v>
      </c>
      <c r="C877">
        <v>2019</v>
      </c>
      <c r="D877" s="11">
        <f t="shared" si="30"/>
        <v>92</v>
      </c>
      <c r="E877" t="s">
        <v>6</v>
      </c>
      <c r="F877">
        <v>104</v>
      </c>
      <c r="G877">
        <f t="shared" si="31"/>
        <v>104</v>
      </c>
      <c r="I877" s="5">
        <f t="shared" si="32"/>
        <v>325</v>
      </c>
      <c r="M877" s="2">
        <v>43424</v>
      </c>
    </row>
    <row r="878" spans="1:13" x14ac:dyDescent="0.25">
      <c r="A878" t="s">
        <v>13</v>
      </c>
      <c r="B878" s="2">
        <v>43564</v>
      </c>
      <c r="C878">
        <v>2019</v>
      </c>
      <c r="D878" s="11">
        <f t="shared" si="30"/>
        <v>99</v>
      </c>
      <c r="E878" t="s">
        <v>6</v>
      </c>
      <c r="F878">
        <v>100.7</v>
      </c>
      <c r="G878">
        <f t="shared" si="31"/>
        <v>100.7</v>
      </c>
      <c r="I878" s="5">
        <f t="shared" si="32"/>
        <v>324</v>
      </c>
      <c r="M878" s="2">
        <v>43423</v>
      </c>
    </row>
    <row r="879" spans="1:13" x14ac:dyDescent="0.25">
      <c r="A879" t="s">
        <v>13</v>
      </c>
      <c r="B879" s="2">
        <v>43570</v>
      </c>
      <c r="C879">
        <v>2019</v>
      </c>
      <c r="D879" s="11">
        <f t="shared" si="30"/>
        <v>105</v>
      </c>
      <c r="E879" t="s">
        <v>6</v>
      </c>
      <c r="F879">
        <v>100.9</v>
      </c>
      <c r="G879">
        <f t="shared" si="31"/>
        <v>100.9</v>
      </c>
      <c r="I879" s="5">
        <f t="shared" si="32"/>
        <v>333</v>
      </c>
      <c r="M879" s="2">
        <v>43432</v>
      </c>
    </row>
    <row r="880" spans="1:13" x14ac:dyDescent="0.25">
      <c r="A880" t="s">
        <v>13</v>
      </c>
      <c r="B880" s="2">
        <v>43577</v>
      </c>
      <c r="C880">
        <v>2019</v>
      </c>
      <c r="D880" s="11">
        <f t="shared" si="30"/>
        <v>112</v>
      </c>
      <c r="E880" t="s">
        <v>6</v>
      </c>
      <c r="F880">
        <v>105.2</v>
      </c>
      <c r="G880">
        <f t="shared" si="31"/>
        <v>105.2</v>
      </c>
      <c r="I880" s="5">
        <f t="shared" si="32"/>
        <v>331</v>
      </c>
      <c r="M880" s="2">
        <v>43430</v>
      </c>
    </row>
    <row r="881" spans="1:13" x14ac:dyDescent="0.25">
      <c r="A881" t="s">
        <v>13</v>
      </c>
      <c r="B881" s="2">
        <v>43584</v>
      </c>
      <c r="C881">
        <v>2019</v>
      </c>
      <c r="D881" s="11">
        <f t="shared" si="30"/>
        <v>119</v>
      </c>
      <c r="E881" t="s">
        <v>6</v>
      </c>
      <c r="F881">
        <v>93.4</v>
      </c>
      <c r="G881">
        <f t="shared" si="31"/>
        <v>93.4</v>
      </c>
      <c r="I881" s="5">
        <f t="shared" si="32"/>
        <v>325</v>
      </c>
      <c r="M881" s="2">
        <v>43424</v>
      </c>
    </row>
    <row r="882" spans="1:13" x14ac:dyDescent="0.25">
      <c r="A882" t="s">
        <v>13</v>
      </c>
      <c r="B882" s="2">
        <v>43613</v>
      </c>
      <c r="C882">
        <v>2019</v>
      </c>
      <c r="D882" s="11">
        <f t="shared" si="30"/>
        <v>148</v>
      </c>
      <c r="E882" t="s">
        <v>6</v>
      </c>
      <c r="F882">
        <v>109.8</v>
      </c>
      <c r="G882">
        <f t="shared" si="31"/>
        <v>109.8</v>
      </c>
      <c r="I882" s="5">
        <f t="shared" si="32"/>
        <v>325</v>
      </c>
      <c r="M882" s="2">
        <v>43424</v>
      </c>
    </row>
    <row r="883" spans="1:13" x14ac:dyDescent="0.25">
      <c r="A883" t="s">
        <v>13</v>
      </c>
      <c r="B883" s="2">
        <v>43479</v>
      </c>
      <c r="C883">
        <v>2019</v>
      </c>
      <c r="D883" s="11">
        <f t="shared" si="30"/>
        <v>14</v>
      </c>
      <c r="E883" t="s">
        <v>6</v>
      </c>
      <c r="F883">
        <v>58.2</v>
      </c>
      <c r="G883">
        <f t="shared" si="31"/>
        <v>58.2</v>
      </c>
      <c r="I883" s="5">
        <f t="shared" si="32"/>
        <v>324</v>
      </c>
      <c r="M883" s="2">
        <v>43423</v>
      </c>
    </row>
    <row r="884" spans="1:13" x14ac:dyDescent="0.25">
      <c r="A884" t="s">
        <v>13</v>
      </c>
      <c r="B884" s="2">
        <v>43479</v>
      </c>
      <c r="C884">
        <v>2019</v>
      </c>
      <c r="D884" s="11">
        <f t="shared" si="30"/>
        <v>14</v>
      </c>
      <c r="E884" t="s">
        <v>6</v>
      </c>
      <c r="F884">
        <v>57.8</v>
      </c>
      <c r="G884">
        <f t="shared" si="31"/>
        <v>57.8</v>
      </c>
      <c r="I884" s="5">
        <f t="shared" si="32"/>
        <v>333</v>
      </c>
      <c r="M884" s="2">
        <v>43432</v>
      </c>
    </row>
    <row r="885" spans="1:13" x14ac:dyDescent="0.25">
      <c r="A885" t="s">
        <v>13</v>
      </c>
      <c r="B885" s="2">
        <v>43479</v>
      </c>
      <c r="C885">
        <v>2019</v>
      </c>
      <c r="D885" s="11">
        <f t="shared" si="30"/>
        <v>14</v>
      </c>
      <c r="E885" t="s">
        <v>6</v>
      </c>
      <c r="F885">
        <v>64.400000000000006</v>
      </c>
      <c r="G885">
        <f t="shared" si="31"/>
        <v>64.400000000000006</v>
      </c>
      <c r="I885" s="5">
        <f t="shared" si="32"/>
        <v>331</v>
      </c>
      <c r="M885" s="2">
        <v>43430</v>
      </c>
    </row>
    <row r="886" spans="1:13" x14ac:dyDescent="0.25">
      <c r="A886" t="s">
        <v>13</v>
      </c>
      <c r="B886" s="2">
        <v>43479</v>
      </c>
      <c r="C886">
        <v>2019</v>
      </c>
      <c r="D886" s="11">
        <f t="shared" si="30"/>
        <v>14</v>
      </c>
      <c r="E886" t="s">
        <v>6</v>
      </c>
      <c r="F886">
        <v>50.5</v>
      </c>
      <c r="G886">
        <f t="shared" si="31"/>
        <v>50.5</v>
      </c>
      <c r="I886" s="5">
        <f t="shared" si="32"/>
        <v>324</v>
      </c>
      <c r="M886" s="2">
        <v>43423</v>
      </c>
    </row>
    <row r="887" spans="1:13" x14ac:dyDescent="0.25">
      <c r="A887" t="s">
        <v>13</v>
      </c>
      <c r="B887" s="2">
        <v>43514</v>
      </c>
      <c r="C887">
        <v>2019</v>
      </c>
      <c r="D887" s="11">
        <f t="shared" si="30"/>
        <v>49</v>
      </c>
      <c r="E887" t="s">
        <v>6</v>
      </c>
      <c r="F887">
        <v>81.599999999999994</v>
      </c>
      <c r="G887">
        <f t="shared" si="31"/>
        <v>81.599999999999994</v>
      </c>
      <c r="I887" s="5">
        <f t="shared" si="32"/>
        <v>329</v>
      </c>
      <c r="M887" s="2">
        <v>43428</v>
      </c>
    </row>
    <row r="888" spans="1:13" x14ac:dyDescent="0.25">
      <c r="A888" t="s">
        <v>13</v>
      </c>
      <c r="B888" s="2">
        <v>43514</v>
      </c>
      <c r="C888">
        <v>2019</v>
      </c>
      <c r="D888" s="11">
        <f t="shared" si="30"/>
        <v>49</v>
      </c>
      <c r="E888" t="s">
        <v>6</v>
      </c>
      <c r="F888">
        <v>85.6</v>
      </c>
      <c r="G888">
        <f t="shared" si="31"/>
        <v>85.6</v>
      </c>
      <c r="I888" s="5">
        <f t="shared" si="32"/>
        <v>333</v>
      </c>
      <c r="M888" s="2">
        <v>43432</v>
      </c>
    </row>
    <row r="889" spans="1:13" x14ac:dyDescent="0.25">
      <c r="A889" t="s">
        <v>13</v>
      </c>
      <c r="B889" s="2">
        <v>43514</v>
      </c>
      <c r="C889">
        <v>2019</v>
      </c>
      <c r="D889" s="11">
        <f t="shared" si="30"/>
        <v>49</v>
      </c>
      <c r="E889" t="s">
        <v>6</v>
      </c>
      <c r="F889">
        <v>87.8</v>
      </c>
      <c r="G889">
        <f t="shared" si="31"/>
        <v>87.8</v>
      </c>
      <c r="I889" s="5">
        <f t="shared" si="32"/>
        <v>325</v>
      </c>
      <c r="M889" s="2">
        <v>43424</v>
      </c>
    </row>
    <row r="890" spans="1:13" x14ac:dyDescent="0.25">
      <c r="A890" t="s">
        <v>13</v>
      </c>
      <c r="B890" s="2">
        <v>43514</v>
      </c>
      <c r="C890">
        <v>2019</v>
      </c>
      <c r="D890" s="11">
        <f t="shared" si="30"/>
        <v>49</v>
      </c>
      <c r="E890" t="s">
        <v>6</v>
      </c>
      <c r="F890">
        <v>74.099999999999994</v>
      </c>
      <c r="G890">
        <f t="shared" si="31"/>
        <v>74.099999999999994</v>
      </c>
      <c r="I890" s="5">
        <f t="shared" si="32"/>
        <v>331</v>
      </c>
      <c r="M890" s="2">
        <v>43430</v>
      </c>
    </row>
    <row r="891" spans="1:13" x14ac:dyDescent="0.25">
      <c r="A891" t="s">
        <v>13</v>
      </c>
      <c r="B891" s="2">
        <v>43528</v>
      </c>
      <c r="C891">
        <v>2019</v>
      </c>
      <c r="D891" s="11">
        <f t="shared" si="30"/>
        <v>63</v>
      </c>
      <c r="E891" t="s">
        <v>6</v>
      </c>
      <c r="F891">
        <v>90.8</v>
      </c>
      <c r="G891">
        <f t="shared" si="31"/>
        <v>90.8</v>
      </c>
      <c r="I891" s="5">
        <f t="shared" si="32"/>
        <v>325</v>
      </c>
      <c r="M891" s="2">
        <v>43424</v>
      </c>
    </row>
    <row r="892" spans="1:13" x14ac:dyDescent="0.25">
      <c r="A892" t="s">
        <v>13</v>
      </c>
      <c r="B892" s="2">
        <v>43528</v>
      </c>
      <c r="C892">
        <v>2019</v>
      </c>
      <c r="D892" s="11">
        <f t="shared" si="30"/>
        <v>63</v>
      </c>
      <c r="E892" t="s">
        <v>6</v>
      </c>
      <c r="F892">
        <v>73.5</v>
      </c>
      <c r="G892">
        <f t="shared" si="31"/>
        <v>73.5</v>
      </c>
      <c r="I892" s="5">
        <f t="shared" si="32"/>
        <v>324</v>
      </c>
      <c r="M892" s="2">
        <v>43423</v>
      </c>
    </row>
    <row r="893" spans="1:13" x14ac:dyDescent="0.25">
      <c r="A893" t="s">
        <v>13</v>
      </c>
      <c r="B893" s="2">
        <v>43529</v>
      </c>
      <c r="C893">
        <v>2019</v>
      </c>
      <c r="D893" s="11">
        <f t="shared" si="30"/>
        <v>64</v>
      </c>
      <c r="E893" t="s">
        <v>6</v>
      </c>
      <c r="F893">
        <v>83.8</v>
      </c>
      <c r="G893">
        <f t="shared" si="31"/>
        <v>83.8</v>
      </c>
      <c r="I893" s="5">
        <f t="shared" si="32"/>
        <v>329</v>
      </c>
      <c r="M893" s="2">
        <v>43428</v>
      </c>
    </row>
    <row r="894" spans="1:13" x14ac:dyDescent="0.25">
      <c r="A894" t="s">
        <v>13</v>
      </c>
      <c r="B894" s="2">
        <v>43542</v>
      </c>
      <c r="C894">
        <v>2019</v>
      </c>
      <c r="D894" s="11">
        <f t="shared" si="30"/>
        <v>77</v>
      </c>
      <c r="E894" t="s">
        <v>6</v>
      </c>
      <c r="F894">
        <v>98.2</v>
      </c>
      <c r="G894">
        <f t="shared" si="31"/>
        <v>98.2</v>
      </c>
      <c r="I894" s="5">
        <f t="shared" si="32"/>
        <v>333</v>
      </c>
      <c r="M894" s="2">
        <v>43432</v>
      </c>
    </row>
    <row r="895" spans="1:13" x14ac:dyDescent="0.25">
      <c r="A895" t="s">
        <v>13</v>
      </c>
      <c r="B895" s="2">
        <v>43542</v>
      </c>
      <c r="C895">
        <v>2019</v>
      </c>
      <c r="D895" s="11">
        <f t="shared" si="30"/>
        <v>77</v>
      </c>
      <c r="E895" t="s">
        <v>6</v>
      </c>
      <c r="F895">
        <v>81.7</v>
      </c>
      <c r="G895">
        <f t="shared" si="31"/>
        <v>81.7</v>
      </c>
      <c r="I895" s="5">
        <f t="shared" si="32"/>
        <v>325</v>
      </c>
      <c r="M895" s="2">
        <v>43424</v>
      </c>
    </row>
    <row r="896" spans="1:13" x14ac:dyDescent="0.25">
      <c r="A896" t="s">
        <v>13</v>
      </c>
      <c r="B896" s="2">
        <v>43543</v>
      </c>
      <c r="C896">
        <v>2019</v>
      </c>
      <c r="D896" s="11">
        <f t="shared" si="30"/>
        <v>78</v>
      </c>
      <c r="E896" t="s">
        <v>6</v>
      </c>
      <c r="F896">
        <v>95.2</v>
      </c>
      <c r="G896">
        <f t="shared" si="31"/>
        <v>95.2</v>
      </c>
      <c r="I896" s="5">
        <f t="shared" si="32"/>
        <v>331</v>
      </c>
      <c r="M896" s="2">
        <v>43430</v>
      </c>
    </row>
    <row r="897" spans="1:13" x14ac:dyDescent="0.25">
      <c r="A897" t="s">
        <v>13</v>
      </c>
      <c r="B897" s="2">
        <v>43557</v>
      </c>
      <c r="C897">
        <v>2019</v>
      </c>
      <c r="D897" s="11">
        <f t="shared" si="30"/>
        <v>92</v>
      </c>
      <c r="E897" t="s">
        <v>6</v>
      </c>
      <c r="F897">
        <v>100.7</v>
      </c>
      <c r="G897">
        <f t="shared" si="31"/>
        <v>100.7</v>
      </c>
      <c r="I897" s="5">
        <f t="shared" si="32"/>
        <v>325</v>
      </c>
      <c r="M897" s="2">
        <v>43424</v>
      </c>
    </row>
    <row r="898" spans="1:13" x14ac:dyDescent="0.25">
      <c r="A898" t="s">
        <v>13</v>
      </c>
      <c r="B898" s="2">
        <v>43557</v>
      </c>
      <c r="C898">
        <v>2019</v>
      </c>
      <c r="D898" s="11">
        <f t="shared" si="30"/>
        <v>92</v>
      </c>
      <c r="E898" t="s">
        <v>6</v>
      </c>
      <c r="F898">
        <v>106</v>
      </c>
      <c r="G898">
        <f t="shared" si="31"/>
        <v>106</v>
      </c>
      <c r="I898" s="5">
        <f t="shared" si="32"/>
        <v>324</v>
      </c>
      <c r="M898" s="2">
        <v>43423</v>
      </c>
    </row>
    <row r="899" spans="1:13" x14ac:dyDescent="0.25">
      <c r="A899" t="s">
        <v>13</v>
      </c>
      <c r="B899" s="2">
        <v>43557</v>
      </c>
      <c r="C899">
        <v>2019</v>
      </c>
      <c r="D899" s="11">
        <f t="shared" ref="D899:D962" si="33">B899-DATE(YEAR(B899),1,0)</f>
        <v>92</v>
      </c>
      <c r="E899" t="s">
        <v>6</v>
      </c>
      <c r="F899">
        <v>107.4</v>
      </c>
      <c r="G899">
        <f t="shared" si="31"/>
        <v>107.4</v>
      </c>
      <c r="I899" s="5">
        <f t="shared" si="32"/>
        <v>329</v>
      </c>
      <c r="M899" s="2">
        <v>43428</v>
      </c>
    </row>
    <row r="900" spans="1:13" x14ac:dyDescent="0.25">
      <c r="A900" t="s">
        <v>13</v>
      </c>
      <c r="B900" s="2">
        <v>43557</v>
      </c>
      <c r="C900">
        <v>2019</v>
      </c>
      <c r="D900" s="11">
        <f t="shared" si="33"/>
        <v>92</v>
      </c>
      <c r="E900" t="s">
        <v>6</v>
      </c>
      <c r="F900">
        <v>89.5</v>
      </c>
      <c r="G900">
        <f t="shared" si="31"/>
        <v>89.5</v>
      </c>
      <c r="I900" s="5">
        <f t="shared" si="32"/>
        <v>333</v>
      </c>
      <c r="M900" s="2">
        <v>43432</v>
      </c>
    </row>
    <row r="901" spans="1:13" x14ac:dyDescent="0.25">
      <c r="A901" t="s">
        <v>13</v>
      </c>
      <c r="B901" s="2">
        <v>43564</v>
      </c>
      <c r="C901">
        <v>2019</v>
      </c>
      <c r="D901" s="11">
        <f t="shared" si="33"/>
        <v>99</v>
      </c>
      <c r="E901" t="s">
        <v>6</v>
      </c>
      <c r="F901">
        <v>102.5</v>
      </c>
      <c r="G901">
        <f t="shared" si="31"/>
        <v>102.5</v>
      </c>
      <c r="I901" s="5">
        <f t="shared" si="32"/>
        <v>325</v>
      </c>
      <c r="M901" s="2">
        <v>43424</v>
      </c>
    </row>
    <row r="902" spans="1:13" x14ac:dyDescent="0.25">
      <c r="A902" t="s">
        <v>13</v>
      </c>
      <c r="B902" s="2">
        <v>43564</v>
      </c>
      <c r="C902">
        <v>2019</v>
      </c>
      <c r="D902" s="11">
        <f t="shared" si="33"/>
        <v>99</v>
      </c>
      <c r="E902" t="s">
        <v>6</v>
      </c>
      <c r="F902">
        <v>110.4</v>
      </c>
      <c r="G902">
        <f t="shared" si="31"/>
        <v>110.4</v>
      </c>
      <c r="I902" s="5">
        <f t="shared" si="32"/>
        <v>331</v>
      </c>
      <c r="M902" s="2">
        <v>43430</v>
      </c>
    </row>
    <row r="903" spans="1:13" x14ac:dyDescent="0.25">
      <c r="A903" t="s">
        <v>13</v>
      </c>
      <c r="B903" s="2">
        <v>43564</v>
      </c>
      <c r="C903">
        <v>2019</v>
      </c>
      <c r="D903" s="11">
        <f t="shared" si="33"/>
        <v>99</v>
      </c>
      <c r="E903" t="s">
        <v>6</v>
      </c>
      <c r="F903">
        <v>109</v>
      </c>
      <c r="G903">
        <f t="shared" si="31"/>
        <v>109</v>
      </c>
      <c r="I903" s="5">
        <f t="shared" si="32"/>
        <v>325</v>
      </c>
      <c r="M903" s="2">
        <v>43424</v>
      </c>
    </row>
    <row r="904" spans="1:13" x14ac:dyDescent="0.25">
      <c r="A904" t="s">
        <v>13</v>
      </c>
      <c r="B904" s="2">
        <v>43564</v>
      </c>
      <c r="C904">
        <v>2019</v>
      </c>
      <c r="D904" s="11">
        <f t="shared" si="33"/>
        <v>99</v>
      </c>
      <c r="E904" t="s">
        <v>6</v>
      </c>
      <c r="F904">
        <v>94.3</v>
      </c>
      <c r="G904">
        <f t="shared" si="31"/>
        <v>94.3</v>
      </c>
      <c r="I904" s="5">
        <f t="shared" si="32"/>
        <v>324</v>
      </c>
      <c r="M904" s="2">
        <v>43423</v>
      </c>
    </row>
    <row r="905" spans="1:13" x14ac:dyDescent="0.25">
      <c r="A905" t="s">
        <v>13</v>
      </c>
      <c r="B905" s="2">
        <v>43570</v>
      </c>
      <c r="C905">
        <v>2019</v>
      </c>
      <c r="D905" s="11">
        <f t="shared" si="33"/>
        <v>105</v>
      </c>
      <c r="E905" t="s">
        <v>6</v>
      </c>
      <c r="F905">
        <v>104.4</v>
      </c>
      <c r="G905">
        <f t="shared" si="31"/>
        <v>104.4</v>
      </c>
      <c r="I905" s="5">
        <f t="shared" si="32"/>
        <v>329</v>
      </c>
      <c r="M905" s="2">
        <v>43428</v>
      </c>
    </row>
    <row r="906" spans="1:13" x14ac:dyDescent="0.25">
      <c r="A906" t="s">
        <v>13</v>
      </c>
      <c r="B906" s="2">
        <v>43570</v>
      </c>
      <c r="C906">
        <v>2019</v>
      </c>
      <c r="D906" s="11">
        <f t="shared" si="33"/>
        <v>105</v>
      </c>
      <c r="E906" t="s">
        <v>6</v>
      </c>
      <c r="F906">
        <v>108</v>
      </c>
      <c r="G906">
        <f t="shared" si="31"/>
        <v>108</v>
      </c>
      <c r="I906" s="5">
        <f t="shared" si="32"/>
        <v>333</v>
      </c>
      <c r="M906" s="2">
        <v>43432</v>
      </c>
    </row>
    <row r="907" spans="1:13" x14ac:dyDescent="0.25">
      <c r="A907" t="s">
        <v>13</v>
      </c>
      <c r="B907" s="2">
        <v>43570</v>
      </c>
      <c r="C907">
        <v>2019</v>
      </c>
      <c r="D907" s="11">
        <f t="shared" si="33"/>
        <v>105</v>
      </c>
      <c r="E907" t="s">
        <v>6</v>
      </c>
      <c r="F907">
        <v>113.2</v>
      </c>
      <c r="G907">
        <f t="shared" si="31"/>
        <v>113.2</v>
      </c>
      <c r="I907" s="5">
        <f t="shared" si="32"/>
        <v>325</v>
      </c>
      <c r="M907" s="2">
        <v>43424</v>
      </c>
    </row>
    <row r="908" spans="1:13" x14ac:dyDescent="0.25">
      <c r="A908" t="s">
        <v>13</v>
      </c>
      <c r="B908" s="2">
        <v>43570</v>
      </c>
      <c r="C908">
        <v>2019</v>
      </c>
      <c r="D908" s="11">
        <f t="shared" si="33"/>
        <v>105</v>
      </c>
      <c r="E908" t="s">
        <v>6</v>
      </c>
      <c r="F908">
        <v>94.4</v>
      </c>
      <c r="G908">
        <f t="shared" si="31"/>
        <v>94.4</v>
      </c>
      <c r="I908" s="5">
        <f t="shared" si="32"/>
        <v>331</v>
      </c>
      <c r="M908" s="2">
        <v>43430</v>
      </c>
    </row>
    <row r="909" spans="1:13" x14ac:dyDescent="0.25">
      <c r="A909" t="s">
        <v>13</v>
      </c>
      <c r="B909" s="2">
        <v>43577</v>
      </c>
      <c r="C909">
        <v>2019</v>
      </c>
      <c r="D909" s="11">
        <f t="shared" si="33"/>
        <v>112</v>
      </c>
      <c r="E909" t="s">
        <v>6</v>
      </c>
      <c r="F909">
        <v>102.6</v>
      </c>
      <c r="G909">
        <f t="shared" si="31"/>
        <v>102.6</v>
      </c>
      <c r="I909" s="5">
        <f t="shared" si="32"/>
        <v>325</v>
      </c>
      <c r="M909" s="2">
        <v>43424</v>
      </c>
    </row>
    <row r="910" spans="1:13" x14ac:dyDescent="0.25">
      <c r="A910" t="s">
        <v>13</v>
      </c>
      <c r="B910" s="2">
        <v>43577</v>
      </c>
      <c r="C910">
        <v>2019</v>
      </c>
      <c r="D910" s="11">
        <f t="shared" si="33"/>
        <v>112</v>
      </c>
      <c r="E910" t="s">
        <v>6</v>
      </c>
      <c r="F910">
        <v>110.5</v>
      </c>
      <c r="G910">
        <f t="shared" si="31"/>
        <v>110.5</v>
      </c>
      <c r="I910" s="5">
        <f t="shared" si="32"/>
        <v>324</v>
      </c>
      <c r="M910" s="2">
        <v>43423</v>
      </c>
    </row>
    <row r="911" spans="1:13" x14ac:dyDescent="0.25">
      <c r="A911" t="s">
        <v>13</v>
      </c>
      <c r="B911" s="2">
        <v>43577</v>
      </c>
      <c r="C911">
        <v>2019</v>
      </c>
      <c r="D911" s="11">
        <f t="shared" si="33"/>
        <v>112</v>
      </c>
      <c r="E911" t="s">
        <v>6</v>
      </c>
      <c r="F911">
        <v>108.9</v>
      </c>
      <c r="G911">
        <f t="shared" si="31"/>
        <v>108.9</v>
      </c>
      <c r="I911" s="5">
        <f t="shared" si="32"/>
        <v>329</v>
      </c>
      <c r="M911" s="2">
        <v>43428</v>
      </c>
    </row>
    <row r="912" spans="1:13" x14ac:dyDescent="0.25">
      <c r="A912" t="s">
        <v>13</v>
      </c>
      <c r="B912" s="2">
        <v>43577</v>
      </c>
      <c r="C912">
        <v>2019</v>
      </c>
      <c r="D912" s="11">
        <f t="shared" si="33"/>
        <v>112</v>
      </c>
      <c r="E912" t="s">
        <v>6</v>
      </c>
      <c r="F912">
        <v>95</v>
      </c>
      <c r="G912">
        <f t="shared" si="31"/>
        <v>95</v>
      </c>
      <c r="I912" s="5">
        <f t="shared" si="32"/>
        <v>333</v>
      </c>
      <c r="M912" s="2">
        <v>43432</v>
      </c>
    </row>
    <row r="913" spans="1:13" x14ac:dyDescent="0.25">
      <c r="A913" t="s">
        <v>13</v>
      </c>
      <c r="B913" s="2">
        <v>43584</v>
      </c>
      <c r="C913">
        <v>2019</v>
      </c>
      <c r="D913" s="11">
        <f t="shared" si="33"/>
        <v>119</v>
      </c>
      <c r="E913" t="s">
        <v>6</v>
      </c>
      <c r="F913">
        <v>93.8</v>
      </c>
      <c r="G913">
        <f t="shared" si="31"/>
        <v>93.8</v>
      </c>
      <c r="I913" s="5">
        <f t="shared" si="32"/>
        <v>325</v>
      </c>
      <c r="M913" s="2">
        <v>43424</v>
      </c>
    </row>
    <row r="914" spans="1:13" x14ac:dyDescent="0.25">
      <c r="A914" t="s">
        <v>13</v>
      </c>
      <c r="B914" s="2">
        <v>43584</v>
      </c>
      <c r="C914">
        <v>2019</v>
      </c>
      <c r="D914" s="11">
        <f t="shared" si="33"/>
        <v>119</v>
      </c>
      <c r="E914" t="s">
        <v>6</v>
      </c>
      <c r="F914">
        <v>98.5</v>
      </c>
      <c r="G914">
        <f t="shared" si="31"/>
        <v>98.5</v>
      </c>
      <c r="I914" s="5">
        <f t="shared" si="32"/>
        <v>331</v>
      </c>
      <c r="M914" s="2">
        <v>43430</v>
      </c>
    </row>
    <row r="915" spans="1:13" x14ac:dyDescent="0.25">
      <c r="A915" t="s">
        <v>13</v>
      </c>
      <c r="B915" s="2">
        <v>43584</v>
      </c>
      <c r="C915">
        <v>2019</v>
      </c>
      <c r="D915" s="11">
        <f t="shared" si="33"/>
        <v>119</v>
      </c>
      <c r="E915" t="s">
        <v>6</v>
      </c>
      <c r="F915">
        <v>102.3</v>
      </c>
      <c r="G915">
        <f t="shared" si="31"/>
        <v>102.3</v>
      </c>
      <c r="I915" s="5">
        <f t="shared" si="32"/>
        <v>325</v>
      </c>
      <c r="M915" s="2">
        <v>43424</v>
      </c>
    </row>
    <row r="916" spans="1:13" x14ac:dyDescent="0.25">
      <c r="A916" t="s">
        <v>13</v>
      </c>
      <c r="B916" s="2">
        <v>43584</v>
      </c>
      <c r="C916">
        <v>2019</v>
      </c>
      <c r="D916" s="11">
        <f t="shared" si="33"/>
        <v>119</v>
      </c>
      <c r="E916" t="s">
        <v>6</v>
      </c>
      <c r="F916">
        <v>85.4</v>
      </c>
      <c r="G916">
        <f t="shared" si="31"/>
        <v>85.4</v>
      </c>
      <c r="I916" s="5">
        <f t="shared" si="32"/>
        <v>324</v>
      </c>
      <c r="M916" s="2">
        <v>43423</v>
      </c>
    </row>
    <row r="917" spans="1:13" x14ac:dyDescent="0.25">
      <c r="A917" t="s">
        <v>13</v>
      </c>
      <c r="B917" s="2">
        <v>43612</v>
      </c>
      <c r="C917">
        <v>2019</v>
      </c>
      <c r="D917" s="11">
        <f t="shared" si="33"/>
        <v>147</v>
      </c>
      <c r="E917" t="s">
        <v>6</v>
      </c>
      <c r="F917">
        <v>116.6</v>
      </c>
      <c r="G917">
        <f t="shared" si="31"/>
        <v>116.6</v>
      </c>
      <c r="I917" s="5">
        <f t="shared" si="32"/>
        <v>329</v>
      </c>
      <c r="M917" s="2">
        <v>43428</v>
      </c>
    </row>
    <row r="918" spans="1:13" x14ac:dyDescent="0.25">
      <c r="A918" t="s">
        <v>13</v>
      </c>
      <c r="B918" s="2">
        <v>43612</v>
      </c>
      <c r="C918">
        <v>2019</v>
      </c>
      <c r="D918" s="11">
        <f t="shared" si="33"/>
        <v>147</v>
      </c>
      <c r="E918" t="s">
        <v>6</v>
      </c>
      <c r="F918">
        <v>97.5</v>
      </c>
      <c r="G918">
        <f t="shared" si="31"/>
        <v>97.5</v>
      </c>
      <c r="I918" s="5">
        <f t="shared" si="32"/>
        <v>333</v>
      </c>
      <c r="M918" s="2">
        <v>43432</v>
      </c>
    </row>
    <row r="919" spans="1:13" x14ac:dyDescent="0.25">
      <c r="A919" t="s">
        <v>13</v>
      </c>
      <c r="B919" s="2">
        <v>43613</v>
      </c>
      <c r="C919">
        <v>2019</v>
      </c>
      <c r="D919" s="11">
        <f t="shared" si="33"/>
        <v>148</v>
      </c>
      <c r="E919" t="s">
        <v>6</v>
      </c>
      <c r="F919">
        <v>104.5</v>
      </c>
      <c r="G919">
        <f t="shared" si="31"/>
        <v>104.5</v>
      </c>
      <c r="I919" s="5">
        <f t="shared" si="32"/>
        <v>325</v>
      </c>
      <c r="M919" s="2">
        <v>43424</v>
      </c>
    </row>
    <row r="920" spans="1:13" x14ac:dyDescent="0.25">
      <c r="A920" t="s">
        <v>13</v>
      </c>
      <c r="B920" s="2">
        <v>43613</v>
      </c>
      <c r="C920">
        <v>2019</v>
      </c>
      <c r="D920" s="11">
        <f t="shared" si="33"/>
        <v>148</v>
      </c>
      <c r="E920" t="s">
        <v>6</v>
      </c>
      <c r="F920">
        <v>114</v>
      </c>
      <c r="G920">
        <f t="shared" si="31"/>
        <v>114</v>
      </c>
      <c r="I920" s="5">
        <f t="shared" si="32"/>
        <v>325</v>
      </c>
      <c r="M920" s="2">
        <v>43424</v>
      </c>
    </row>
    <row r="921" spans="1:13" x14ac:dyDescent="0.25">
      <c r="A921" t="s">
        <v>14</v>
      </c>
      <c r="B921" s="2">
        <v>43850</v>
      </c>
      <c r="C921">
        <v>2020</v>
      </c>
      <c r="D921" s="11">
        <f t="shared" si="33"/>
        <v>20</v>
      </c>
      <c r="E921" t="s">
        <v>6</v>
      </c>
      <c r="F921">
        <v>58.7</v>
      </c>
      <c r="G921">
        <f t="shared" si="31"/>
        <v>58.7</v>
      </c>
      <c r="I921" s="5">
        <f t="shared" si="32"/>
        <v>331</v>
      </c>
      <c r="M921" s="2">
        <v>43430</v>
      </c>
    </row>
    <row r="922" spans="1:13" x14ac:dyDescent="0.25">
      <c r="A922" t="s">
        <v>14</v>
      </c>
      <c r="B922" s="2">
        <v>43880</v>
      </c>
      <c r="C922">
        <v>2020</v>
      </c>
      <c r="D922" s="11">
        <f t="shared" si="33"/>
        <v>50</v>
      </c>
      <c r="E922" t="s">
        <v>6</v>
      </c>
      <c r="F922">
        <v>79.599999999999994</v>
      </c>
      <c r="G922">
        <f t="shared" si="31"/>
        <v>79.599999999999994</v>
      </c>
      <c r="I922" s="5">
        <f t="shared" si="32"/>
        <v>325</v>
      </c>
      <c r="M922" s="2">
        <v>43424</v>
      </c>
    </row>
    <row r="923" spans="1:13" x14ac:dyDescent="0.25">
      <c r="A923" t="s">
        <v>14</v>
      </c>
      <c r="B923" s="2">
        <v>43892</v>
      </c>
      <c r="C923">
        <v>2020</v>
      </c>
      <c r="D923" s="11">
        <f t="shared" si="33"/>
        <v>62</v>
      </c>
      <c r="E923" t="s">
        <v>6</v>
      </c>
      <c r="F923">
        <v>77.900000000000006</v>
      </c>
      <c r="G923">
        <f t="shared" si="31"/>
        <v>77.900000000000006</v>
      </c>
      <c r="I923" s="5">
        <f t="shared" si="32"/>
        <v>325</v>
      </c>
      <c r="M923" s="2">
        <v>43424</v>
      </c>
    </row>
    <row r="924" spans="1:13" x14ac:dyDescent="0.25">
      <c r="A924" t="s">
        <v>14</v>
      </c>
      <c r="B924" s="2">
        <v>43906</v>
      </c>
      <c r="C924">
        <v>2020</v>
      </c>
      <c r="D924" s="11">
        <f t="shared" si="33"/>
        <v>76</v>
      </c>
      <c r="E924" t="s">
        <v>6</v>
      </c>
      <c r="F924">
        <v>88</v>
      </c>
      <c r="G924">
        <f t="shared" si="31"/>
        <v>88</v>
      </c>
      <c r="I924" s="5">
        <f t="shared" si="32"/>
        <v>324</v>
      </c>
      <c r="M924" s="2">
        <v>43423</v>
      </c>
    </row>
    <row r="925" spans="1:13" x14ac:dyDescent="0.25">
      <c r="A925" t="s">
        <v>14</v>
      </c>
      <c r="B925" s="2">
        <v>43950</v>
      </c>
      <c r="C925">
        <v>2020</v>
      </c>
      <c r="D925" s="11">
        <f t="shared" si="33"/>
        <v>120</v>
      </c>
      <c r="E925" t="s">
        <v>6</v>
      </c>
      <c r="F925">
        <v>104.6</v>
      </c>
      <c r="G925" s="7">
        <f>Calculations!D6</f>
        <v>105.2151111615288</v>
      </c>
      <c r="H925" t="s">
        <v>27</v>
      </c>
      <c r="I925" s="5">
        <f t="shared" si="32"/>
        <v>329</v>
      </c>
      <c r="M925" s="2">
        <v>43428</v>
      </c>
    </row>
    <row r="926" spans="1:13" x14ac:dyDescent="0.25">
      <c r="A926" t="s">
        <v>14</v>
      </c>
      <c r="B926" s="2">
        <v>43963</v>
      </c>
      <c r="C926">
        <v>2020</v>
      </c>
      <c r="D926" s="11">
        <f t="shared" si="33"/>
        <v>133</v>
      </c>
      <c r="E926" t="s">
        <v>6</v>
      </c>
      <c r="F926">
        <v>103.2</v>
      </c>
      <c r="G926">
        <f t="shared" si="31"/>
        <v>103.2</v>
      </c>
      <c r="I926" s="5">
        <f t="shared" si="32"/>
        <v>333</v>
      </c>
      <c r="M926" s="2">
        <v>43432</v>
      </c>
    </row>
    <row r="927" spans="1:13" x14ac:dyDescent="0.25">
      <c r="A927" t="s">
        <v>14</v>
      </c>
      <c r="B927" s="2">
        <v>43977</v>
      </c>
      <c r="C927">
        <v>2020</v>
      </c>
      <c r="D927" s="11">
        <f t="shared" si="33"/>
        <v>147</v>
      </c>
      <c r="E927" t="s">
        <v>6</v>
      </c>
      <c r="F927">
        <v>101.2</v>
      </c>
      <c r="G927">
        <f t="shared" si="31"/>
        <v>101.2</v>
      </c>
      <c r="I927" s="5">
        <f t="shared" si="32"/>
        <v>331</v>
      </c>
      <c r="M927" s="2">
        <v>43430</v>
      </c>
    </row>
    <row r="928" spans="1:13" x14ac:dyDescent="0.25">
      <c r="A928" t="s">
        <v>14</v>
      </c>
      <c r="B928" s="2">
        <v>43851</v>
      </c>
      <c r="C928">
        <v>2020</v>
      </c>
      <c r="D928" s="11">
        <f t="shared" si="33"/>
        <v>21</v>
      </c>
      <c r="E928" t="s">
        <v>6</v>
      </c>
      <c r="F928">
        <v>61.3</v>
      </c>
      <c r="G928">
        <f t="shared" si="31"/>
        <v>61.3</v>
      </c>
      <c r="I928" s="5">
        <f t="shared" si="32"/>
        <v>328</v>
      </c>
      <c r="M928" s="2">
        <v>43792</v>
      </c>
    </row>
    <row r="929" spans="1:13" x14ac:dyDescent="0.25">
      <c r="A929" t="s">
        <v>14</v>
      </c>
      <c r="B929" s="2">
        <v>43880</v>
      </c>
      <c r="C929">
        <v>2020</v>
      </c>
      <c r="D929" s="11">
        <f t="shared" si="33"/>
        <v>50</v>
      </c>
      <c r="E929" t="s">
        <v>6</v>
      </c>
      <c r="F929">
        <v>85.2</v>
      </c>
      <c r="G929">
        <f t="shared" si="31"/>
        <v>85.2</v>
      </c>
      <c r="I929" s="5">
        <f t="shared" si="32"/>
        <v>328</v>
      </c>
      <c r="M929" s="2">
        <v>43792</v>
      </c>
    </row>
    <row r="930" spans="1:13" x14ac:dyDescent="0.25">
      <c r="A930" t="s">
        <v>14</v>
      </c>
      <c r="B930" s="2">
        <v>43894</v>
      </c>
      <c r="C930">
        <v>2020</v>
      </c>
      <c r="D930" s="11">
        <f t="shared" si="33"/>
        <v>64</v>
      </c>
      <c r="E930" t="s">
        <v>6</v>
      </c>
      <c r="F930">
        <v>82.7</v>
      </c>
      <c r="G930">
        <f t="shared" si="31"/>
        <v>82.7</v>
      </c>
      <c r="I930" s="5">
        <f t="shared" si="32"/>
        <v>338</v>
      </c>
      <c r="M930" s="2">
        <v>43802</v>
      </c>
    </row>
    <row r="931" spans="1:13" x14ac:dyDescent="0.25">
      <c r="A931" t="s">
        <v>14</v>
      </c>
      <c r="B931" s="2">
        <v>43907</v>
      </c>
      <c r="C931">
        <v>2020</v>
      </c>
      <c r="D931" s="11">
        <f t="shared" si="33"/>
        <v>77</v>
      </c>
      <c r="E931" t="s">
        <v>6</v>
      </c>
      <c r="F931">
        <v>93</v>
      </c>
      <c r="G931">
        <f t="shared" si="31"/>
        <v>93</v>
      </c>
      <c r="I931" s="5">
        <f t="shared" si="32"/>
        <v>325</v>
      </c>
      <c r="M931" s="2">
        <v>43789</v>
      </c>
    </row>
    <row r="932" spans="1:13" x14ac:dyDescent="0.25">
      <c r="A932" t="s">
        <v>14</v>
      </c>
      <c r="B932" s="2">
        <v>43951</v>
      </c>
      <c r="C932">
        <v>2020</v>
      </c>
      <c r="D932" s="11">
        <f t="shared" si="33"/>
        <v>121</v>
      </c>
      <c r="E932" t="s">
        <v>6</v>
      </c>
      <c r="F932">
        <v>108</v>
      </c>
      <c r="G932">
        <f t="shared" si="31"/>
        <v>108</v>
      </c>
      <c r="I932" s="5">
        <f t="shared" si="32"/>
        <v>328</v>
      </c>
      <c r="M932" s="2">
        <v>43792</v>
      </c>
    </row>
    <row r="933" spans="1:13" x14ac:dyDescent="0.25">
      <c r="A933" t="s">
        <v>14</v>
      </c>
      <c r="B933" s="2">
        <v>43963</v>
      </c>
      <c r="C933">
        <v>2020</v>
      </c>
      <c r="D933" s="11">
        <f t="shared" si="33"/>
        <v>133</v>
      </c>
      <c r="E933" t="s">
        <v>6</v>
      </c>
      <c r="F933">
        <v>107.8</v>
      </c>
      <c r="G933">
        <f t="shared" si="31"/>
        <v>107.8</v>
      </c>
      <c r="I933" s="5">
        <f t="shared" si="32"/>
        <v>328</v>
      </c>
      <c r="M933" s="2">
        <v>43792</v>
      </c>
    </row>
    <row r="934" spans="1:13" x14ac:dyDescent="0.25">
      <c r="A934" t="s">
        <v>14</v>
      </c>
      <c r="B934" s="2">
        <v>43979</v>
      </c>
      <c r="C934">
        <v>2020</v>
      </c>
      <c r="D934" s="11">
        <f t="shared" si="33"/>
        <v>149</v>
      </c>
      <c r="E934" t="s">
        <v>6</v>
      </c>
      <c r="F934">
        <v>107.9</v>
      </c>
      <c r="G934">
        <f t="shared" si="31"/>
        <v>107.9</v>
      </c>
      <c r="I934" s="5">
        <f t="shared" si="32"/>
        <v>325</v>
      </c>
      <c r="M934" s="2">
        <v>43789</v>
      </c>
    </row>
    <row r="935" spans="1:13" x14ac:dyDescent="0.25">
      <c r="A935" t="s">
        <v>14</v>
      </c>
      <c r="B935" s="2">
        <v>43850</v>
      </c>
      <c r="C935">
        <v>2020</v>
      </c>
      <c r="D935" s="11">
        <f t="shared" si="33"/>
        <v>20</v>
      </c>
      <c r="E935" t="s">
        <v>6</v>
      </c>
      <c r="F935">
        <v>56.7</v>
      </c>
      <c r="G935">
        <f t="shared" ref="G935:G998" si="34">F935</f>
        <v>56.7</v>
      </c>
      <c r="I935" s="5">
        <f t="shared" ref="I935:I954" si="35" xml:space="preserve"> DATEDIF(DATE(YEAR(M935),1,0),M935,"d")+1</f>
        <v>328</v>
      </c>
      <c r="M935" s="2">
        <v>43792</v>
      </c>
    </row>
    <row r="936" spans="1:13" x14ac:dyDescent="0.25">
      <c r="A936" t="s">
        <v>14</v>
      </c>
      <c r="B936" s="2">
        <v>43850</v>
      </c>
      <c r="C936">
        <v>2020</v>
      </c>
      <c r="D936" s="11">
        <f t="shared" si="33"/>
        <v>20</v>
      </c>
      <c r="E936" t="s">
        <v>6</v>
      </c>
      <c r="F936">
        <v>70.8</v>
      </c>
      <c r="G936">
        <f t="shared" si="34"/>
        <v>70.8</v>
      </c>
      <c r="I936" s="5">
        <f t="shared" si="35"/>
        <v>338</v>
      </c>
      <c r="M936" s="2">
        <v>43802</v>
      </c>
    </row>
    <row r="937" spans="1:13" x14ac:dyDescent="0.25">
      <c r="A937" t="s">
        <v>14</v>
      </c>
      <c r="B937" s="2">
        <v>43851</v>
      </c>
      <c r="C937">
        <v>2020</v>
      </c>
      <c r="D937" s="11">
        <f t="shared" si="33"/>
        <v>21</v>
      </c>
      <c r="E937" t="s">
        <v>6</v>
      </c>
      <c r="F937">
        <v>74.599999999999994</v>
      </c>
      <c r="G937">
        <f t="shared" si="34"/>
        <v>74.599999999999994</v>
      </c>
      <c r="I937" s="5">
        <f t="shared" si="35"/>
        <v>328</v>
      </c>
      <c r="M937" s="2">
        <v>43792</v>
      </c>
    </row>
    <row r="938" spans="1:13" x14ac:dyDescent="0.25">
      <c r="A938" t="s">
        <v>14</v>
      </c>
      <c r="B938" s="2">
        <v>43878</v>
      </c>
      <c r="C938">
        <v>2020</v>
      </c>
      <c r="D938" s="11">
        <f t="shared" si="33"/>
        <v>48</v>
      </c>
      <c r="E938" t="s">
        <v>6</v>
      </c>
      <c r="F938">
        <v>75.900000000000006</v>
      </c>
      <c r="G938">
        <f t="shared" si="34"/>
        <v>75.900000000000006</v>
      </c>
      <c r="I938" s="5">
        <f t="shared" si="35"/>
        <v>328</v>
      </c>
      <c r="M938" s="2">
        <v>43792</v>
      </c>
    </row>
    <row r="939" spans="1:13" x14ac:dyDescent="0.25">
      <c r="A939" t="s">
        <v>14</v>
      </c>
      <c r="B939" s="2">
        <v>43878</v>
      </c>
      <c r="C939">
        <v>2020</v>
      </c>
      <c r="D939" s="11">
        <f t="shared" si="33"/>
        <v>48</v>
      </c>
      <c r="E939" t="s">
        <v>6</v>
      </c>
      <c r="F939">
        <v>87.8</v>
      </c>
      <c r="G939">
        <f t="shared" si="34"/>
        <v>87.8</v>
      </c>
      <c r="I939" s="5">
        <f t="shared" si="35"/>
        <v>328</v>
      </c>
      <c r="M939" s="2">
        <v>43792</v>
      </c>
    </row>
    <row r="940" spans="1:13" x14ac:dyDescent="0.25">
      <c r="A940" t="s">
        <v>14</v>
      </c>
      <c r="B940" s="2">
        <v>43880</v>
      </c>
      <c r="C940">
        <v>2020</v>
      </c>
      <c r="D940" s="11">
        <f t="shared" si="33"/>
        <v>50</v>
      </c>
      <c r="E940" t="s">
        <v>6</v>
      </c>
      <c r="F940">
        <v>85.9</v>
      </c>
      <c r="G940">
        <f t="shared" si="34"/>
        <v>85.9</v>
      </c>
      <c r="I940" s="5">
        <f t="shared" si="35"/>
        <v>338</v>
      </c>
      <c r="M940" s="2">
        <v>43802</v>
      </c>
    </row>
    <row r="941" spans="1:13" x14ac:dyDescent="0.25">
      <c r="A941" t="s">
        <v>14</v>
      </c>
      <c r="B941" s="2">
        <v>43892</v>
      </c>
      <c r="C941">
        <v>2020</v>
      </c>
      <c r="D941" s="11">
        <f t="shared" si="33"/>
        <v>62</v>
      </c>
      <c r="E941" t="s">
        <v>6</v>
      </c>
      <c r="F941">
        <v>78.099999999999994</v>
      </c>
      <c r="G941">
        <f t="shared" si="34"/>
        <v>78.099999999999994</v>
      </c>
      <c r="I941" s="5">
        <f t="shared" si="35"/>
        <v>325</v>
      </c>
      <c r="M941" s="2">
        <v>43789</v>
      </c>
    </row>
    <row r="942" spans="1:13" x14ac:dyDescent="0.25">
      <c r="A942" t="s">
        <v>14</v>
      </c>
      <c r="B942" s="2">
        <v>43892</v>
      </c>
      <c r="C942">
        <v>2020</v>
      </c>
      <c r="D942" s="11">
        <f t="shared" si="33"/>
        <v>62</v>
      </c>
      <c r="E942" t="s">
        <v>6</v>
      </c>
      <c r="F942">
        <v>99.8</v>
      </c>
      <c r="G942">
        <f t="shared" si="34"/>
        <v>99.8</v>
      </c>
      <c r="I942" s="5">
        <f t="shared" si="35"/>
        <v>328</v>
      </c>
      <c r="M942" s="2">
        <v>43792</v>
      </c>
    </row>
    <row r="943" spans="1:13" x14ac:dyDescent="0.25">
      <c r="A943" t="s">
        <v>14</v>
      </c>
      <c r="B943" s="2">
        <v>43894</v>
      </c>
      <c r="C943">
        <v>2020</v>
      </c>
      <c r="D943" s="11">
        <f t="shared" si="33"/>
        <v>64</v>
      </c>
      <c r="E943" t="s">
        <v>6</v>
      </c>
      <c r="F943">
        <v>92.5</v>
      </c>
      <c r="G943">
        <f t="shared" si="34"/>
        <v>92.5</v>
      </c>
      <c r="I943" s="5">
        <f t="shared" si="35"/>
        <v>328</v>
      </c>
      <c r="M943" s="2">
        <v>43792</v>
      </c>
    </row>
    <row r="944" spans="1:13" x14ac:dyDescent="0.25">
      <c r="A944" t="s">
        <v>14</v>
      </c>
      <c r="B944" s="2">
        <v>43906</v>
      </c>
      <c r="C944">
        <v>2020</v>
      </c>
      <c r="D944" s="11">
        <f t="shared" si="33"/>
        <v>76</v>
      </c>
      <c r="E944" t="s">
        <v>6</v>
      </c>
      <c r="F944">
        <v>84.3</v>
      </c>
      <c r="G944">
        <f t="shared" si="34"/>
        <v>84.3</v>
      </c>
      <c r="I944" s="5">
        <f t="shared" si="35"/>
        <v>328</v>
      </c>
      <c r="M944" s="2">
        <v>43792</v>
      </c>
    </row>
    <row r="945" spans="1:13" x14ac:dyDescent="0.25">
      <c r="A945" t="s">
        <v>14</v>
      </c>
      <c r="B945" s="2">
        <v>43906</v>
      </c>
      <c r="C945">
        <v>2020</v>
      </c>
      <c r="D945" s="11">
        <f t="shared" si="33"/>
        <v>76</v>
      </c>
      <c r="E945" t="s">
        <v>6</v>
      </c>
      <c r="F945">
        <v>108.8</v>
      </c>
      <c r="G945">
        <f t="shared" si="34"/>
        <v>108.8</v>
      </c>
      <c r="I945" s="5">
        <f t="shared" si="35"/>
        <v>338</v>
      </c>
      <c r="M945" s="2">
        <v>43802</v>
      </c>
    </row>
    <row r="946" spans="1:13" x14ac:dyDescent="0.25">
      <c r="A946" t="s">
        <v>14</v>
      </c>
      <c r="B946" s="2">
        <v>43907</v>
      </c>
      <c r="C946">
        <v>2020</v>
      </c>
      <c r="D946" s="11">
        <f t="shared" si="33"/>
        <v>77</v>
      </c>
      <c r="E946" t="s">
        <v>6</v>
      </c>
      <c r="F946">
        <v>99.9</v>
      </c>
      <c r="G946">
        <f t="shared" si="34"/>
        <v>99.9</v>
      </c>
      <c r="I946" s="5">
        <f t="shared" si="35"/>
        <v>325</v>
      </c>
      <c r="M946" s="2">
        <v>43789</v>
      </c>
    </row>
    <row r="947" spans="1:13" x14ac:dyDescent="0.25">
      <c r="A947" t="s">
        <v>14</v>
      </c>
      <c r="B947" s="2">
        <v>43950</v>
      </c>
      <c r="C947">
        <v>2020</v>
      </c>
      <c r="D947" s="11">
        <f t="shared" si="33"/>
        <v>120</v>
      </c>
      <c r="E947" t="s">
        <v>6</v>
      </c>
      <c r="F947">
        <v>94.6</v>
      </c>
      <c r="G947">
        <f t="shared" si="34"/>
        <v>94.6</v>
      </c>
      <c r="I947" s="5">
        <f t="shared" si="35"/>
        <v>328</v>
      </c>
      <c r="M947" s="2">
        <v>43792</v>
      </c>
    </row>
    <row r="948" spans="1:13" x14ac:dyDescent="0.25">
      <c r="A948" t="s">
        <v>14</v>
      </c>
      <c r="B948" s="2">
        <v>43950</v>
      </c>
      <c r="C948">
        <v>2020</v>
      </c>
      <c r="D948" s="11">
        <f t="shared" si="33"/>
        <v>120</v>
      </c>
      <c r="E948" t="s">
        <v>6</v>
      </c>
      <c r="F948">
        <v>121.5</v>
      </c>
      <c r="G948">
        <f t="shared" si="34"/>
        <v>121.5</v>
      </c>
      <c r="I948" s="5">
        <f t="shared" si="35"/>
        <v>328</v>
      </c>
      <c r="M948" s="2">
        <v>43792</v>
      </c>
    </row>
    <row r="949" spans="1:13" x14ac:dyDescent="0.25">
      <c r="A949" t="s">
        <v>14</v>
      </c>
      <c r="B949" s="2">
        <v>43950</v>
      </c>
      <c r="C949">
        <v>2020</v>
      </c>
      <c r="D949" s="11">
        <f t="shared" si="33"/>
        <v>120</v>
      </c>
      <c r="E949" t="s">
        <v>6</v>
      </c>
      <c r="F949">
        <v>113.2</v>
      </c>
      <c r="G949">
        <f t="shared" si="34"/>
        <v>113.2</v>
      </c>
      <c r="I949" s="5">
        <f t="shared" si="35"/>
        <v>328</v>
      </c>
      <c r="M949" s="2">
        <v>43792</v>
      </c>
    </row>
    <row r="950" spans="1:13" x14ac:dyDescent="0.25">
      <c r="A950" t="s">
        <v>14</v>
      </c>
      <c r="B950" s="2">
        <v>43963</v>
      </c>
      <c r="C950">
        <v>2020</v>
      </c>
      <c r="D950" s="11">
        <f t="shared" si="33"/>
        <v>133</v>
      </c>
      <c r="E950" t="s">
        <v>6</v>
      </c>
      <c r="F950">
        <v>122.7</v>
      </c>
      <c r="G950">
        <f t="shared" si="34"/>
        <v>122.7</v>
      </c>
      <c r="I950" s="5">
        <f t="shared" si="35"/>
        <v>338</v>
      </c>
      <c r="M950" s="2">
        <v>43802</v>
      </c>
    </row>
    <row r="951" spans="1:13" x14ac:dyDescent="0.25">
      <c r="A951" t="s">
        <v>14</v>
      </c>
      <c r="B951" s="2">
        <v>43964</v>
      </c>
      <c r="C951">
        <v>2020</v>
      </c>
      <c r="D951" s="11">
        <f t="shared" si="33"/>
        <v>134</v>
      </c>
      <c r="E951" t="s">
        <v>6</v>
      </c>
      <c r="F951">
        <v>99.3</v>
      </c>
      <c r="G951">
        <f t="shared" si="34"/>
        <v>99.3</v>
      </c>
      <c r="I951" s="5">
        <f t="shared" si="35"/>
        <v>325</v>
      </c>
      <c r="M951" s="2">
        <v>43789</v>
      </c>
    </row>
    <row r="952" spans="1:13" x14ac:dyDescent="0.25">
      <c r="A952" t="s">
        <v>14</v>
      </c>
      <c r="B952" s="2">
        <v>43964</v>
      </c>
      <c r="C952">
        <v>2020</v>
      </c>
      <c r="D952" s="11">
        <f t="shared" si="33"/>
        <v>134</v>
      </c>
      <c r="E952" t="s">
        <v>6</v>
      </c>
      <c r="F952">
        <v>120.8</v>
      </c>
      <c r="G952">
        <f t="shared" si="34"/>
        <v>120.8</v>
      </c>
      <c r="I952" s="5">
        <f t="shared" si="35"/>
        <v>328</v>
      </c>
      <c r="M952" s="2">
        <v>43792</v>
      </c>
    </row>
    <row r="953" spans="1:13" x14ac:dyDescent="0.25">
      <c r="A953" t="s">
        <v>14</v>
      </c>
      <c r="B953" s="2">
        <v>43978</v>
      </c>
      <c r="C953">
        <v>2020</v>
      </c>
      <c r="D953" s="11">
        <f t="shared" si="33"/>
        <v>148</v>
      </c>
      <c r="E953" t="s">
        <v>6</v>
      </c>
      <c r="F953">
        <v>91.7</v>
      </c>
      <c r="G953">
        <f t="shared" si="34"/>
        <v>91.7</v>
      </c>
      <c r="I953" s="5">
        <f t="shared" si="35"/>
        <v>328</v>
      </c>
      <c r="M953" s="2">
        <v>43792</v>
      </c>
    </row>
    <row r="954" spans="1:13" x14ac:dyDescent="0.25">
      <c r="A954" t="s">
        <v>14</v>
      </c>
      <c r="B954" s="2">
        <v>43978</v>
      </c>
      <c r="C954">
        <v>2020</v>
      </c>
      <c r="D954" s="11">
        <f t="shared" si="33"/>
        <v>148</v>
      </c>
      <c r="E954" t="s">
        <v>6</v>
      </c>
      <c r="F954">
        <v>115.7</v>
      </c>
      <c r="G954">
        <f t="shared" si="34"/>
        <v>115.7</v>
      </c>
      <c r="I954" s="5">
        <f t="shared" si="35"/>
        <v>338</v>
      </c>
      <c r="M954" s="2">
        <v>43802</v>
      </c>
    </row>
    <row r="955" spans="1:13" hidden="1" x14ac:dyDescent="0.25">
      <c r="A955" t="s">
        <v>19</v>
      </c>
      <c r="B955" s="2">
        <v>43850</v>
      </c>
      <c r="C955">
        <v>2020</v>
      </c>
      <c r="D955" s="11">
        <f t="shared" si="33"/>
        <v>20</v>
      </c>
      <c r="E955" t="s">
        <v>9</v>
      </c>
      <c r="F955">
        <v>60.2</v>
      </c>
      <c r="G955">
        <f t="shared" si="34"/>
        <v>60.2</v>
      </c>
      <c r="I955" s="4">
        <f xml:space="preserve"> DATEDIF(DATE(YEAR(M955),1,0),M955,"d")+1</f>
        <v>328</v>
      </c>
      <c r="M955" s="2">
        <v>43792</v>
      </c>
    </row>
    <row r="956" spans="1:13" hidden="1" x14ac:dyDescent="0.25">
      <c r="A956" t="s">
        <v>19</v>
      </c>
      <c r="B956" s="2">
        <v>43880</v>
      </c>
      <c r="C956">
        <v>2020</v>
      </c>
      <c r="D956" s="11">
        <f t="shared" si="33"/>
        <v>50</v>
      </c>
      <c r="E956" t="s">
        <v>9</v>
      </c>
      <c r="F956">
        <v>83.8</v>
      </c>
      <c r="G956">
        <f t="shared" si="34"/>
        <v>83.8</v>
      </c>
      <c r="I956" s="4">
        <f t="shared" ref="I956:I1015" si="36" xml:space="preserve"> DATEDIF(DATE(YEAR(M956),1,0),M956,"d")+1</f>
        <v>328</v>
      </c>
      <c r="M956" s="2">
        <v>43792</v>
      </c>
    </row>
    <row r="957" spans="1:13" hidden="1" x14ac:dyDescent="0.25">
      <c r="A957" t="s">
        <v>19</v>
      </c>
      <c r="B957" s="2">
        <v>43892</v>
      </c>
      <c r="C957">
        <v>2020</v>
      </c>
      <c r="D957" s="11">
        <f t="shared" si="33"/>
        <v>62</v>
      </c>
      <c r="E957" t="s">
        <v>9</v>
      </c>
      <c r="F957">
        <v>87.9</v>
      </c>
      <c r="G957">
        <f t="shared" si="34"/>
        <v>87.9</v>
      </c>
      <c r="I957" s="4">
        <f t="shared" si="36"/>
        <v>325</v>
      </c>
      <c r="M957" s="2">
        <v>43789</v>
      </c>
    </row>
    <row r="958" spans="1:13" hidden="1" x14ac:dyDescent="0.25">
      <c r="A958" t="s">
        <v>19</v>
      </c>
      <c r="B958" s="2">
        <v>43906</v>
      </c>
      <c r="C958">
        <v>2020</v>
      </c>
      <c r="D958" s="11">
        <f t="shared" si="33"/>
        <v>76</v>
      </c>
      <c r="E958" t="s">
        <v>9</v>
      </c>
      <c r="F958">
        <v>97.1</v>
      </c>
      <c r="G958">
        <f t="shared" si="34"/>
        <v>97.1</v>
      </c>
      <c r="I958" s="4">
        <f t="shared" si="36"/>
        <v>338</v>
      </c>
      <c r="M958" s="2">
        <v>43802</v>
      </c>
    </row>
    <row r="959" spans="1:13" hidden="1" x14ac:dyDescent="0.25">
      <c r="A959" t="s">
        <v>19</v>
      </c>
      <c r="B959" s="2">
        <v>43949</v>
      </c>
      <c r="C959">
        <v>2020</v>
      </c>
      <c r="D959" s="11">
        <f t="shared" si="33"/>
        <v>119</v>
      </c>
      <c r="E959" t="s">
        <v>9</v>
      </c>
      <c r="F959">
        <v>109.3</v>
      </c>
      <c r="G959">
        <f>Calculations!D11</f>
        <v>111.03881153740302</v>
      </c>
      <c r="H959" t="s">
        <v>27</v>
      </c>
      <c r="I959" s="4">
        <f t="shared" si="36"/>
        <v>328</v>
      </c>
      <c r="M959" s="2">
        <v>43792</v>
      </c>
    </row>
    <row r="960" spans="1:13" hidden="1" x14ac:dyDescent="0.25">
      <c r="A960" t="s">
        <v>19</v>
      </c>
      <c r="B960" s="2">
        <v>43963</v>
      </c>
      <c r="C960">
        <v>2020</v>
      </c>
      <c r="D960" s="11">
        <f t="shared" si="33"/>
        <v>133</v>
      </c>
      <c r="E960" t="s">
        <v>9</v>
      </c>
      <c r="F960">
        <v>116.6</v>
      </c>
      <c r="G960">
        <f t="shared" si="34"/>
        <v>116.6</v>
      </c>
      <c r="I960" s="4">
        <f t="shared" si="36"/>
        <v>325</v>
      </c>
      <c r="M960" s="2">
        <v>43789</v>
      </c>
    </row>
    <row r="961" spans="1:13" hidden="1" x14ac:dyDescent="0.25">
      <c r="A961" t="s">
        <v>19</v>
      </c>
      <c r="B961" s="2">
        <v>43976</v>
      </c>
      <c r="C961">
        <v>2020</v>
      </c>
      <c r="D961" s="11">
        <f t="shared" si="33"/>
        <v>146</v>
      </c>
      <c r="E961" t="s">
        <v>9</v>
      </c>
      <c r="F961">
        <v>116.8</v>
      </c>
      <c r="G961">
        <f t="shared" si="34"/>
        <v>116.8</v>
      </c>
      <c r="I961" s="4">
        <f t="shared" si="36"/>
        <v>328</v>
      </c>
      <c r="M961" s="2">
        <v>43792</v>
      </c>
    </row>
    <row r="962" spans="1:13" x14ac:dyDescent="0.25">
      <c r="A962" t="s">
        <v>15</v>
      </c>
      <c r="B962" s="2">
        <v>44223</v>
      </c>
      <c r="C962">
        <v>2021</v>
      </c>
      <c r="D962" s="11">
        <f t="shared" si="33"/>
        <v>27</v>
      </c>
      <c r="E962" t="s">
        <v>6</v>
      </c>
      <c r="F962">
        <v>70.474939759999998</v>
      </c>
      <c r="G962">
        <f t="shared" si="34"/>
        <v>70.474939759999998</v>
      </c>
      <c r="I962" s="5">
        <f t="shared" si="36"/>
        <v>328</v>
      </c>
      <c r="M962" s="2">
        <v>44157</v>
      </c>
    </row>
    <row r="963" spans="1:13" x14ac:dyDescent="0.25">
      <c r="A963" t="s">
        <v>15</v>
      </c>
      <c r="B963" s="2">
        <v>44244</v>
      </c>
      <c r="C963">
        <v>2021</v>
      </c>
      <c r="D963" s="11">
        <f t="shared" ref="D963:D1026" si="37">B963-DATE(YEAR(B963),1,0)</f>
        <v>48</v>
      </c>
      <c r="E963" t="s">
        <v>6</v>
      </c>
      <c r="F963">
        <v>78.175444440000007</v>
      </c>
      <c r="G963">
        <f t="shared" si="34"/>
        <v>78.175444440000007</v>
      </c>
      <c r="I963" s="5">
        <f t="shared" si="36"/>
        <v>334</v>
      </c>
      <c r="M963" s="2">
        <v>44163</v>
      </c>
    </row>
    <row r="964" spans="1:13" x14ac:dyDescent="0.25">
      <c r="A964" t="s">
        <v>15</v>
      </c>
      <c r="B964" s="2">
        <v>44258</v>
      </c>
      <c r="C964">
        <v>2021</v>
      </c>
      <c r="D964" s="11">
        <f t="shared" si="37"/>
        <v>62</v>
      </c>
      <c r="E964" t="s">
        <v>6</v>
      </c>
      <c r="F964">
        <v>89.277777779999994</v>
      </c>
      <c r="G964">
        <f t="shared" si="34"/>
        <v>89.277777779999994</v>
      </c>
      <c r="I964" s="5">
        <f t="shared" si="36"/>
        <v>328</v>
      </c>
      <c r="M964" s="2">
        <v>44157</v>
      </c>
    </row>
    <row r="965" spans="1:13" x14ac:dyDescent="0.25">
      <c r="A965" t="s">
        <v>15</v>
      </c>
      <c r="B965" s="2">
        <v>44272</v>
      </c>
      <c r="C965">
        <v>2021</v>
      </c>
      <c r="D965" s="11">
        <f t="shared" si="37"/>
        <v>76</v>
      </c>
      <c r="E965" t="s">
        <v>6</v>
      </c>
      <c r="F965">
        <v>96.960333329999997</v>
      </c>
      <c r="G965">
        <f t="shared" si="34"/>
        <v>96.960333329999997</v>
      </c>
      <c r="I965" s="5">
        <f t="shared" si="36"/>
        <v>330</v>
      </c>
      <c r="M965" s="2">
        <v>44159</v>
      </c>
    </row>
    <row r="966" spans="1:13" x14ac:dyDescent="0.25">
      <c r="A966" t="s">
        <v>15</v>
      </c>
      <c r="B966" s="2">
        <v>44286</v>
      </c>
      <c r="C966">
        <v>2021</v>
      </c>
      <c r="D966" s="11">
        <f t="shared" si="37"/>
        <v>90</v>
      </c>
      <c r="E966" t="s">
        <v>6</v>
      </c>
      <c r="F966">
        <v>105.0482222</v>
      </c>
      <c r="G966">
        <f t="shared" si="34"/>
        <v>105.0482222</v>
      </c>
      <c r="I966" s="5">
        <f t="shared" si="36"/>
        <v>332</v>
      </c>
      <c r="M966" s="2">
        <v>44161</v>
      </c>
    </row>
    <row r="967" spans="1:13" x14ac:dyDescent="0.25">
      <c r="A967" t="s">
        <v>15</v>
      </c>
      <c r="B967" s="2">
        <v>44300</v>
      </c>
      <c r="C967">
        <v>2021</v>
      </c>
      <c r="D967" s="11">
        <f t="shared" si="37"/>
        <v>104</v>
      </c>
      <c r="E967" t="s">
        <v>6</v>
      </c>
      <c r="F967">
        <v>110.81411110000001</v>
      </c>
      <c r="G967" s="7">
        <f>Calculations!D7</f>
        <v>105.15657202447223</v>
      </c>
      <c r="H967" t="s">
        <v>27</v>
      </c>
      <c r="I967" s="5">
        <f t="shared" si="36"/>
        <v>328</v>
      </c>
      <c r="M967" s="2">
        <v>44157</v>
      </c>
    </row>
    <row r="968" spans="1:13" x14ac:dyDescent="0.25">
      <c r="A968" t="s">
        <v>15</v>
      </c>
      <c r="B968" s="2">
        <v>44307</v>
      </c>
      <c r="C968">
        <v>2021</v>
      </c>
      <c r="D968" s="11">
        <f t="shared" si="37"/>
        <v>111</v>
      </c>
      <c r="E968" t="s">
        <v>6</v>
      </c>
      <c r="F968">
        <v>112.8977778</v>
      </c>
      <c r="G968">
        <f t="shared" si="34"/>
        <v>112.8977778</v>
      </c>
      <c r="I968" s="5">
        <f t="shared" si="36"/>
        <v>334</v>
      </c>
      <c r="M968" s="2">
        <v>44163</v>
      </c>
    </row>
    <row r="969" spans="1:13" x14ac:dyDescent="0.25">
      <c r="A969" t="s">
        <v>15</v>
      </c>
      <c r="B969" s="2">
        <v>44315</v>
      </c>
      <c r="C969">
        <v>2021</v>
      </c>
      <c r="D969" s="11">
        <f t="shared" si="37"/>
        <v>119</v>
      </c>
      <c r="E969" t="s">
        <v>6</v>
      </c>
      <c r="F969">
        <v>114.4113333</v>
      </c>
      <c r="G969">
        <f t="shared" si="34"/>
        <v>114.4113333</v>
      </c>
      <c r="I969" s="5">
        <f t="shared" si="36"/>
        <v>328</v>
      </c>
      <c r="M969" s="2">
        <v>44157</v>
      </c>
    </row>
    <row r="970" spans="1:13" x14ac:dyDescent="0.25">
      <c r="A970" t="s">
        <v>15</v>
      </c>
      <c r="B970" s="2">
        <v>44321</v>
      </c>
      <c r="C970">
        <v>2021</v>
      </c>
      <c r="D970" s="11">
        <f t="shared" si="37"/>
        <v>125</v>
      </c>
      <c r="E970" t="s">
        <v>6</v>
      </c>
      <c r="F970">
        <v>119.33077780000001</v>
      </c>
      <c r="G970">
        <f t="shared" si="34"/>
        <v>119.33077780000001</v>
      </c>
      <c r="I970" s="5">
        <f t="shared" si="36"/>
        <v>332</v>
      </c>
      <c r="M970" s="2">
        <v>44161</v>
      </c>
    </row>
    <row r="971" spans="1:13" x14ac:dyDescent="0.25">
      <c r="A971" t="s">
        <v>15</v>
      </c>
      <c r="B971" s="2">
        <v>44335</v>
      </c>
      <c r="C971">
        <v>2021</v>
      </c>
      <c r="D971" s="11">
        <f t="shared" si="37"/>
        <v>139</v>
      </c>
      <c r="E971" t="s">
        <v>6</v>
      </c>
      <c r="F971">
        <v>119.8372222</v>
      </c>
      <c r="G971">
        <f t="shared" si="34"/>
        <v>119.8372222</v>
      </c>
      <c r="I971" s="5">
        <f t="shared" si="36"/>
        <v>330</v>
      </c>
      <c r="M971" s="2">
        <v>44159</v>
      </c>
    </row>
    <row r="972" spans="1:13" x14ac:dyDescent="0.25">
      <c r="A972" t="s">
        <v>15</v>
      </c>
      <c r="B972" s="2">
        <v>44348</v>
      </c>
      <c r="C972">
        <v>2021</v>
      </c>
      <c r="D972" s="11">
        <f t="shared" si="37"/>
        <v>152</v>
      </c>
      <c r="E972" t="s">
        <v>6</v>
      </c>
      <c r="F972">
        <v>121.1773333</v>
      </c>
      <c r="G972">
        <f t="shared" si="34"/>
        <v>121.1773333</v>
      </c>
      <c r="I972" s="5">
        <f t="shared" si="36"/>
        <v>332</v>
      </c>
      <c r="M972" s="2">
        <v>44161</v>
      </c>
    </row>
    <row r="973" spans="1:13" x14ac:dyDescent="0.25">
      <c r="A973" t="s">
        <v>15</v>
      </c>
      <c r="B973" s="2">
        <v>44223</v>
      </c>
      <c r="C973">
        <v>2021</v>
      </c>
      <c r="D973" s="11">
        <f t="shared" si="37"/>
        <v>27</v>
      </c>
      <c r="E973" t="s">
        <v>6</v>
      </c>
      <c r="F973">
        <v>68.09566667</v>
      </c>
      <c r="G973">
        <f t="shared" si="34"/>
        <v>68.09566667</v>
      </c>
      <c r="I973" s="5">
        <f t="shared" si="36"/>
        <v>328</v>
      </c>
      <c r="M973" s="2">
        <v>44157</v>
      </c>
    </row>
    <row r="974" spans="1:13" x14ac:dyDescent="0.25">
      <c r="A974" t="s">
        <v>15</v>
      </c>
      <c r="B974" s="2">
        <v>44258</v>
      </c>
      <c r="C974">
        <v>2021</v>
      </c>
      <c r="D974" s="11">
        <f t="shared" si="37"/>
        <v>62</v>
      </c>
      <c r="E974" t="s">
        <v>6</v>
      </c>
      <c r="F974">
        <v>88.180795450000005</v>
      </c>
      <c r="G974">
        <f t="shared" si="34"/>
        <v>88.180795450000005</v>
      </c>
      <c r="I974" s="5">
        <f t="shared" si="36"/>
        <v>334</v>
      </c>
      <c r="M974" s="2">
        <v>44163</v>
      </c>
    </row>
    <row r="975" spans="1:13" x14ac:dyDescent="0.25">
      <c r="A975" t="s">
        <v>15</v>
      </c>
      <c r="B975" s="2">
        <v>44272</v>
      </c>
      <c r="C975">
        <v>2021</v>
      </c>
      <c r="D975" s="11">
        <f t="shared" si="37"/>
        <v>76</v>
      </c>
      <c r="E975" t="s">
        <v>6</v>
      </c>
      <c r="F975">
        <v>97.313999999999993</v>
      </c>
      <c r="G975">
        <f t="shared" si="34"/>
        <v>97.313999999999993</v>
      </c>
      <c r="I975" s="5">
        <f t="shared" si="36"/>
        <v>328</v>
      </c>
      <c r="M975" s="2">
        <v>44157</v>
      </c>
    </row>
    <row r="976" spans="1:13" x14ac:dyDescent="0.25">
      <c r="A976" t="s">
        <v>15</v>
      </c>
      <c r="B976" s="2">
        <v>44286</v>
      </c>
      <c r="C976">
        <v>2021</v>
      </c>
      <c r="D976" s="11">
        <f t="shared" si="37"/>
        <v>90</v>
      </c>
      <c r="E976" t="s">
        <v>6</v>
      </c>
      <c r="F976">
        <v>100.2647778</v>
      </c>
      <c r="G976">
        <f t="shared" si="34"/>
        <v>100.2647778</v>
      </c>
      <c r="I976" s="5">
        <f t="shared" si="36"/>
        <v>330</v>
      </c>
      <c r="M976" s="2">
        <v>44159</v>
      </c>
    </row>
    <row r="977" spans="1:13" x14ac:dyDescent="0.25">
      <c r="A977" t="s">
        <v>15</v>
      </c>
      <c r="B977" s="2">
        <v>44300</v>
      </c>
      <c r="C977">
        <v>2021</v>
      </c>
      <c r="D977" s="11">
        <f t="shared" si="37"/>
        <v>104</v>
      </c>
      <c r="E977" t="s">
        <v>6</v>
      </c>
      <c r="F977">
        <v>104.94333330000001</v>
      </c>
      <c r="G977">
        <f t="shared" si="34"/>
        <v>104.94333330000001</v>
      </c>
      <c r="I977" s="5">
        <f t="shared" si="36"/>
        <v>332</v>
      </c>
      <c r="M977" s="2">
        <v>44161</v>
      </c>
    </row>
    <row r="978" spans="1:13" x14ac:dyDescent="0.25">
      <c r="A978" t="s">
        <v>15</v>
      </c>
      <c r="B978" s="2">
        <v>44307</v>
      </c>
      <c r="C978">
        <v>2021</v>
      </c>
      <c r="D978" s="11">
        <f t="shared" si="37"/>
        <v>111</v>
      </c>
      <c r="E978" t="s">
        <v>6</v>
      </c>
      <c r="F978">
        <v>104.7833333</v>
      </c>
      <c r="G978">
        <f t="shared" si="34"/>
        <v>104.7833333</v>
      </c>
      <c r="I978" s="5">
        <f t="shared" si="36"/>
        <v>328</v>
      </c>
      <c r="M978" s="2">
        <v>44157</v>
      </c>
    </row>
    <row r="979" spans="1:13" x14ac:dyDescent="0.25">
      <c r="A979" t="s">
        <v>15</v>
      </c>
      <c r="B979" s="2">
        <v>44315</v>
      </c>
      <c r="C979">
        <v>2021</v>
      </c>
      <c r="D979" s="11">
        <f t="shared" si="37"/>
        <v>119</v>
      </c>
      <c r="E979" t="s">
        <v>6</v>
      </c>
      <c r="F979">
        <v>107.1852222</v>
      </c>
      <c r="G979">
        <f t="shared" si="34"/>
        <v>107.1852222</v>
      </c>
      <c r="I979" s="5">
        <f t="shared" si="36"/>
        <v>334</v>
      </c>
      <c r="M979" s="2">
        <v>44163</v>
      </c>
    </row>
    <row r="980" spans="1:13" x14ac:dyDescent="0.25">
      <c r="A980" t="s">
        <v>15</v>
      </c>
      <c r="B980" s="2">
        <v>44321</v>
      </c>
      <c r="C980">
        <v>2021</v>
      </c>
      <c r="D980" s="11">
        <f t="shared" si="37"/>
        <v>125</v>
      </c>
      <c r="E980" t="s">
        <v>6</v>
      </c>
      <c r="F980">
        <v>97.25755556</v>
      </c>
      <c r="G980">
        <f t="shared" si="34"/>
        <v>97.25755556</v>
      </c>
      <c r="I980" s="5">
        <f t="shared" si="36"/>
        <v>328</v>
      </c>
      <c r="M980" s="2">
        <v>44157</v>
      </c>
    </row>
    <row r="981" spans="1:13" x14ac:dyDescent="0.25">
      <c r="A981" t="s">
        <v>15</v>
      </c>
      <c r="B981" s="2">
        <v>44335</v>
      </c>
      <c r="C981">
        <v>2021</v>
      </c>
      <c r="D981" s="11">
        <f t="shared" si="37"/>
        <v>139</v>
      </c>
      <c r="E981" t="s">
        <v>6</v>
      </c>
      <c r="F981">
        <v>110.47156630000001</v>
      </c>
      <c r="G981">
        <f t="shared" si="34"/>
        <v>110.47156630000001</v>
      </c>
      <c r="I981" s="5">
        <f t="shared" si="36"/>
        <v>330</v>
      </c>
      <c r="M981" s="2">
        <v>44159</v>
      </c>
    </row>
    <row r="982" spans="1:13" x14ac:dyDescent="0.25">
      <c r="A982" t="s">
        <v>15</v>
      </c>
      <c r="B982" s="2">
        <v>44348</v>
      </c>
      <c r="C982">
        <v>2021</v>
      </c>
      <c r="D982" s="11">
        <f t="shared" si="37"/>
        <v>152</v>
      </c>
      <c r="E982" t="s">
        <v>6</v>
      </c>
      <c r="F982">
        <v>104.2146667</v>
      </c>
      <c r="G982">
        <f t="shared" si="34"/>
        <v>104.2146667</v>
      </c>
      <c r="I982" s="5">
        <f t="shared" si="36"/>
        <v>328</v>
      </c>
      <c r="M982" s="2">
        <v>44157</v>
      </c>
    </row>
    <row r="983" spans="1:13" x14ac:dyDescent="0.25">
      <c r="A983" t="s">
        <v>15</v>
      </c>
      <c r="B983" s="2">
        <v>44223</v>
      </c>
      <c r="C983">
        <v>2021</v>
      </c>
      <c r="D983" s="11">
        <f t="shared" si="37"/>
        <v>27</v>
      </c>
      <c r="E983" t="s">
        <v>6</v>
      </c>
      <c r="F983">
        <v>68.366222219999997</v>
      </c>
      <c r="G983">
        <f t="shared" si="34"/>
        <v>68.366222219999997</v>
      </c>
      <c r="I983" s="5">
        <f t="shared" si="36"/>
        <v>334</v>
      </c>
      <c r="M983" s="2">
        <v>44163</v>
      </c>
    </row>
    <row r="984" spans="1:13" x14ac:dyDescent="0.25">
      <c r="A984" t="s">
        <v>15</v>
      </c>
      <c r="B984" s="2">
        <v>44223</v>
      </c>
      <c r="C984">
        <v>2021</v>
      </c>
      <c r="D984" s="11">
        <f t="shared" si="37"/>
        <v>27</v>
      </c>
      <c r="E984" t="s">
        <v>6</v>
      </c>
      <c r="F984">
        <v>60.43444444</v>
      </c>
      <c r="G984">
        <f t="shared" si="34"/>
        <v>60.43444444</v>
      </c>
      <c r="I984" s="5">
        <f t="shared" si="36"/>
        <v>328</v>
      </c>
      <c r="M984" s="2">
        <v>44157</v>
      </c>
    </row>
    <row r="985" spans="1:13" x14ac:dyDescent="0.25">
      <c r="A985" t="s">
        <v>15</v>
      </c>
      <c r="B985" s="2">
        <v>44224</v>
      </c>
      <c r="C985">
        <v>2021</v>
      </c>
      <c r="D985" s="11">
        <f t="shared" si="37"/>
        <v>28</v>
      </c>
      <c r="E985" t="s">
        <v>6</v>
      </c>
      <c r="F985">
        <v>59.576333329999997</v>
      </c>
      <c r="G985">
        <f t="shared" si="34"/>
        <v>59.576333329999997</v>
      </c>
      <c r="I985" s="5">
        <f t="shared" si="36"/>
        <v>332</v>
      </c>
      <c r="M985" s="2">
        <v>44161</v>
      </c>
    </row>
    <row r="986" spans="1:13" x14ac:dyDescent="0.25">
      <c r="A986" t="s">
        <v>15</v>
      </c>
      <c r="B986" s="2">
        <v>44244</v>
      </c>
      <c r="C986">
        <v>2021</v>
      </c>
      <c r="D986" s="11">
        <f t="shared" si="37"/>
        <v>48</v>
      </c>
      <c r="E986" t="s">
        <v>6</v>
      </c>
      <c r="F986">
        <v>70.137222219999998</v>
      </c>
      <c r="G986">
        <f t="shared" si="34"/>
        <v>70.137222219999998</v>
      </c>
      <c r="I986" s="5">
        <f t="shared" si="36"/>
        <v>330</v>
      </c>
      <c r="M986" s="2">
        <v>44159</v>
      </c>
    </row>
    <row r="987" spans="1:13" x14ac:dyDescent="0.25">
      <c r="A987" t="s">
        <v>15</v>
      </c>
      <c r="B987" s="2">
        <v>44245</v>
      </c>
      <c r="C987">
        <v>2021</v>
      </c>
      <c r="D987" s="11">
        <f t="shared" si="37"/>
        <v>49</v>
      </c>
      <c r="E987" t="s">
        <v>6</v>
      </c>
      <c r="F987">
        <v>67.538888889999996</v>
      </c>
      <c r="G987">
        <f t="shared" si="34"/>
        <v>67.538888889999996</v>
      </c>
      <c r="I987" s="5">
        <f t="shared" si="36"/>
        <v>328</v>
      </c>
      <c r="M987" s="2">
        <v>44157</v>
      </c>
    </row>
    <row r="988" spans="1:13" x14ac:dyDescent="0.25">
      <c r="A988" t="s">
        <v>15</v>
      </c>
      <c r="B988" s="2">
        <v>44245</v>
      </c>
      <c r="C988">
        <v>2021</v>
      </c>
      <c r="D988" s="11">
        <f t="shared" si="37"/>
        <v>49</v>
      </c>
      <c r="E988" t="s">
        <v>6</v>
      </c>
      <c r="F988">
        <v>68.143777779999994</v>
      </c>
      <c r="G988">
        <f t="shared" si="34"/>
        <v>68.143777779999994</v>
      </c>
      <c r="I988" s="5">
        <f t="shared" si="36"/>
        <v>334</v>
      </c>
      <c r="M988" s="2">
        <v>44163</v>
      </c>
    </row>
    <row r="989" spans="1:13" x14ac:dyDescent="0.25">
      <c r="A989" t="s">
        <v>15</v>
      </c>
      <c r="B989" s="2">
        <v>44258</v>
      </c>
      <c r="C989">
        <v>2021</v>
      </c>
      <c r="D989" s="11">
        <f t="shared" si="37"/>
        <v>62</v>
      </c>
      <c r="E989" t="s">
        <v>6</v>
      </c>
      <c r="F989">
        <v>77.873333329999994</v>
      </c>
      <c r="G989">
        <f t="shared" si="34"/>
        <v>77.873333329999994</v>
      </c>
      <c r="I989" s="5">
        <f t="shared" si="36"/>
        <v>328</v>
      </c>
      <c r="M989" s="2">
        <v>44157</v>
      </c>
    </row>
    <row r="990" spans="1:13" x14ac:dyDescent="0.25">
      <c r="A990" t="s">
        <v>15</v>
      </c>
      <c r="B990" s="2">
        <v>44258</v>
      </c>
      <c r="C990">
        <v>2021</v>
      </c>
      <c r="D990" s="11">
        <f t="shared" si="37"/>
        <v>62</v>
      </c>
      <c r="E990" t="s">
        <v>6</v>
      </c>
      <c r="F990">
        <v>86.499777780000002</v>
      </c>
      <c r="G990">
        <f t="shared" si="34"/>
        <v>86.499777780000002</v>
      </c>
      <c r="I990" s="5">
        <f t="shared" si="36"/>
        <v>332</v>
      </c>
      <c r="M990" s="2">
        <v>44161</v>
      </c>
    </row>
    <row r="991" spans="1:13" x14ac:dyDescent="0.25">
      <c r="A991" t="s">
        <v>15</v>
      </c>
      <c r="B991" s="2">
        <v>44258</v>
      </c>
      <c r="C991">
        <v>2021</v>
      </c>
      <c r="D991" s="11">
        <f t="shared" si="37"/>
        <v>62</v>
      </c>
      <c r="E991" t="s">
        <v>6</v>
      </c>
      <c r="F991">
        <v>75.648222219999994</v>
      </c>
      <c r="G991">
        <f t="shared" si="34"/>
        <v>75.648222219999994</v>
      </c>
      <c r="I991" s="5">
        <f t="shared" si="36"/>
        <v>330</v>
      </c>
      <c r="M991" s="2">
        <v>44159</v>
      </c>
    </row>
    <row r="992" spans="1:13" x14ac:dyDescent="0.25">
      <c r="A992" t="s">
        <v>15</v>
      </c>
      <c r="B992" s="2">
        <v>44272</v>
      </c>
      <c r="C992">
        <v>2021</v>
      </c>
      <c r="D992" s="11">
        <f t="shared" si="37"/>
        <v>76</v>
      </c>
      <c r="E992" t="s">
        <v>6</v>
      </c>
      <c r="F992">
        <v>84.237333329999998</v>
      </c>
      <c r="G992">
        <f t="shared" si="34"/>
        <v>84.237333329999998</v>
      </c>
      <c r="I992" s="5">
        <f t="shared" si="36"/>
        <v>332</v>
      </c>
      <c r="M992" s="2">
        <v>44161</v>
      </c>
    </row>
    <row r="993" spans="1:13" x14ac:dyDescent="0.25">
      <c r="A993" t="s">
        <v>15</v>
      </c>
      <c r="B993" s="2">
        <v>44272</v>
      </c>
      <c r="C993">
        <v>2021</v>
      </c>
      <c r="D993" s="11">
        <f t="shared" si="37"/>
        <v>76</v>
      </c>
      <c r="E993" t="s">
        <v>6</v>
      </c>
      <c r="F993">
        <v>95.272444440000001</v>
      </c>
      <c r="G993">
        <f t="shared" si="34"/>
        <v>95.272444440000001</v>
      </c>
      <c r="I993" s="5">
        <f t="shared" si="36"/>
        <v>328</v>
      </c>
      <c r="M993" s="2">
        <v>44157</v>
      </c>
    </row>
    <row r="994" spans="1:13" x14ac:dyDescent="0.25">
      <c r="A994" t="s">
        <v>15</v>
      </c>
      <c r="B994" s="2">
        <v>44272</v>
      </c>
      <c r="C994">
        <v>2021</v>
      </c>
      <c r="D994" s="11">
        <f t="shared" si="37"/>
        <v>76</v>
      </c>
      <c r="E994" t="s">
        <v>6</v>
      </c>
      <c r="F994">
        <v>86.118555560000004</v>
      </c>
      <c r="G994">
        <f t="shared" si="34"/>
        <v>86.118555560000004</v>
      </c>
      <c r="I994" s="5">
        <f t="shared" si="36"/>
        <v>334</v>
      </c>
      <c r="M994" s="2">
        <v>44163</v>
      </c>
    </row>
    <row r="995" spans="1:13" x14ac:dyDescent="0.25">
      <c r="A995" t="s">
        <v>15</v>
      </c>
      <c r="B995" s="2">
        <v>44286</v>
      </c>
      <c r="C995">
        <v>2021</v>
      </c>
      <c r="D995" s="11">
        <f t="shared" si="37"/>
        <v>90</v>
      </c>
      <c r="E995" t="s">
        <v>6</v>
      </c>
      <c r="F995">
        <v>101.1565556</v>
      </c>
      <c r="G995">
        <f t="shared" si="34"/>
        <v>101.1565556</v>
      </c>
      <c r="I995" s="5">
        <f t="shared" si="36"/>
        <v>328</v>
      </c>
      <c r="M995" s="2">
        <v>44157</v>
      </c>
    </row>
    <row r="996" spans="1:13" x14ac:dyDescent="0.25">
      <c r="A996" t="s">
        <v>15</v>
      </c>
      <c r="B996" s="2">
        <v>44287</v>
      </c>
      <c r="C996">
        <v>2021</v>
      </c>
      <c r="D996" s="11">
        <f t="shared" si="37"/>
        <v>91</v>
      </c>
      <c r="E996" t="s">
        <v>6</v>
      </c>
      <c r="F996">
        <v>92.894333329999995</v>
      </c>
      <c r="G996">
        <f t="shared" si="34"/>
        <v>92.894333329999995</v>
      </c>
      <c r="I996" s="5">
        <f t="shared" si="36"/>
        <v>330</v>
      </c>
      <c r="M996" s="2">
        <v>44159</v>
      </c>
    </row>
    <row r="997" spans="1:13" x14ac:dyDescent="0.25">
      <c r="A997" t="s">
        <v>15</v>
      </c>
      <c r="B997" s="2">
        <v>44287</v>
      </c>
      <c r="C997">
        <v>2021</v>
      </c>
      <c r="D997" s="11">
        <f t="shared" si="37"/>
        <v>91</v>
      </c>
      <c r="E997" t="s">
        <v>6</v>
      </c>
      <c r="F997">
        <v>92.753333330000004</v>
      </c>
      <c r="G997">
        <f t="shared" si="34"/>
        <v>92.753333330000004</v>
      </c>
      <c r="I997" s="5">
        <f t="shared" si="36"/>
        <v>328</v>
      </c>
      <c r="M997" s="2">
        <v>44157</v>
      </c>
    </row>
    <row r="998" spans="1:13" x14ac:dyDescent="0.25">
      <c r="A998" t="s">
        <v>15</v>
      </c>
      <c r="B998" s="2">
        <v>44300</v>
      </c>
      <c r="C998">
        <v>2021</v>
      </c>
      <c r="D998" s="11">
        <f t="shared" si="37"/>
        <v>104</v>
      </c>
      <c r="E998" t="s">
        <v>6</v>
      </c>
      <c r="F998">
        <v>104.657</v>
      </c>
      <c r="G998">
        <f t="shared" si="34"/>
        <v>104.657</v>
      </c>
      <c r="I998" s="5">
        <f t="shared" si="36"/>
        <v>334</v>
      </c>
      <c r="M998" s="2">
        <v>44163</v>
      </c>
    </row>
    <row r="999" spans="1:13" x14ac:dyDescent="0.25">
      <c r="A999" t="s">
        <v>15</v>
      </c>
      <c r="B999" s="2">
        <v>44301</v>
      </c>
      <c r="C999">
        <v>2021</v>
      </c>
      <c r="D999" s="11">
        <f t="shared" si="37"/>
        <v>105</v>
      </c>
      <c r="E999" t="s">
        <v>6</v>
      </c>
      <c r="F999">
        <v>101.2516667</v>
      </c>
      <c r="G999">
        <f t="shared" ref="G999:G1062" si="38">F999</f>
        <v>101.2516667</v>
      </c>
      <c r="I999" s="5">
        <f t="shared" si="36"/>
        <v>328</v>
      </c>
      <c r="M999" s="2">
        <v>44157</v>
      </c>
    </row>
    <row r="1000" spans="1:13" x14ac:dyDescent="0.25">
      <c r="A1000" t="s">
        <v>15</v>
      </c>
      <c r="B1000" s="2">
        <v>44301</v>
      </c>
      <c r="C1000">
        <v>2021</v>
      </c>
      <c r="D1000" s="11">
        <f t="shared" si="37"/>
        <v>105</v>
      </c>
      <c r="E1000" t="s">
        <v>6</v>
      </c>
      <c r="F1000">
        <v>97.531000000000006</v>
      </c>
      <c r="G1000">
        <f t="shared" si="38"/>
        <v>97.531000000000006</v>
      </c>
      <c r="I1000" s="5">
        <f t="shared" si="36"/>
        <v>332</v>
      </c>
      <c r="M1000" s="2">
        <v>44161</v>
      </c>
    </row>
    <row r="1001" spans="1:13" x14ac:dyDescent="0.25">
      <c r="A1001" t="s">
        <v>15</v>
      </c>
      <c r="B1001" s="2">
        <v>44307</v>
      </c>
      <c r="C1001">
        <v>2021</v>
      </c>
      <c r="D1001" s="11">
        <f t="shared" si="37"/>
        <v>111</v>
      </c>
      <c r="E1001" t="s">
        <v>6</v>
      </c>
      <c r="F1001">
        <v>97.304888890000001</v>
      </c>
      <c r="G1001">
        <f t="shared" si="38"/>
        <v>97.304888890000001</v>
      </c>
      <c r="I1001" s="5">
        <f t="shared" si="36"/>
        <v>330</v>
      </c>
      <c r="M1001" s="2">
        <v>44159</v>
      </c>
    </row>
    <row r="1002" spans="1:13" x14ac:dyDescent="0.25">
      <c r="A1002" t="s">
        <v>15</v>
      </c>
      <c r="B1002" s="2">
        <v>44307</v>
      </c>
      <c r="C1002">
        <v>2021</v>
      </c>
      <c r="D1002" s="11">
        <f t="shared" si="37"/>
        <v>111</v>
      </c>
      <c r="E1002" t="s">
        <v>6</v>
      </c>
      <c r="F1002">
        <v>110.3821111</v>
      </c>
      <c r="G1002">
        <f t="shared" si="38"/>
        <v>110.3821111</v>
      </c>
      <c r="I1002" s="5">
        <f t="shared" si="36"/>
        <v>328</v>
      </c>
      <c r="M1002" s="2">
        <v>44157</v>
      </c>
    </row>
    <row r="1003" spans="1:13" x14ac:dyDescent="0.25">
      <c r="A1003" t="s">
        <v>15</v>
      </c>
      <c r="B1003" s="2">
        <v>44307</v>
      </c>
      <c r="C1003">
        <v>2021</v>
      </c>
      <c r="D1003" s="11">
        <f t="shared" si="37"/>
        <v>111</v>
      </c>
      <c r="E1003" t="s">
        <v>6</v>
      </c>
      <c r="F1003">
        <v>101.0704444</v>
      </c>
      <c r="G1003">
        <f t="shared" si="38"/>
        <v>101.0704444</v>
      </c>
      <c r="I1003" s="5">
        <f t="shared" si="36"/>
        <v>334</v>
      </c>
      <c r="M1003" s="2">
        <v>44163</v>
      </c>
    </row>
    <row r="1004" spans="1:13" x14ac:dyDescent="0.25">
      <c r="A1004" t="s">
        <v>15</v>
      </c>
      <c r="B1004" s="2">
        <v>44315</v>
      </c>
      <c r="C1004">
        <v>2021</v>
      </c>
      <c r="D1004" s="11">
        <f t="shared" si="37"/>
        <v>119</v>
      </c>
      <c r="E1004" t="s">
        <v>6</v>
      </c>
      <c r="F1004">
        <v>110.3692222</v>
      </c>
      <c r="G1004">
        <f t="shared" si="38"/>
        <v>110.3692222</v>
      </c>
      <c r="I1004" s="5">
        <f t="shared" si="36"/>
        <v>328</v>
      </c>
      <c r="M1004" s="2">
        <v>44157</v>
      </c>
    </row>
    <row r="1005" spans="1:13" x14ac:dyDescent="0.25">
      <c r="A1005" t="s">
        <v>15</v>
      </c>
      <c r="B1005" s="2">
        <v>44316</v>
      </c>
      <c r="C1005">
        <v>2021</v>
      </c>
      <c r="D1005" s="11">
        <f t="shared" si="37"/>
        <v>120</v>
      </c>
      <c r="E1005" t="s">
        <v>6</v>
      </c>
      <c r="F1005">
        <v>97.827444439999994</v>
      </c>
      <c r="G1005">
        <f t="shared" si="38"/>
        <v>97.827444439999994</v>
      </c>
      <c r="I1005" s="5">
        <f t="shared" si="36"/>
        <v>332</v>
      </c>
      <c r="M1005" s="2">
        <v>44161</v>
      </c>
    </row>
    <row r="1006" spans="1:13" x14ac:dyDescent="0.25">
      <c r="A1006" t="s">
        <v>15</v>
      </c>
      <c r="B1006" s="2">
        <v>44316</v>
      </c>
      <c r="C1006">
        <v>2021</v>
      </c>
      <c r="D1006" s="11">
        <f t="shared" si="37"/>
        <v>120</v>
      </c>
      <c r="E1006" t="s">
        <v>6</v>
      </c>
      <c r="F1006">
        <v>98.942444440000003</v>
      </c>
      <c r="G1006">
        <f t="shared" si="38"/>
        <v>98.942444440000003</v>
      </c>
      <c r="I1006" s="5">
        <f t="shared" si="36"/>
        <v>330</v>
      </c>
      <c r="M1006" s="2">
        <v>44159</v>
      </c>
    </row>
    <row r="1007" spans="1:13" x14ac:dyDescent="0.25">
      <c r="A1007" t="s">
        <v>15</v>
      </c>
      <c r="B1007" s="2">
        <v>44321</v>
      </c>
      <c r="C1007">
        <v>2021</v>
      </c>
      <c r="D1007" s="11">
        <f t="shared" si="37"/>
        <v>125</v>
      </c>
      <c r="E1007" t="s">
        <v>6</v>
      </c>
      <c r="F1007">
        <v>109.3193333</v>
      </c>
      <c r="G1007">
        <f t="shared" si="38"/>
        <v>109.3193333</v>
      </c>
      <c r="I1007" s="5">
        <f t="shared" si="36"/>
        <v>328</v>
      </c>
      <c r="M1007" s="2">
        <v>44157</v>
      </c>
    </row>
    <row r="1008" spans="1:13" x14ac:dyDescent="0.25">
      <c r="A1008" t="s">
        <v>15</v>
      </c>
      <c r="B1008" s="2">
        <v>44322</v>
      </c>
      <c r="C1008">
        <v>2021</v>
      </c>
      <c r="D1008" s="11">
        <f t="shared" si="37"/>
        <v>126</v>
      </c>
      <c r="E1008" t="s">
        <v>6</v>
      </c>
      <c r="F1008">
        <v>97.286555559999996</v>
      </c>
      <c r="G1008">
        <f t="shared" si="38"/>
        <v>97.286555559999996</v>
      </c>
      <c r="I1008" s="5">
        <f t="shared" si="36"/>
        <v>334</v>
      </c>
      <c r="M1008" s="2">
        <v>44163</v>
      </c>
    </row>
    <row r="1009" spans="1:13" x14ac:dyDescent="0.25">
      <c r="A1009" t="s">
        <v>15</v>
      </c>
      <c r="B1009" s="2">
        <v>44322</v>
      </c>
      <c r="C1009">
        <v>2021</v>
      </c>
      <c r="D1009" s="11">
        <f t="shared" si="37"/>
        <v>126</v>
      </c>
      <c r="E1009" t="s">
        <v>6</v>
      </c>
      <c r="F1009">
        <v>104.60788890000001</v>
      </c>
      <c r="G1009">
        <f t="shared" si="38"/>
        <v>104.60788890000001</v>
      </c>
      <c r="I1009" s="5">
        <f t="shared" si="36"/>
        <v>328</v>
      </c>
      <c r="M1009" s="2">
        <v>44157</v>
      </c>
    </row>
    <row r="1010" spans="1:13" x14ac:dyDescent="0.25">
      <c r="A1010" t="s">
        <v>15</v>
      </c>
      <c r="B1010" s="2">
        <v>44335</v>
      </c>
      <c r="C1010">
        <v>2021</v>
      </c>
      <c r="D1010" s="11">
        <f t="shared" si="37"/>
        <v>139</v>
      </c>
      <c r="E1010" t="s">
        <v>6</v>
      </c>
      <c r="F1010">
        <v>113.8327778</v>
      </c>
      <c r="G1010">
        <f t="shared" si="38"/>
        <v>113.8327778</v>
      </c>
      <c r="I1010" s="5">
        <f t="shared" si="36"/>
        <v>332</v>
      </c>
      <c r="M1010" s="2">
        <v>44161</v>
      </c>
    </row>
    <row r="1011" spans="1:13" x14ac:dyDescent="0.25">
      <c r="A1011" t="s">
        <v>15</v>
      </c>
      <c r="B1011" s="2">
        <v>44336</v>
      </c>
      <c r="C1011">
        <v>2021</v>
      </c>
      <c r="D1011" s="11">
        <f t="shared" si="37"/>
        <v>140</v>
      </c>
      <c r="E1011" t="s">
        <v>6</v>
      </c>
      <c r="F1011">
        <v>97.199777780000005</v>
      </c>
      <c r="G1011">
        <f t="shared" si="38"/>
        <v>97.199777780000005</v>
      </c>
      <c r="I1011" s="5">
        <f t="shared" si="36"/>
        <v>330</v>
      </c>
      <c r="M1011" s="2">
        <v>44159</v>
      </c>
    </row>
    <row r="1012" spans="1:13" x14ac:dyDescent="0.25">
      <c r="A1012" t="s">
        <v>15</v>
      </c>
      <c r="B1012" s="2">
        <v>44336</v>
      </c>
      <c r="C1012">
        <v>2021</v>
      </c>
      <c r="D1012" s="11">
        <f t="shared" si="37"/>
        <v>140</v>
      </c>
      <c r="E1012" t="s">
        <v>6</v>
      </c>
      <c r="F1012">
        <v>109.16333330000001</v>
      </c>
      <c r="G1012">
        <f t="shared" si="38"/>
        <v>109.16333330000001</v>
      </c>
      <c r="I1012" s="5">
        <f t="shared" si="36"/>
        <v>328</v>
      </c>
      <c r="M1012" s="2">
        <v>44157</v>
      </c>
    </row>
    <row r="1013" spans="1:13" x14ac:dyDescent="0.25">
      <c r="A1013" t="s">
        <v>15</v>
      </c>
      <c r="B1013" s="2">
        <v>44348</v>
      </c>
      <c r="C1013">
        <v>2021</v>
      </c>
      <c r="D1013" s="11">
        <f t="shared" si="37"/>
        <v>152</v>
      </c>
      <c r="E1013" t="s">
        <v>6</v>
      </c>
      <c r="F1013">
        <v>115.5402222</v>
      </c>
      <c r="G1013">
        <f t="shared" si="38"/>
        <v>115.5402222</v>
      </c>
      <c r="I1013" s="5">
        <f t="shared" si="36"/>
        <v>334</v>
      </c>
      <c r="M1013" s="2">
        <v>44163</v>
      </c>
    </row>
    <row r="1014" spans="1:13" x14ac:dyDescent="0.25">
      <c r="A1014" t="s">
        <v>15</v>
      </c>
      <c r="B1014" s="2">
        <v>44349</v>
      </c>
      <c r="C1014">
        <v>2021</v>
      </c>
      <c r="D1014" s="11">
        <f t="shared" si="37"/>
        <v>153</v>
      </c>
      <c r="E1014" t="s">
        <v>6</v>
      </c>
      <c r="F1014">
        <v>97.870111109999996</v>
      </c>
      <c r="G1014">
        <f t="shared" si="38"/>
        <v>97.870111109999996</v>
      </c>
      <c r="I1014" s="5">
        <f t="shared" si="36"/>
        <v>328</v>
      </c>
      <c r="M1014" s="2">
        <v>44157</v>
      </c>
    </row>
    <row r="1015" spans="1:13" x14ac:dyDescent="0.25">
      <c r="A1015" t="s">
        <v>15</v>
      </c>
      <c r="B1015" s="2">
        <v>44349</v>
      </c>
      <c r="C1015">
        <v>2021</v>
      </c>
      <c r="D1015" s="11">
        <f t="shared" si="37"/>
        <v>153</v>
      </c>
      <c r="E1015" t="s">
        <v>6</v>
      </c>
      <c r="F1015">
        <v>102.58633330000001</v>
      </c>
      <c r="G1015">
        <f t="shared" si="38"/>
        <v>102.58633330000001</v>
      </c>
      <c r="I1015" s="5">
        <f t="shared" si="36"/>
        <v>332</v>
      </c>
      <c r="M1015" s="2">
        <v>44161</v>
      </c>
    </row>
    <row r="1016" spans="1:13" hidden="1" x14ac:dyDescent="0.25">
      <c r="A1016" t="s">
        <v>20</v>
      </c>
      <c r="B1016" s="2">
        <v>44221</v>
      </c>
      <c r="C1016">
        <v>2021</v>
      </c>
      <c r="D1016" s="11">
        <f t="shared" si="37"/>
        <v>25</v>
      </c>
      <c r="E1016" t="s">
        <v>9</v>
      </c>
      <c r="F1016">
        <v>66.148111110000002</v>
      </c>
      <c r="G1016">
        <f t="shared" si="38"/>
        <v>66.148111110000002</v>
      </c>
      <c r="I1016" s="4">
        <f t="shared" ref="I1016:I1079" si="39" xml:space="preserve"> DATEDIF(DATE(YEAR(M1016),1,0),M1016,"d")+1</f>
        <v>330</v>
      </c>
      <c r="M1016" s="2">
        <v>44159</v>
      </c>
    </row>
    <row r="1017" spans="1:13" hidden="1" x14ac:dyDescent="0.25">
      <c r="A1017" t="s">
        <v>20</v>
      </c>
      <c r="B1017" s="2">
        <v>44245</v>
      </c>
      <c r="C1017">
        <v>2021</v>
      </c>
      <c r="D1017" s="11">
        <f t="shared" si="37"/>
        <v>49</v>
      </c>
      <c r="E1017" t="s">
        <v>9</v>
      </c>
      <c r="F1017">
        <v>78.188777779999995</v>
      </c>
      <c r="G1017">
        <f t="shared" si="38"/>
        <v>78.188777779999995</v>
      </c>
      <c r="I1017" s="4">
        <f t="shared" si="39"/>
        <v>324</v>
      </c>
      <c r="M1017" s="2">
        <v>44519</v>
      </c>
    </row>
    <row r="1018" spans="1:13" hidden="1" x14ac:dyDescent="0.25">
      <c r="A1018" t="s">
        <v>20</v>
      </c>
      <c r="B1018" s="2">
        <v>44256</v>
      </c>
      <c r="C1018">
        <v>2021</v>
      </c>
      <c r="D1018" s="11">
        <f t="shared" si="37"/>
        <v>60</v>
      </c>
      <c r="E1018" t="s">
        <v>9</v>
      </c>
      <c r="F1018">
        <v>85.639222219999994</v>
      </c>
      <c r="G1018">
        <f t="shared" si="38"/>
        <v>85.639222219999994</v>
      </c>
      <c r="I1018" s="4">
        <f t="shared" si="39"/>
        <v>334</v>
      </c>
      <c r="M1018" s="2">
        <v>44529</v>
      </c>
    </row>
    <row r="1019" spans="1:13" hidden="1" x14ac:dyDescent="0.25">
      <c r="A1019" t="s">
        <v>20</v>
      </c>
      <c r="B1019" s="2">
        <v>44271</v>
      </c>
      <c r="C1019">
        <v>2021</v>
      </c>
      <c r="D1019" s="11">
        <f t="shared" si="37"/>
        <v>75</v>
      </c>
      <c r="E1019" t="s">
        <v>9</v>
      </c>
      <c r="F1019">
        <v>91.981555560000004</v>
      </c>
      <c r="G1019">
        <f t="shared" si="38"/>
        <v>91.981555560000004</v>
      </c>
      <c r="I1019" s="4">
        <f t="shared" si="39"/>
        <v>323</v>
      </c>
      <c r="M1019" s="2">
        <v>44518</v>
      </c>
    </row>
    <row r="1020" spans="1:13" hidden="1" x14ac:dyDescent="0.25">
      <c r="A1020" t="s">
        <v>20</v>
      </c>
      <c r="B1020" s="2">
        <v>44284</v>
      </c>
      <c r="C1020">
        <v>2021</v>
      </c>
      <c r="D1020" s="11">
        <f t="shared" si="37"/>
        <v>88</v>
      </c>
      <c r="E1020" t="s">
        <v>9</v>
      </c>
      <c r="F1020">
        <v>96.656555560000001</v>
      </c>
      <c r="G1020">
        <f t="shared" si="38"/>
        <v>96.656555560000001</v>
      </c>
      <c r="I1020" s="4">
        <f t="shared" si="39"/>
        <v>327</v>
      </c>
      <c r="M1020" s="2">
        <v>44522</v>
      </c>
    </row>
    <row r="1021" spans="1:13" hidden="1" x14ac:dyDescent="0.25">
      <c r="A1021" t="s">
        <v>20</v>
      </c>
      <c r="B1021" s="2">
        <v>44298</v>
      </c>
      <c r="C1021">
        <v>2021</v>
      </c>
      <c r="D1021" s="11">
        <f t="shared" si="37"/>
        <v>102</v>
      </c>
      <c r="E1021" t="s">
        <v>9</v>
      </c>
      <c r="F1021">
        <v>102.13188890000001</v>
      </c>
      <c r="G1021">
        <f t="shared" si="38"/>
        <v>102.13188890000001</v>
      </c>
      <c r="I1021" s="4">
        <f t="shared" si="39"/>
        <v>323</v>
      </c>
      <c r="M1021" s="2">
        <v>44518</v>
      </c>
    </row>
    <row r="1022" spans="1:13" hidden="1" x14ac:dyDescent="0.25">
      <c r="A1022" t="s">
        <v>20</v>
      </c>
      <c r="B1022" s="2">
        <v>44307</v>
      </c>
      <c r="C1022">
        <v>2021</v>
      </c>
      <c r="D1022" s="11">
        <f t="shared" si="37"/>
        <v>111</v>
      </c>
      <c r="E1022" t="s">
        <v>9</v>
      </c>
      <c r="F1022">
        <v>106.438</v>
      </c>
      <c r="G1022">
        <f t="shared" si="38"/>
        <v>106.438</v>
      </c>
      <c r="I1022" s="4">
        <f t="shared" si="39"/>
        <v>323</v>
      </c>
      <c r="M1022" s="2">
        <v>44518</v>
      </c>
    </row>
    <row r="1023" spans="1:13" hidden="1" x14ac:dyDescent="0.25">
      <c r="A1023" t="s">
        <v>20</v>
      </c>
      <c r="B1023" s="2">
        <v>44315</v>
      </c>
      <c r="C1023">
        <v>2021</v>
      </c>
      <c r="D1023" s="11">
        <f t="shared" si="37"/>
        <v>119</v>
      </c>
      <c r="E1023" t="s">
        <v>9</v>
      </c>
      <c r="F1023">
        <v>114.3467778</v>
      </c>
      <c r="G1023">
        <f t="shared" si="38"/>
        <v>114.3467778</v>
      </c>
      <c r="I1023" s="4">
        <f t="shared" si="39"/>
        <v>324</v>
      </c>
      <c r="M1023" s="2">
        <v>44519</v>
      </c>
    </row>
    <row r="1024" spans="1:13" hidden="1" x14ac:dyDescent="0.25">
      <c r="A1024" t="s">
        <v>20</v>
      </c>
      <c r="B1024" s="2">
        <v>44321</v>
      </c>
      <c r="C1024">
        <v>2021</v>
      </c>
      <c r="D1024" s="11">
        <f t="shared" si="37"/>
        <v>125</v>
      </c>
      <c r="E1024" t="s">
        <v>9</v>
      </c>
      <c r="F1024">
        <v>108.5084444</v>
      </c>
      <c r="G1024">
        <f>Calculations!D12</f>
        <v>107.89367099756657</v>
      </c>
      <c r="H1024" t="s">
        <v>27</v>
      </c>
      <c r="I1024" s="4">
        <f t="shared" si="39"/>
        <v>334</v>
      </c>
      <c r="M1024" s="2">
        <v>44529</v>
      </c>
    </row>
    <row r="1025" spans="1:13" hidden="1" x14ac:dyDescent="0.25">
      <c r="A1025" t="s">
        <v>20</v>
      </c>
      <c r="B1025" s="2">
        <v>44333</v>
      </c>
      <c r="C1025">
        <v>2021</v>
      </c>
      <c r="D1025" s="11">
        <f t="shared" si="37"/>
        <v>137</v>
      </c>
      <c r="E1025" t="s">
        <v>9</v>
      </c>
      <c r="F1025">
        <v>110.1386667</v>
      </c>
      <c r="G1025">
        <f t="shared" si="38"/>
        <v>110.1386667</v>
      </c>
      <c r="I1025" s="4">
        <f t="shared" si="39"/>
        <v>323</v>
      </c>
      <c r="M1025" s="2">
        <v>44518</v>
      </c>
    </row>
    <row r="1026" spans="1:13" hidden="1" x14ac:dyDescent="0.25">
      <c r="A1026" t="s">
        <v>20</v>
      </c>
      <c r="B1026" s="2">
        <v>44347</v>
      </c>
      <c r="C1026">
        <v>2021</v>
      </c>
      <c r="D1026" s="11">
        <f t="shared" si="37"/>
        <v>151</v>
      </c>
      <c r="E1026" t="s">
        <v>9</v>
      </c>
      <c r="F1026">
        <v>114.625</v>
      </c>
      <c r="G1026">
        <f t="shared" si="38"/>
        <v>114.625</v>
      </c>
      <c r="I1026" s="4">
        <f t="shared" si="39"/>
        <v>327</v>
      </c>
      <c r="M1026" s="2">
        <v>44522</v>
      </c>
    </row>
    <row r="1027" spans="1:13" x14ac:dyDescent="0.25">
      <c r="A1027" t="s">
        <v>16</v>
      </c>
      <c r="B1027" s="2">
        <v>44603</v>
      </c>
      <c r="C1027">
        <v>2022</v>
      </c>
      <c r="D1027" s="11">
        <f t="shared" ref="D1027:D1090" si="40">B1027-DATE(YEAR(B1027),1,0)</f>
        <v>42</v>
      </c>
      <c r="E1027" t="s">
        <v>6</v>
      </c>
      <c r="F1027">
        <v>65.7</v>
      </c>
      <c r="G1027">
        <f t="shared" si="38"/>
        <v>65.7</v>
      </c>
      <c r="I1027" s="5">
        <f t="shared" si="39"/>
        <v>324</v>
      </c>
      <c r="M1027" s="2">
        <v>44519</v>
      </c>
    </row>
    <row r="1028" spans="1:13" x14ac:dyDescent="0.25">
      <c r="A1028" t="s">
        <v>16</v>
      </c>
      <c r="B1028" s="2">
        <v>44608</v>
      </c>
      <c r="C1028">
        <v>2022</v>
      </c>
      <c r="D1028" s="11">
        <f t="shared" si="40"/>
        <v>47</v>
      </c>
      <c r="E1028" t="s">
        <v>6</v>
      </c>
      <c r="F1028">
        <v>77</v>
      </c>
      <c r="G1028">
        <f t="shared" si="38"/>
        <v>77</v>
      </c>
      <c r="I1028" s="5">
        <f t="shared" si="39"/>
        <v>334</v>
      </c>
      <c r="M1028" s="2">
        <v>44529</v>
      </c>
    </row>
    <row r="1029" spans="1:13" x14ac:dyDescent="0.25">
      <c r="A1029" t="s">
        <v>16</v>
      </c>
      <c r="B1029" s="2">
        <v>44622</v>
      </c>
      <c r="C1029">
        <v>2022</v>
      </c>
      <c r="D1029" s="11">
        <f t="shared" si="40"/>
        <v>61</v>
      </c>
      <c r="E1029" t="s">
        <v>6</v>
      </c>
      <c r="F1029">
        <v>108.9</v>
      </c>
      <c r="G1029">
        <f t="shared" si="38"/>
        <v>108.9</v>
      </c>
      <c r="I1029" s="5">
        <f t="shared" si="39"/>
        <v>323</v>
      </c>
      <c r="M1029" s="2">
        <v>44518</v>
      </c>
    </row>
    <row r="1030" spans="1:13" x14ac:dyDescent="0.25">
      <c r="A1030" t="s">
        <v>16</v>
      </c>
      <c r="B1030" s="2">
        <v>44636</v>
      </c>
      <c r="C1030">
        <v>2022</v>
      </c>
      <c r="D1030" s="11">
        <f t="shared" si="40"/>
        <v>75</v>
      </c>
      <c r="E1030" t="s">
        <v>6</v>
      </c>
      <c r="F1030">
        <v>87.8</v>
      </c>
      <c r="G1030">
        <f t="shared" si="38"/>
        <v>87.8</v>
      </c>
      <c r="I1030" s="5">
        <f t="shared" si="39"/>
        <v>327</v>
      </c>
      <c r="M1030" s="2">
        <v>44522</v>
      </c>
    </row>
    <row r="1031" spans="1:13" x14ac:dyDescent="0.25">
      <c r="A1031" t="s">
        <v>16</v>
      </c>
      <c r="B1031" s="2">
        <v>44650</v>
      </c>
      <c r="C1031">
        <v>2022</v>
      </c>
      <c r="D1031" s="11">
        <f t="shared" si="40"/>
        <v>89</v>
      </c>
      <c r="E1031" t="s">
        <v>6</v>
      </c>
      <c r="F1031">
        <v>92</v>
      </c>
      <c r="G1031">
        <f t="shared" si="38"/>
        <v>92</v>
      </c>
      <c r="I1031" s="5">
        <f t="shared" si="39"/>
        <v>323</v>
      </c>
      <c r="M1031" s="2">
        <v>44518</v>
      </c>
    </row>
    <row r="1032" spans="1:13" x14ac:dyDescent="0.25">
      <c r="A1032" t="s">
        <v>16</v>
      </c>
      <c r="B1032" s="2">
        <v>44664</v>
      </c>
      <c r="C1032">
        <v>2022</v>
      </c>
      <c r="D1032" s="11">
        <f t="shared" si="40"/>
        <v>103</v>
      </c>
      <c r="E1032" t="s">
        <v>6</v>
      </c>
      <c r="F1032">
        <v>100</v>
      </c>
      <c r="G1032">
        <f t="shared" si="38"/>
        <v>100</v>
      </c>
      <c r="I1032" s="5">
        <f t="shared" si="39"/>
        <v>323</v>
      </c>
      <c r="M1032" s="2">
        <v>44518</v>
      </c>
    </row>
    <row r="1033" spans="1:13" x14ac:dyDescent="0.25">
      <c r="A1033" t="s">
        <v>16</v>
      </c>
      <c r="B1033" s="2">
        <v>44672</v>
      </c>
      <c r="C1033">
        <v>2022</v>
      </c>
      <c r="D1033" s="11">
        <f t="shared" si="40"/>
        <v>111</v>
      </c>
      <c r="E1033" t="s">
        <v>6</v>
      </c>
      <c r="F1033">
        <v>102.7</v>
      </c>
      <c r="G1033">
        <f t="shared" si="38"/>
        <v>102.7</v>
      </c>
      <c r="I1033" s="5">
        <f t="shared" si="39"/>
        <v>324</v>
      </c>
      <c r="M1033" s="2">
        <v>44519</v>
      </c>
    </row>
    <row r="1034" spans="1:13" x14ac:dyDescent="0.25">
      <c r="A1034" t="s">
        <v>16</v>
      </c>
      <c r="B1034" s="2">
        <v>44680</v>
      </c>
      <c r="C1034">
        <v>2022</v>
      </c>
      <c r="D1034" s="11">
        <f t="shared" si="40"/>
        <v>119</v>
      </c>
      <c r="E1034" t="s">
        <v>6</v>
      </c>
      <c r="F1034">
        <v>102.5</v>
      </c>
      <c r="G1034">
        <f t="shared" si="38"/>
        <v>102.5</v>
      </c>
      <c r="I1034" s="5">
        <f t="shared" si="39"/>
        <v>334</v>
      </c>
      <c r="M1034" s="2">
        <v>44529</v>
      </c>
    </row>
    <row r="1035" spans="1:13" x14ac:dyDescent="0.25">
      <c r="A1035" t="s">
        <v>16</v>
      </c>
      <c r="B1035" s="2">
        <v>44685</v>
      </c>
      <c r="C1035">
        <v>2022</v>
      </c>
      <c r="D1035" s="11">
        <f t="shared" si="40"/>
        <v>124</v>
      </c>
      <c r="E1035" t="s">
        <v>6</v>
      </c>
      <c r="F1035">
        <v>105.9</v>
      </c>
      <c r="G1035">
        <f t="shared" si="38"/>
        <v>105.9</v>
      </c>
      <c r="I1035" s="5">
        <f t="shared" si="39"/>
        <v>323</v>
      </c>
      <c r="M1035" s="2">
        <v>44518</v>
      </c>
    </row>
    <row r="1036" spans="1:13" x14ac:dyDescent="0.25">
      <c r="A1036" t="s">
        <v>16</v>
      </c>
      <c r="B1036" s="2">
        <v>44699</v>
      </c>
      <c r="C1036">
        <v>2022</v>
      </c>
      <c r="D1036" s="11">
        <f t="shared" si="40"/>
        <v>138</v>
      </c>
      <c r="E1036" t="s">
        <v>6</v>
      </c>
      <c r="F1036">
        <v>110.1</v>
      </c>
      <c r="G1036">
        <f t="shared" si="38"/>
        <v>110.1</v>
      </c>
      <c r="I1036" s="5">
        <f t="shared" si="39"/>
        <v>327</v>
      </c>
      <c r="M1036" s="2">
        <v>44522</v>
      </c>
    </row>
    <row r="1037" spans="1:13" x14ac:dyDescent="0.25">
      <c r="A1037" t="s">
        <v>16</v>
      </c>
      <c r="B1037" s="2">
        <v>44713</v>
      </c>
      <c r="C1037">
        <v>2022</v>
      </c>
      <c r="D1037" s="11">
        <f t="shared" si="40"/>
        <v>152</v>
      </c>
      <c r="E1037" t="s">
        <v>6</v>
      </c>
      <c r="F1037">
        <v>108.5</v>
      </c>
      <c r="G1037">
        <f t="shared" si="38"/>
        <v>108.5</v>
      </c>
      <c r="I1037" s="5">
        <f t="shared" si="39"/>
        <v>323</v>
      </c>
      <c r="M1037" s="2">
        <v>44518</v>
      </c>
    </row>
    <row r="1038" spans="1:13" x14ac:dyDescent="0.25">
      <c r="A1038" t="s">
        <v>16</v>
      </c>
      <c r="B1038" s="2">
        <v>44595</v>
      </c>
      <c r="C1038">
        <v>2022</v>
      </c>
      <c r="D1038" s="11">
        <f t="shared" si="40"/>
        <v>34</v>
      </c>
      <c r="E1038" t="s">
        <v>6</v>
      </c>
      <c r="F1038">
        <v>82.8</v>
      </c>
      <c r="G1038">
        <f t="shared" si="38"/>
        <v>82.8</v>
      </c>
      <c r="I1038" s="5">
        <f t="shared" si="39"/>
        <v>324</v>
      </c>
      <c r="M1038" s="2">
        <v>44519</v>
      </c>
    </row>
    <row r="1039" spans="1:13" x14ac:dyDescent="0.25">
      <c r="A1039" t="s">
        <v>16</v>
      </c>
      <c r="B1039" s="2">
        <v>44608</v>
      </c>
      <c r="C1039">
        <v>2022</v>
      </c>
      <c r="D1039" s="11">
        <f t="shared" si="40"/>
        <v>47</v>
      </c>
      <c r="E1039" t="s">
        <v>6</v>
      </c>
      <c r="F1039">
        <v>96.5</v>
      </c>
      <c r="G1039">
        <f t="shared" si="38"/>
        <v>96.5</v>
      </c>
      <c r="I1039" s="5">
        <f t="shared" si="39"/>
        <v>334</v>
      </c>
      <c r="M1039" s="2">
        <v>44529</v>
      </c>
    </row>
    <row r="1040" spans="1:13" x14ac:dyDescent="0.25">
      <c r="A1040" t="s">
        <v>16</v>
      </c>
      <c r="B1040" s="2">
        <v>44622</v>
      </c>
      <c r="C1040">
        <v>2022</v>
      </c>
      <c r="D1040" s="11">
        <f t="shared" si="40"/>
        <v>61</v>
      </c>
      <c r="E1040" t="s">
        <v>6</v>
      </c>
      <c r="F1040">
        <v>109</v>
      </c>
      <c r="G1040">
        <f t="shared" si="38"/>
        <v>109</v>
      </c>
      <c r="I1040" s="5">
        <f t="shared" si="39"/>
        <v>323</v>
      </c>
      <c r="M1040" s="2">
        <v>44518</v>
      </c>
    </row>
    <row r="1041" spans="1:13" x14ac:dyDescent="0.25">
      <c r="A1041" t="s">
        <v>16</v>
      </c>
      <c r="B1041" s="2">
        <v>44636</v>
      </c>
      <c r="C1041">
        <v>2022</v>
      </c>
      <c r="D1041" s="11">
        <f t="shared" si="40"/>
        <v>75</v>
      </c>
      <c r="E1041" t="s">
        <v>6</v>
      </c>
      <c r="F1041">
        <v>118.6</v>
      </c>
      <c r="G1041">
        <f t="shared" si="38"/>
        <v>118.6</v>
      </c>
      <c r="I1041" s="5">
        <f t="shared" si="39"/>
        <v>327</v>
      </c>
      <c r="M1041" s="2">
        <v>44522</v>
      </c>
    </row>
    <row r="1042" spans="1:13" x14ac:dyDescent="0.25">
      <c r="A1042" t="s">
        <v>16</v>
      </c>
      <c r="B1042" s="2">
        <v>44650</v>
      </c>
      <c r="C1042">
        <v>2022</v>
      </c>
      <c r="D1042" s="11">
        <f t="shared" si="40"/>
        <v>89</v>
      </c>
      <c r="E1042" t="s">
        <v>6</v>
      </c>
      <c r="F1042">
        <v>122</v>
      </c>
      <c r="G1042">
        <f t="shared" si="38"/>
        <v>122</v>
      </c>
      <c r="I1042" s="5">
        <f t="shared" si="39"/>
        <v>323</v>
      </c>
      <c r="M1042" s="2">
        <v>44518</v>
      </c>
    </row>
    <row r="1043" spans="1:13" x14ac:dyDescent="0.25">
      <c r="A1043" t="s">
        <v>16</v>
      </c>
      <c r="B1043" s="2">
        <v>44664</v>
      </c>
      <c r="C1043">
        <v>2022</v>
      </c>
      <c r="D1043" s="11">
        <f t="shared" si="40"/>
        <v>103</v>
      </c>
      <c r="E1043" t="s">
        <v>6</v>
      </c>
      <c r="F1043">
        <v>130.69999999999999</v>
      </c>
      <c r="G1043">
        <f t="shared" si="38"/>
        <v>130.69999999999999</v>
      </c>
      <c r="I1043" s="5">
        <f t="shared" si="39"/>
        <v>324</v>
      </c>
      <c r="M1043" s="2">
        <v>44519</v>
      </c>
    </row>
    <row r="1044" spans="1:13" x14ac:dyDescent="0.25">
      <c r="A1044" t="s">
        <v>16</v>
      </c>
      <c r="B1044" s="2">
        <v>44672</v>
      </c>
      <c r="C1044">
        <v>2022</v>
      </c>
      <c r="D1044" s="11">
        <f t="shared" si="40"/>
        <v>111</v>
      </c>
      <c r="E1044" t="s">
        <v>6</v>
      </c>
      <c r="F1044">
        <v>130.80000000000001</v>
      </c>
      <c r="G1044">
        <f t="shared" si="38"/>
        <v>130.80000000000001</v>
      </c>
      <c r="I1044" s="5">
        <f t="shared" si="39"/>
        <v>334</v>
      </c>
      <c r="M1044" s="2">
        <v>44529</v>
      </c>
    </row>
    <row r="1045" spans="1:13" x14ac:dyDescent="0.25">
      <c r="A1045" t="s">
        <v>16</v>
      </c>
      <c r="B1045" s="2">
        <v>44680</v>
      </c>
      <c r="C1045">
        <v>2022</v>
      </c>
      <c r="D1045" s="11">
        <f t="shared" si="40"/>
        <v>119</v>
      </c>
      <c r="E1045" t="s">
        <v>6</v>
      </c>
      <c r="F1045">
        <v>131.6</v>
      </c>
      <c r="G1045">
        <f t="shared" si="38"/>
        <v>131.6</v>
      </c>
      <c r="I1045" s="5">
        <f t="shared" si="39"/>
        <v>323</v>
      </c>
      <c r="M1045" s="2">
        <v>44518</v>
      </c>
    </row>
    <row r="1046" spans="1:13" x14ac:dyDescent="0.25">
      <c r="A1046" t="s">
        <v>16</v>
      </c>
      <c r="B1046" s="2">
        <v>44685</v>
      </c>
      <c r="C1046">
        <v>2022</v>
      </c>
      <c r="D1046" s="11">
        <f t="shared" si="40"/>
        <v>124</v>
      </c>
      <c r="E1046" t="s">
        <v>6</v>
      </c>
      <c r="F1046">
        <v>134.6</v>
      </c>
      <c r="G1046" s="7">
        <f>Calculations!D8</f>
        <v>120.30373675265147</v>
      </c>
      <c r="H1046" t="s">
        <v>27</v>
      </c>
      <c r="I1046" s="5">
        <f t="shared" si="39"/>
        <v>327</v>
      </c>
      <c r="M1046" s="2">
        <v>44522</v>
      </c>
    </row>
    <row r="1047" spans="1:13" x14ac:dyDescent="0.25">
      <c r="A1047" t="s">
        <v>16</v>
      </c>
      <c r="B1047" s="2">
        <v>44699</v>
      </c>
      <c r="C1047">
        <v>2022</v>
      </c>
      <c r="D1047" s="11">
        <f t="shared" si="40"/>
        <v>138</v>
      </c>
      <c r="E1047" t="s">
        <v>6</v>
      </c>
      <c r="F1047">
        <v>134.80000000000001</v>
      </c>
      <c r="G1047">
        <f t="shared" si="38"/>
        <v>134.80000000000001</v>
      </c>
      <c r="I1047" s="5">
        <f t="shared" si="39"/>
        <v>323</v>
      </c>
      <c r="M1047" s="2">
        <v>44518</v>
      </c>
    </row>
    <row r="1048" spans="1:13" x14ac:dyDescent="0.25">
      <c r="A1048" t="s">
        <v>16</v>
      </c>
      <c r="B1048" s="2">
        <v>44713</v>
      </c>
      <c r="C1048">
        <v>2022</v>
      </c>
      <c r="D1048" s="11">
        <f t="shared" si="40"/>
        <v>152</v>
      </c>
      <c r="E1048" t="s">
        <v>6</v>
      </c>
      <c r="F1048">
        <v>134.30000000000001</v>
      </c>
      <c r="G1048">
        <f t="shared" si="38"/>
        <v>134.30000000000001</v>
      </c>
      <c r="I1048" s="5">
        <f t="shared" si="39"/>
        <v>324</v>
      </c>
      <c r="M1048" s="2">
        <v>44519</v>
      </c>
    </row>
    <row r="1049" spans="1:13" x14ac:dyDescent="0.25">
      <c r="A1049" t="s">
        <v>16</v>
      </c>
      <c r="B1049" s="2">
        <v>44595</v>
      </c>
      <c r="C1049">
        <v>2022</v>
      </c>
      <c r="D1049" s="11">
        <f t="shared" si="40"/>
        <v>34</v>
      </c>
      <c r="E1049" t="s">
        <v>6</v>
      </c>
      <c r="F1049">
        <v>73.099999999999994</v>
      </c>
      <c r="G1049">
        <f t="shared" si="38"/>
        <v>73.099999999999994</v>
      </c>
      <c r="I1049" s="5">
        <f t="shared" si="39"/>
        <v>334</v>
      </c>
      <c r="M1049" s="2">
        <v>44529</v>
      </c>
    </row>
    <row r="1050" spans="1:13" x14ac:dyDescent="0.25">
      <c r="A1050" t="s">
        <v>16</v>
      </c>
      <c r="B1050" s="2">
        <v>44608</v>
      </c>
      <c r="C1050">
        <v>2022</v>
      </c>
      <c r="D1050" s="11">
        <f t="shared" si="40"/>
        <v>47</v>
      </c>
      <c r="E1050" t="s">
        <v>6</v>
      </c>
      <c r="F1050">
        <v>85.9</v>
      </c>
      <c r="G1050">
        <f t="shared" si="38"/>
        <v>85.9</v>
      </c>
      <c r="I1050" s="5">
        <f t="shared" si="39"/>
        <v>323</v>
      </c>
      <c r="M1050" s="2">
        <v>44518</v>
      </c>
    </row>
    <row r="1051" spans="1:13" x14ac:dyDescent="0.25">
      <c r="A1051" t="s">
        <v>16</v>
      </c>
      <c r="B1051" s="2">
        <v>44622</v>
      </c>
      <c r="C1051">
        <v>2022</v>
      </c>
      <c r="D1051" s="11">
        <f t="shared" si="40"/>
        <v>61</v>
      </c>
      <c r="E1051" t="s">
        <v>6</v>
      </c>
      <c r="F1051">
        <v>91</v>
      </c>
      <c r="G1051">
        <f t="shared" si="38"/>
        <v>91</v>
      </c>
      <c r="I1051" s="5">
        <f t="shared" si="39"/>
        <v>327</v>
      </c>
      <c r="M1051" s="2">
        <v>44522</v>
      </c>
    </row>
    <row r="1052" spans="1:13" x14ac:dyDescent="0.25">
      <c r="A1052" t="s">
        <v>16</v>
      </c>
      <c r="B1052" s="2">
        <v>44636</v>
      </c>
      <c r="C1052">
        <v>2022</v>
      </c>
      <c r="D1052" s="11">
        <f t="shared" si="40"/>
        <v>75</v>
      </c>
      <c r="E1052" t="s">
        <v>6</v>
      </c>
      <c r="F1052">
        <v>102.2</v>
      </c>
      <c r="G1052">
        <f t="shared" si="38"/>
        <v>102.2</v>
      </c>
      <c r="I1052" s="5">
        <f t="shared" si="39"/>
        <v>323</v>
      </c>
      <c r="M1052" s="2">
        <v>44518</v>
      </c>
    </row>
    <row r="1053" spans="1:13" x14ac:dyDescent="0.25">
      <c r="A1053" t="s">
        <v>16</v>
      </c>
      <c r="B1053" s="2">
        <v>44650</v>
      </c>
      <c r="C1053">
        <v>2022</v>
      </c>
      <c r="D1053" s="11">
        <f t="shared" si="40"/>
        <v>89</v>
      </c>
      <c r="E1053" t="s">
        <v>6</v>
      </c>
      <c r="F1053">
        <v>107.1</v>
      </c>
      <c r="G1053">
        <f t="shared" si="38"/>
        <v>107.1</v>
      </c>
      <c r="I1053" s="5">
        <f t="shared" si="39"/>
        <v>324</v>
      </c>
      <c r="M1053" s="2">
        <v>44519</v>
      </c>
    </row>
    <row r="1054" spans="1:13" x14ac:dyDescent="0.25">
      <c r="A1054" t="s">
        <v>16</v>
      </c>
      <c r="B1054" s="2">
        <v>44664</v>
      </c>
      <c r="C1054">
        <v>2022</v>
      </c>
      <c r="D1054" s="11">
        <f t="shared" si="40"/>
        <v>103</v>
      </c>
      <c r="E1054" t="s">
        <v>6</v>
      </c>
      <c r="F1054">
        <v>113.7</v>
      </c>
      <c r="G1054">
        <f t="shared" si="38"/>
        <v>113.7</v>
      </c>
      <c r="I1054" s="5">
        <f t="shared" si="39"/>
        <v>334</v>
      </c>
      <c r="M1054" s="2">
        <v>44529</v>
      </c>
    </row>
    <row r="1055" spans="1:13" x14ac:dyDescent="0.25">
      <c r="A1055" t="s">
        <v>16</v>
      </c>
      <c r="B1055" s="2">
        <v>44673</v>
      </c>
      <c r="C1055">
        <v>2022</v>
      </c>
      <c r="D1055" s="11">
        <f t="shared" si="40"/>
        <v>112</v>
      </c>
      <c r="E1055" t="s">
        <v>6</v>
      </c>
      <c r="F1055">
        <v>111.4</v>
      </c>
      <c r="G1055">
        <f t="shared" si="38"/>
        <v>111.4</v>
      </c>
      <c r="I1055" s="5">
        <f t="shared" si="39"/>
        <v>323</v>
      </c>
      <c r="M1055" s="2">
        <v>44518</v>
      </c>
    </row>
    <row r="1056" spans="1:13" x14ac:dyDescent="0.25">
      <c r="A1056" t="s">
        <v>16</v>
      </c>
      <c r="B1056" s="2">
        <v>44680</v>
      </c>
      <c r="C1056">
        <v>2022</v>
      </c>
      <c r="D1056" s="11">
        <f t="shared" si="40"/>
        <v>119</v>
      </c>
      <c r="E1056" t="s">
        <v>6</v>
      </c>
      <c r="F1056">
        <v>118.6</v>
      </c>
      <c r="G1056">
        <f t="shared" si="38"/>
        <v>118.6</v>
      </c>
      <c r="I1056" s="5">
        <f t="shared" si="39"/>
        <v>327</v>
      </c>
      <c r="M1056" s="2">
        <v>44522</v>
      </c>
    </row>
    <row r="1057" spans="1:13" x14ac:dyDescent="0.25">
      <c r="A1057" t="s">
        <v>16</v>
      </c>
      <c r="B1057" s="2">
        <v>44685</v>
      </c>
      <c r="C1057">
        <v>2022</v>
      </c>
      <c r="D1057" s="11">
        <f t="shared" si="40"/>
        <v>124</v>
      </c>
      <c r="E1057" t="s">
        <v>6</v>
      </c>
      <c r="F1057">
        <v>120.7</v>
      </c>
      <c r="G1057">
        <f t="shared" si="38"/>
        <v>120.7</v>
      </c>
      <c r="I1057" s="5">
        <f t="shared" si="39"/>
        <v>323</v>
      </c>
      <c r="M1057" s="2">
        <v>44518</v>
      </c>
    </row>
    <row r="1058" spans="1:13" x14ac:dyDescent="0.25">
      <c r="A1058" t="s">
        <v>16</v>
      </c>
      <c r="B1058" s="2">
        <v>44699</v>
      </c>
      <c r="C1058">
        <v>2022</v>
      </c>
      <c r="D1058" s="11">
        <f t="shared" si="40"/>
        <v>138</v>
      </c>
      <c r="E1058" t="s">
        <v>6</v>
      </c>
      <c r="F1058">
        <v>127</v>
      </c>
      <c r="G1058">
        <f t="shared" si="38"/>
        <v>127</v>
      </c>
      <c r="I1058" s="5">
        <f t="shared" si="39"/>
        <v>324</v>
      </c>
      <c r="M1058" s="2">
        <v>44519</v>
      </c>
    </row>
    <row r="1059" spans="1:13" x14ac:dyDescent="0.25">
      <c r="A1059" t="s">
        <v>16</v>
      </c>
      <c r="B1059" s="2">
        <v>44713</v>
      </c>
      <c r="C1059">
        <v>2022</v>
      </c>
      <c r="D1059" s="11">
        <f t="shared" si="40"/>
        <v>152</v>
      </c>
      <c r="E1059" t="s">
        <v>6</v>
      </c>
      <c r="F1059">
        <v>126.8</v>
      </c>
      <c r="G1059">
        <f t="shared" si="38"/>
        <v>126.8</v>
      </c>
      <c r="I1059" s="5">
        <f t="shared" si="39"/>
        <v>334</v>
      </c>
      <c r="M1059" s="2">
        <v>44529</v>
      </c>
    </row>
    <row r="1060" spans="1:13" x14ac:dyDescent="0.25">
      <c r="A1060" t="s">
        <v>16</v>
      </c>
      <c r="B1060" s="2">
        <v>44595</v>
      </c>
      <c r="C1060">
        <v>2022</v>
      </c>
      <c r="D1060" s="11">
        <f t="shared" si="40"/>
        <v>34</v>
      </c>
      <c r="E1060" t="s">
        <v>6</v>
      </c>
      <c r="F1060">
        <v>69.599999999999994</v>
      </c>
      <c r="G1060">
        <f t="shared" si="38"/>
        <v>69.599999999999994</v>
      </c>
      <c r="I1060" s="5">
        <f t="shared" si="39"/>
        <v>323</v>
      </c>
      <c r="M1060" s="2">
        <v>44518</v>
      </c>
    </row>
    <row r="1061" spans="1:13" x14ac:dyDescent="0.25">
      <c r="A1061" t="s">
        <v>16</v>
      </c>
      <c r="B1061" s="2">
        <v>44608</v>
      </c>
      <c r="C1061">
        <v>2022</v>
      </c>
      <c r="D1061" s="11">
        <f t="shared" si="40"/>
        <v>47</v>
      </c>
      <c r="E1061" t="s">
        <v>6</v>
      </c>
      <c r="F1061">
        <v>80.2</v>
      </c>
      <c r="G1061">
        <f t="shared" si="38"/>
        <v>80.2</v>
      </c>
      <c r="I1061" s="5">
        <f t="shared" si="39"/>
        <v>327</v>
      </c>
      <c r="M1061" s="2">
        <v>44522</v>
      </c>
    </row>
    <row r="1062" spans="1:13" x14ac:dyDescent="0.25">
      <c r="A1062" t="s">
        <v>16</v>
      </c>
      <c r="B1062" s="2">
        <v>44622</v>
      </c>
      <c r="C1062">
        <v>2022</v>
      </c>
      <c r="D1062" s="11">
        <f t="shared" si="40"/>
        <v>61</v>
      </c>
      <c r="E1062" t="s">
        <v>6</v>
      </c>
      <c r="F1062">
        <v>85.8</v>
      </c>
      <c r="G1062">
        <f t="shared" si="38"/>
        <v>85.8</v>
      </c>
      <c r="I1062" s="5">
        <f t="shared" si="39"/>
        <v>323</v>
      </c>
      <c r="M1062" s="2">
        <v>44518</v>
      </c>
    </row>
    <row r="1063" spans="1:13" x14ac:dyDescent="0.25">
      <c r="A1063" t="s">
        <v>16</v>
      </c>
      <c r="B1063" s="2">
        <v>44636</v>
      </c>
      <c r="C1063">
        <v>2022</v>
      </c>
      <c r="D1063" s="11">
        <f t="shared" si="40"/>
        <v>75</v>
      </c>
      <c r="E1063" t="s">
        <v>6</v>
      </c>
      <c r="F1063">
        <v>96.4</v>
      </c>
      <c r="G1063">
        <f t="shared" ref="G1063:G1126" si="41">F1063</f>
        <v>96.4</v>
      </c>
      <c r="I1063" s="5">
        <f t="shared" si="39"/>
        <v>324</v>
      </c>
      <c r="M1063" s="2">
        <v>44519</v>
      </c>
    </row>
    <row r="1064" spans="1:13" x14ac:dyDescent="0.25">
      <c r="A1064" t="s">
        <v>16</v>
      </c>
      <c r="B1064" s="2">
        <v>44650</v>
      </c>
      <c r="C1064">
        <v>2022</v>
      </c>
      <c r="D1064" s="11">
        <f t="shared" si="40"/>
        <v>89</v>
      </c>
      <c r="E1064" t="s">
        <v>6</v>
      </c>
      <c r="F1064">
        <v>106.7</v>
      </c>
      <c r="G1064">
        <f t="shared" si="41"/>
        <v>106.7</v>
      </c>
      <c r="I1064" s="5">
        <f t="shared" si="39"/>
        <v>334</v>
      </c>
      <c r="M1064" s="2">
        <v>44529</v>
      </c>
    </row>
    <row r="1065" spans="1:13" x14ac:dyDescent="0.25">
      <c r="A1065" t="s">
        <v>16</v>
      </c>
      <c r="B1065" s="2">
        <v>44664</v>
      </c>
      <c r="C1065">
        <v>2022</v>
      </c>
      <c r="D1065" s="11">
        <f t="shared" si="40"/>
        <v>103</v>
      </c>
      <c r="E1065" t="s">
        <v>6</v>
      </c>
      <c r="F1065">
        <v>114</v>
      </c>
      <c r="G1065">
        <f t="shared" si="41"/>
        <v>114</v>
      </c>
      <c r="I1065" s="5">
        <f t="shared" si="39"/>
        <v>323</v>
      </c>
      <c r="M1065" s="2">
        <v>44518</v>
      </c>
    </row>
    <row r="1066" spans="1:13" x14ac:dyDescent="0.25">
      <c r="A1066" t="s">
        <v>16</v>
      </c>
      <c r="B1066" s="2">
        <v>44673</v>
      </c>
      <c r="C1066">
        <v>2022</v>
      </c>
      <c r="D1066" s="11">
        <f t="shared" si="40"/>
        <v>112</v>
      </c>
      <c r="E1066" t="s">
        <v>6</v>
      </c>
      <c r="F1066">
        <v>111.3</v>
      </c>
      <c r="G1066">
        <f t="shared" si="41"/>
        <v>111.3</v>
      </c>
      <c r="I1066" s="5">
        <f t="shared" si="39"/>
        <v>327</v>
      </c>
      <c r="M1066" s="2">
        <v>44522</v>
      </c>
    </row>
    <row r="1067" spans="1:13" x14ac:dyDescent="0.25">
      <c r="A1067" t="s">
        <v>16</v>
      </c>
      <c r="B1067" s="2">
        <v>44680</v>
      </c>
      <c r="C1067">
        <v>2022</v>
      </c>
      <c r="D1067" s="11">
        <f t="shared" si="40"/>
        <v>119</v>
      </c>
      <c r="E1067" t="s">
        <v>6</v>
      </c>
      <c r="F1067">
        <v>109.8</v>
      </c>
      <c r="G1067">
        <f t="shared" si="41"/>
        <v>109.8</v>
      </c>
      <c r="I1067" s="5">
        <f t="shared" si="39"/>
        <v>323</v>
      </c>
      <c r="M1067" s="2">
        <v>44518</v>
      </c>
    </row>
    <row r="1068" spans="1:13" x14ac:dyDescent="0.25">
      <c r="A1068" t="s">
        <v>16</v>
      </c>
      <c r="B1068" s="2">
        <v>44685</v>
      </c>
      <c r="C1068">
        <v>2022</v>
      </c>
      <c r="D1068" s="11">
        <f t="shared" si="40"/>
        <v>124</v>
      </c>
      <c r="E1068" t="s">
        <v>6</v>
      </c>
      <c r="F1068">
        <v>112.7</v>
      </c>
      <c r="G1068">
        <f t="shared" si="41"/>
        <v>112.7</v>
      </c>
      <c r="I1068" s="5">
        <f t="shared" si="39"/>
        <v>324</v>
      </c>
      <c r="M1068" s="2">
        <v>44519</v>
      </c>
    </row>
    <row r="1069" spans="1:13" x14ac:dyDescent="0.25">
      <c r="A1069" t="s">
        <v>16</v>
      </c>
      <c r="B1069" s="2">
        <v>44699</v>
      </c>
      <c r="C1069">
        <v>2022</v>
      </c>
      <c r="D1069" s="11">
        <f t="shared" si="40"/>
        <v>138</v>
      </c>
      <c r="E1069" t="s">
        <v>6</v>
      </c>
      <c r="F1069">
        <v>115.6</v>
      </c>
      <c r="G1069">
        <f t="shared" si="41"/>
        <v>115.6</v>
      </c>
      <c r="I1069" s="5">
        <f t="shared" si="39"/>
        <v>334</v>
      </c>
      <c r="M1069" s="2">
        <v>44529</v>
      </c>
    </row>
    <row r="1070" spans="1:13" x14ac:dyDescent="0.25">
      <c r="A1070" t="s">
        <v>16</v>
      </c>
      <c r="B1070" s="2">
        <v>44713</v>
      </c>
      <c r="C1070">
        <v>2022</v>
      </c>
      <c r="D1070" s="11">
        <f t="shared" si="40"/>
        <v>152</v>
      </c>
      <c r="E1070" t="s">
        <v>6</v>
      </c>
      <c r="F1070">
        <v>117.9</v>
      </c>
      <c r="G1070">
        <f t="shared" si="41"/>
        <v>117.9</v>
      </c>
      <c r="I1070" s="5">
        <f t="shared" si="39"/>
        <v>323</v>
      </c>
      <c r="M1070" s="2">
        <v>44518</v>
      </c>
    </row>
    <row r="1071" spans="1:13" x14ac:dyDescent="0.25">
      <c r="A1071" t="s">
        <v>16</v>
      </c>
      <c r="B1071" s="2">
        <v>44595</v>
      </c>
      <c r="C1071">
        <v>2022</v>
      </c>
      <c r="D1071" s="11">
        <f t="shared" si="40"/>
        <v>34</v>
      </c>
      <c r="E1071" t="s">
        <v>6</v>
      </c>
      <c r="F1071">
        <v>83.4</v>
      </c>
      <c r="G1071">
        <f t="shared" si="41"/>
        <v>83.4</v>
      </c>
      <c r="I1071" s="5">
        <f t="shared" si="39"/>
        <v>327</v>
      </c>
      <c r="M1071" s="2">
        <v>44522</v>
      </c>
    </row>
    <row r="1072" spans="1:13" x14ac:dyDescent="0.25">
      <c r="A1072" t="s">
        <v>16</v>
      </c>
      <c r="B1072" s="2">
        <v>44608</v>
      </c>
      <c r="C1072">
        <v>2022</v>
      </c>
      <c r="D1072" s="11">
        <f t="shared" si="40"/>
        <v>47</v>
      </c>
      <c r="E1072" t="s">
        <v>6</v>
      </c>
      <c r="F1072">
        <v>94.3</v>
      </c>
      <c r="G1072">
        <f t="shared" si="41"/>
        <v>94.3</v>
      </c>
      <c r="I1072" s="5">
        <f t="shared" si="39"/>
        <v>323</v>
      </c>
      <c r="M1072" s="2">
        <v>44518</v>
      </c>
    </row>
    <row r="1073" spans="1:13" x14ac:dyDescent="0.25">
      <c r="A1073" t="s">
        <v>16</v>
      </c>
      <c r="B1073" s="2">
        <v>44622</v>
      </c>
      <c r="C1073">
        <v>2022</v>
      </c>
      <c r="D1073" s="11">
        <f t="shared" si="40"/>
        <v>61</v>
      </c>
      <c r="E1073" t="s">
        <v>6</v>
      </c>
      <c r="F1073">
        <v>102.9</v>
      </c>
      <c r="G1073">
        <f t="shared" si="41"/>
        <v>102.9</v>
      </c>
      <c r="I1073" s="5">
        <f t="shared" si="39"/>
        <v>324</v>
      </c>
      <c r="M1073" s="2">
        <v>44519</v>
      </c>
    </row>
    <row r="1074" spans="1:13" x14ac:dyDescent="0.25">
      <c r="A1074" t="s">
        <v>16</v>
      </c>
      <c r="B1074" s="2">
        <v>44636</v>
      </c>
      <c r="C1074">
        <v>2022</v>
      </c>
      <c r="D1074" s="11">
        <f t="shared" si="40"/>
        <v>75</v>
      </c>
      <c r="E1074" t="s">
        <v>6</v>
      </c>
      <c r="F1074">
        <v>104</v>
      </c>
      <c r="G1074">
        <f t="shared" si="41"/>
        <v>104</v>
      </c>
      <c r="I1074" s="5">
        <f t="shared" si="39"/>
        <v>334</v>
      </c>
      <c r="M1074" s="2">
        <v>44529</v>
      </c>
    </row>
    <row r="1075" spans="1:13" x14ac:dyDescent="0.25">
      <c r="A1075" t="s">
        <v>16</v>
      </c>
      <c r="B1075" s="2">
        <v>44650</v>
      </c>
      <c r="C1075">
        <v>2022</v>
      </c>
      <c r="D1075" s="11">
        <f t="shared" si="40"/>
        <v>89</v>
      </c>
      <c r="E1075" t="s">
        <v>6</v>
      </c>
      <c r="F1075">
        <v>113.4</v>
      </c>
      <c r="G1075">
        <f t="shared" si="41"/>
        <v>113.4</v>
      </c>
      <c r="I1075" s="5">
        <f t="shared" si="39"/>
        <v>323</v>
      </c>
      <c r="M1075" s="2">
        <v>44518</v>
      </c>
    </row>
    <row r="1076" spans="1:13" x14ac:dyDescent="0.25">
      <c r="A1076" t="s">
        <v>16</v>
      </c>
      <c r="B1076" s="2">
        <v>44664</v>
      </c>
      <c r="C1076">
        <v>2022</v>
      </c>
      <c r="D1076" s="11">
        <f t="shared" si="40"/>
        <v>103</v>
      </c>
      <c r="E1076" t="s">
        <v>6</v>
      </c>
      <c r="F1076">
        <v>125.8</v>
      </c>
      <c r="G1076">
        <f t="shared" si="41"/>
        <v>125.8</v>
      </c>
      <c r="I1076" s="5">
        <f t="shared" si="39"/>
        <v>327</v>
      </c>
      <c r="M1076" s="2">
        <v>44522</v>
      </c>
    </row>
    <row r="1077" spans="1:13" x14ac:dyDescent="0.25">
      <c r="A1077" t="s">
        <v>16</v>
      </c>
      <c r="B1077" s="2">
        <v>44672</v>
      </c>
      <c r="C1077">
        <v>2022</v>
      </c>
      <c r="D1077" s="11">
        <f t="shared" si="40"/>
        <v>111</v>
      </c>
      <c r="E1077" t="s">
        <v>6</v>
      </c>
      <c r="F1077">
        <v>132.9</v>
      </c>
      <c r="G1077">
        <f t="shared" si="41"/>
        <v>132.9</v>
      </c>
      <c r="I1077" s="5">
        <f t="shared" si="39"/>
        <v>323</v>
      </c>
      <c r="M1077" s="2">
        <v>44518</v>
      </c>
    </row>
    <row r="1078" spans="1:13" x14ac:dyDescent="0.25">
      <c r="A1078" t="s">
        <v>16</v>
      </c>
      <c r="B1078" s="2">
        <v>44680</v>
      </c>
      <c r="C1078">
        <v>2022</v>
      </c>
      <c r="D1078" s="11">
        <f t="shared" si="40"/>
        <v>119</v>
      </c>
      <c r="E1078" t="s">
        <v>6</v>
      </c>
      <c r="F1078">
        <v>139.80000000000001</v>
      </c>
      <c r="G1078">
        <f t="shared" si="41"/>
        <v>139.80000000000001</v>
      </c>
      <c r="I1078" s="5">
        <f t="shared" si="39"/>
        <v>324</v>
      </c>
      <c r="M1078" s="2">
        <v>44519</v>
      </c>
    </row>
    <row r="1079" spans="1:13" x14ac:dyDescent="0.25">
      <c r="A1079" t="s">
        <v>16</v>
      </c>
      <c r="B1079" s="2">
        <v>44685</v>
      </c>
      <c r="C1079">
        <v>2022</v>
      </c>
      <c r="D1079" s="11">
        <f t="shared" si="40"/>
        <v>124</v>
      </c>
      <c r="E1079" t="s">
        <v>6</v>
      </c>
      <c r="F1079">
        <v>135.1</v>
      </c>
      <c r="G1079">
        <f t="shared" si="41"/>
        <v>135.1</v>
      </c>
      <c r="I1079" s="5">
        <f t="shared" si="39"/>
        <v>334</v>
      </c>
      <c r="M1079" s="2">
        <v>44529</v>
      </c>
    </row>
    <row r="1080" spans="1:13" x14ac:dyDescent="0.25">
      <c r="A1080" t="s">
        <v>16</v>
      </c>
      <c r="B1080" s="2">
        <v>44699</v>
      </c>
      <c r="C1080">
        <v>2022</v>
      </c>
      <c r="D1080" s="11">
        <f t="shared" si="40"/>
        <v>138</v>
      </c>
      <c r="E1080" t="s">
        <v>6</v>
      </c>
      <c r="F1080">
        <v>138.1</v>
      </c>
      <c r="G1080">
        <f t="shared" si="41"/>
        <v>138.1</v>
      </c>
      <c r="I1080" s="5">
        <f t="shared" ref="I1080:I1081" si="42" xml:space="preserve"> DATEDIF(DATE(YEAR(M1080),1,0),M1080,"d")+1</f>
        <v>323</v>
      </c>
      <c r="M1080" s="2">
        <v>44518</v>
      </c>
    </row>
    <row r="1081" spans="1:13" x14ac:dyDescent="0.25">
      <c r="A1081" t="s">
        <v>16</v>
      </c>
      <c r="B1081" s="2">
        <v>44713</v>
      </c>
      <c r="C1081">
        <v>2022</v>
      </c>
      <c r="D1081" s="11">
        <f t="shared" si="40"/>
        <v>152</v>
      </c>
      <c r="E1081" t="s">
        <v>6</v>
      </c>
      <c r="F1081">
        <v>142</v>
      </c>
      <c r="G1081">
        <f t="shared" si="41"/>
        <v>142</v>
      </c>
      <c r="I1081" s="5">
        <f t="shared" si="42"/>
        <v>327</v>
      </c>
      <c r="M1081" s="2">
        <v>44522</v>
      </c>
    </row>
    <row r="1082" spans="1:13" hidden="1" x14ac:dyDescent="0.25">
      <c r="A1082" t="s">
        <v>21</v>
      </c>
      <c r="B1082" s="2">
        <v>44607</v>
      </c>
      <c r="C1082">
        <v>2022</v>
      </c>
      <c r="D1082" s="11">
        <f t="shared" si="40"/>
        <v>46</v>
      </c>
      <c r="E1082" t="s">
        <v>9</v>
      </c>
      <c r="F1082">
        <v>66.400000000000006</v>
      </c>
      <c r="G1082">
        <f t="shared" si="41"/>
        <v>66.400000000000006</v>
      </c>
      <c r="I1082" s="4">
        <f t="shared" ref="I1082:I1145" si="43" xml:space="preserve"> DATEDIF(DATE(YEAR(M1082),1,0),M1082,"d")+1</f>
        <v>326</v>
      </c>
      <c r="M1082" s="2">
        <v>44886</v>
      </c>
    </row>
    <row r="1083" spans="1:13" hidden="1" x14ac:dyDescent="0.25">
      <c r="A1083" t="s">
        <v>21</v>
      </c>
      <c r="B1083" s="2">
        <v>44608</v>
      </c>
      <c r="C1083">
        <v>2022</v>
      </c>
      <c r="D1083" s="11">
        <f t="shared" si="40"/>
        <v>47</v>
      </c>
      <c r="E1083" t="s">
        <v>9</v>
      </c>
      <c r="F1083">
        <v>76.599999999999994</v>
      </c>
      <c r="G1083">
        <f t="shared" si="41"/>
        <v>76.599999999999994</v>
      </c>
      <c r="I1083" s="4">
        <f t="shared" si="43"/>
        <v>327</v>
      </c>
      <c r="M1083" s="2">
        <v>44887</v>
      </c>
    </row>
    <row r="1084" spans="1:13" hidden="1" x14ac:dyDescent="0.25">
      <c r="A1084" t="s">
        <v>21</v>
      </c>
      <c r="B1084" s="2">
        <v>44622</v>
      </c>
      <c r="C1084">
        <v>2022</v>
      </c>
      <c r="D1084" s="11">
        <f t="shared" si="40"/>
        <v>61</v>
      </c>
      <c r="E1084" t="s">
        <v>9</v>
      </c>
      <c r="F1084">
        <v>82.4</v>
      </c>
      <c r="G1084">
        <f t="shared" si="41"/>
        <v>82.4</v>
      </c>
      <c r="I1084" s="4">
        <f t="shared" si="43"/>
        <v>333</v>
      </c>
      <c r="M1084" s="2">
        <v>44893</v>
      </c>
    </row>
    <row r="1085" spans="1:13" hidden="1" x14ac:dyDescent="0.25">
      <c r="A1085" t="s">
        <v>21</v>
      </c>
      <c r="B1085" s="2">
        <v>44622</v>
      </c>
      <c r="C1085">
        <v>2022</v>
      </c>
      <c r="D1085" s="11">
        <f t="shared" si="40"/>
        <v>61</v>
      </c>
      <c r="E1085" t="s">
        <v>9</v>
      </c>
      <c r="F1085">
        <v>99.9</v>
      </c>
      <c r="G1085">
        <f t="shared" si="41"/>
        <v>99.9</v>
      </c>
      <c r="I1085" s="4">
        <f t="shared" si="43"/>
        <v>326</v>
      </c>
      <c r="M1085" s="2">
        <v>44886</v>
      </c>
    </row>
    <row r="1086" spans="1:13" hidden="1" x14ac:dyDescent="0.25">
      <c r="A1086" t="s">
        <v>21</v>
      </c>
      <c r="B1086" s="2">
        <v>44635</v>
      </c>
      <c r="C1086">
        <v>2022</v>
      </c>
      <c r="D1086" s="11">
        <f t="shared" si="40"/>
        <v>74</v>
      </c>
      <c r="E1086" t="s">
        <v>9</v>
      </c>
      <c r="F1086">
        <v>91.4</v>
      </c>
      <c r="G1086">
        <f t="shared" si="41"/>
        <v>91.4</v>
      </c>
      <c r="I1086" s="4">
        <f t="shared" si="43"/>
        <v>330</v>
      </c>
      <c r="M1086" s="2">
        <v>44890</v>
      </c>
    </row>
    <row r="1087" spans="1:13" hidden="1" x14ac:dyDescent="0.25">
      <c r="A1087" t="s">
        <v>21</v>
      </c>
      <c r="B1087" s="2">
        <v>44662</v>
      </c>
      <c r="C1087">
        <v>2022</v>
      </c>
      <c r="D1087" s="11">
        <f t="shared" si="40"/>
        <v>101</v>
      </c>
      <c r="E1087" t="s">
        <v>9</v>
      </c>
      <c r="F1087">
        <v>103.4</v>
      </c>
      <c r="G1087">
        <f t="shared" si="41"/>
        <v>103.4</v>
      </c>
      <c r="I1087" s="4">
        <f t="shared" si="43"/>
        <v>326</v>
      </c>
      <c r="M1087" s="2">
        <v>44886</v>
      </c>
    </row>
    <row r="1088" spans="1:13" hidden="1" x14ac:dyDescent="0.25">
      <c r="A1088" t="s">
        <v>21</v>
      </c>
      <c r="B1088" s="2">
        <v>44669</v>
      </c>
      <c r="C1088">
        <v>2022</v>
      </c>
      <c r="D1088" s="11">
        <f t="shared" si="40"/>
        <v>108</v>
      </c>
      <c r="E1088" t="s">
        <v>9</v>
      </c>
      <c r="F1088">
        <v>107.5</v>
      </c>
      <c r="G1088">
        <f t="shared" si="41"/>
        <v>107.5</v>
      </c>
      <c r="I1088" s="4">
        <f t="shared" si="43"/>
        <v>327</v>
      </c>
      <c r="M1088" s="2">
        <v>44887</v>
      </c>
    </row>
    <row r="1089" spans="1:13" hidden="1" x14ac:dyDescent="0.25">
      <c r="A1089" t="s">
        <v>21</v>
      </c>
      <c r="B1089" s="2">
        <v>44677</v>
      </c>
      <c r="C1089">
        <v>2022</v>
      </c>
      <c r="D1089" s="11">
        <f t="shared" si="40"/>
        <v>116</v>
      </c>
      <c r="E1089" t="s">
        <v>9</v>
      </c>
      <c r="F1089">
        <v>110</v>
      </c>
      <c r="G1089">
        <f t="shared" si="41"/>
        <v>110</v>
      </c>
      <c r="I1089" s="4">
        <f t="shared" si="43"/>
        <v>333</v>
      </c>
      <c r="M1089" s="2">
        <v>44893</v>
      </c>
    </row>
    <row r="1090" spans="1:13" hidden="1" x14ac:dyDescent="0.25">
      <c r="A1090" t="s">
        <v>21</v>
      </c>
      <c r="B1090" s="2">
        <v>44683</v>
      </c>
      <c r="C1090">
        <v>2022</v>
      </c>
      <c r="D1090" s="11">
        <f t="shared" si="40"/>
        <v>122</v>
      </c>
      <c r="E1090" t="s">
        <v>9</v>
      </c>
      <c r="F1090">
        <v>111.3</v>
      </c>
      <c r="G1090">
        <f t="shared" si="41"/>
        <v>111.3</v>
      </c>
      <c r="I1090" s="4">
        <f t="shared" si="43"/>
        <v>326</v>
      </c>
      <c r="M1090" s="2">
        <v>44886</v>
      </c>
    </row>
    <row r="1091" spans="1:13" hidden="1" x14ac:dyDescent="0.25">
      <c r="A1091" t="s">
        <v>21</v>
      </c>
      <c r="B1091" s="2">
        <v>44697</v>
      </c>
      <c r="C1091">
        <v>2022</v>
      </c>
      <c r="D1091" s="11">
        <f t="shared" ref="D1091:D1154" si="44">B1091-DATE(YEAR(B1091),1,0)</f>
        <v>136</v>
      </c>
      <c r="E1091" t="s">
        <v>9</v>
      </c>
      <c r="F1091">
        <v>115.8</v>
      </c>
      <c r="G1091">
        <f>Calculations!D13</f>
        <v>110.9588861201894</v>
      </c>
      <c r="H1091" t="s">
        <v>27</v>
      </c>
      <c r="I1091" s="4">
        <f t="shared" si="43"/>
        <v>330</v>
      </c>
      <c r="M1091" s="2">
        <v>44890</v>
      </c>
    </row>
    <row r="1092" spans="1:13" hidden="1" x14ac:dyDescent="0.25">
      <c r="A1092" t="s">
        <v>21</v>
      </c>
      <c r="B1092" s="2">
        <v>44711</v>
      </c>
      <c r="C1092">
        <v>2022</v>
      </c>
      <c r="D1092" s="11">
        <f t="shared" si="44"/>
        <v>150</v>
      </c>
      <c r="E1092" t="s">
        <v>9</v>
      </c>
      <c r="F1092">
        <v>115.8</v>
      </c>
      <c r="G1092">
        <f t="shared" si="41"/>
        <v>115.8</v>
      </c>
      <c r="I1092" s="4">
        <f t="shared" si="43"/>
        <v>326</v>
      </c>
      <c r="M1092" s="2">
        <v>44886</v>
      </c>
    </row>
    <row r="1093" spans="1:13" x14ac:dyDescent="0.25">
      <c r="A1093" t="s">
        <v>17</v>
      </c>
      <c r="B1093" s="2">
        <v>44952</v>
      </c>
      <c r="C1093">
        <v>2023</v>
      </c>
      <c r="D1093" s="11">
        <f t="shared" si="44"/>
        <v>26</v>
      </c>
      <c r="E1093" t="s">
        <v>6</v>
      </c>
      <c r="F1093">
        <v>67.400000000000006</v>
      </c>
      <c r="G1093">
        <f t="shared" si="41"/>
        <v>67.400000000000006</v>
      </c>
      <c r="I1093" s="5">
        <f t="shared" si="43"/>
        <v>330</v>
      </c>
      <c r="M1093" s="2">
        <v>44890</v>
      </c>
    </row>
    <row r="1094" spans="1:13" x14ac:dyDescent="0.25">
      <c r="A1094" t="s">
        <v>17</v>
      </c>
      <c r="B1094" s="2">
        <v>44973</v>
      </c>
      <c r="C1094">
        <v>2023</v>
      </c>
      <c r="D1094" s="11">
        <f t="shared" si="44"/>
        <v>47</v>
      </c>
      <c r="E1094" t="s">
        <v>6</v>
      </c>
      <c r="F1094">
        <v>75.3</v>
      </c>
      <c r="G1094">
        <f t="shared" si="41"/>
        <v>75.3</v>
      </c>
      <c r="I1094" s="5">
        <f t="shared" si="43"/>
        <v>326</v>
      </c>
      <c r="M1094" s="2">
        <v>44886</v>
      </c>
    </row>
    <row r="1095" spans="1:13" x14ac:dyDescent="0.25">
      <c r="A1095" t="s">
        <v>17</v>
      </c>
      <c r="B1095" s="2">
        <v>44984</v>
      </c>
      <c r="C1095">
        <v>2023</v>
      </c>
      <c r="D1095" s="11">
        <f t="shared" si="44"/>
        <v>58</v>
      </c>
      <c r="E1095" t="s">
        <v>6</v>
      </c>
      <c r="F1095">
        <v>83.9</v>
      </c>
      <c r="G1095">
        <f t="shared" si="41"/>
        <v>83.9</v>
      </c>
      <c r="I1095" s="5">
        <f t="shared" si="43"/>
        <v>327</v>
      </c>
      <c r="M1095" s="2">
        <v>44887</v>
      </c>
    </row>
    <row r="1096" spans="1:13" x14ac:dyDescent="0.25">
      <c r="A1096" t="s">
        <v>17</v>
      </c>
      <c r="B1096" s="2">
        <v>45000</v>
      </c>
      <c r="C1096">
        <v>2023</v>
      </c>
      <c r="D1096" s="11">
        <f t="shared" si="44"/>
        <v>74</v>
      </c>
      <c r="E1096" t="s">
        <v>6</v>
      </c>
      <c r="F1096">
        <v>94.4</v>
      </c>
      <c r="G1096">
        <f t="shared" si="41"/>
        <v>94.4</v>
      </c>
      <c r="I1096" s="5">
        <f t="shared" si="43"/>
        <v>333</v>
      </c>
      <c r="M1096" s="2">
        <v>44893</v>
      </c>
    </row>
    <row r="1097" spans="1:13" x14ac:dyDescent="0.25">
      <c r="A1097" t="s">
        <v>17</v>
      </c>
      <c r="B1097" s="2">
        <v>45015</v>
      </c>
      <c r="C1097">
        <v>2023</v>
      </c>
      <c r="D1097" s="11">
        <f t="shared" si="44"/>
        <v>89</v>
      </c>
      <c r="E1097" t="s">
        <v>6</v>
      </c>
      <c r="F1097">
        <v>100.6</v>
      </c>
      <c r="G1097">
        <f t="shared" si="41"/>
        <v>100.6</v>
      </c>
      <c r="I1097" s="5">
        <f t="shared" si="43"/>
        <v>326</v>
      </c>
      <c r="M1097" s="2">
        <v>44886</v>
      </c>
    </row>
    <row r="1098" spans="1:13" x14ac:dyDescent="0.25">
      <c r="A1098" t="s">
        <v>17</v>
      </c>
      <c r="B1098" s="2">
        <v>45029</v>
      </c>
      <c r="C1098">
        <v>2023</v>
      </c>
      <c r="D1098" s="11">
        <f t="shared" si="44"/>
        <v>103</v>
      </c>
      <c r="E1098" t="s">
        <v>6</v>
      </c>
      <c r="F1098">
        <v>103</v>
      </c>
      <c r="G1098">
        <f t="shared" si="41"/>
        <v>103</v>
      </c>
      <c r="I1098" s="5">
        <f t="shared" si="43"/>
        <v>326</v>
      </c>
      <c r="M1098" s="2">
        <v>44886</v>
      </c>
    </row>
    <row r="1099" spans="1:13" x14ac:dyDescent="0.25">
      <c r="A1099" t="s">
        <v>17</v>
      </c>
      <c r="B1099" s="2">
        <v>45041</v>
      </c>
      <c r="C1099">
        <v>2023</v>
      </c>
      <c r="D1099" s="11">
        <f t="shared" si="44"/>
        <v>115</v>
      </c>
      <c r="E1099" t="s">
        <v>6</v>
      </c>
      <c r="F1099">
        <v>110.6</v>
      </c>
      <c r="G1099">
        <f t="shared" si="41"/>
        <v>110.6</v>
      </c>
      <c r="I1099" s="5">
        <f t="shared" si="43"/>
        <v>326</v>
      </c>
      <c r="M1099" s="2">
        <v>44886</v>
      </c>
    </row>
    <row r="1100" spans="1:13" x14ac:dyDescent="0.25">
      <c r="A1100" t="s">
        <v>17</v>
      </c>
      <c r="B1100" s="2">
        <v>45049</v>
      </c>
      <c r="C1100">
        <v>2023</v>
      </c>
      <c r="D1100" s="11">
        <f t="shared" si="44"/>
        <v>123</v>
      </c>
      <c r="E1100" t="s">
        <v>6</v>
      </c>
      <c r="F1100">
        <v>114.6</v>
      </c>
      <c r="G1100" s="7">
        <f>Calculations!D9</f>
        <v>115.31406921489518</v>
      </c>
      <c r="H1100" t="s">
        <v>27</v>
      </c>
      <c r="I1100" s="5">
        <f t="shared" si="43"/>
        <v>327</v>
      </c>
      <c r="M1100" s="2">
        <v>44887</v>
      </c>
    </row>
    <row r="1101" spans="1:13" x14ac:dyDescent="0.25">
      <c r="A1101" t="s">
        <v>17</v>
      </c>
      <c r="B1101" s="2">
        <v>45062</v>
      </c>
      <c r="C1101">
        <v>2023</v>
      </c>
      <c r="D1101" s="11">
        <f t="shared" si="44"/>
        <v>136</v>
      </c>
      <c r="E1101" t="s">
        <v>6</v>
      </c>
      <c r="F1101">
        <v>116.7</v>
      </c>
      <c r="G1101">
        <f t="shared" si="41"/>
        <v>116.7</v>
      </c>
      <c r="I1101" s="5">
        <f t="shared" si="43"/>
        <v>333</v>
      </c>
      <c r="M1101" s="2">
        <v>44893</v>
      </c>
    </row>
    <row r="1102" spans="1:13" x14ac:dyDescent="0.25">
      <c r="A1102" t="s">
        <v>17</v>
      </c>
      <c r="B1102" s="2">
        <v>45076</v>
      </c>
      <c r="C1102">
        <v>2023</v>
      </c>
      <c r="D1102" s="11">
        <f t="shared" si="44"/>
        <v>150</v>
      </c>
      <c r="E1102" t="s">
        <v>6</v>
      </c>
      <c r="F1102">
        <v>118.8</v>
      </c>
      <c r="G1102">
        <f t="shared" si="41"/>
        <v>118.8</v>
      </c>
      <c r="I1102" s="5">
        <f t="shared" si="43"/>
        <v>330</v>
      </c>
      <c r="M1102" s="2">
        <v>44890</v>
      </c>
    </row>
    <row r="1103" spans="1:13" x14ac:dyDescent="0.25">
      <c r="A1103" t="s">
        <v>17</v>
      </c>
      <c r="B1103" s="2">
        <v>45083</v>
      </c>
      <c r="C1103">
        <v>2023</v>
      </c>
      <c r="D1103" s="11">
        <f t="shared" si="44"/>
        <v>157</v>
      </c>
      <c r="E1103" t="s">
        <v>6</v>
      </c>
      <c r="F1103">
        <v>114.3</v>
      </c>
      <c r="G1103">
        <f t="shared" si="41"/>
        <v>114.3</v>
      </c>
      <c r="I1103" s="5">
        <f t="shared" si="43"/>
        <v>326</v>
      </c>
      <c r="M1103" s="2">
        <v>44886</v>
      </c>
    </row>
    <row r="1104" spans="1:13" x14ac:dyDescent="0.25">
      <c r="A1104" t="s">
        <v>17</v>
      </c>
      <c r="B1104" s="2">
        <v>44952</v>
      </c>
      <c r="C1104">
        <v>2023</v>
      </c>
      <c r="D1104" s="11">
        <f t="shared" si="44"/>
        <v>26</v>
      </c>
      <c r="E1104" t="s">
        <v>6</v>
      </c>
      <c r="F1104">
        <v>80</v>
      </c>
      <c r="G1104">
        <f t="shared" si="41"/>
        <v>80</v>
      </c>
      <c r="I1104" s="5">
        <f t="shared" si="43"/>
        <v>327</v>
      </c>
      <c r="M1104" s="2">
        <v>44887</v>
      </c>
    </row>
    <row r="1105" spans="1:13" x14ac:dyDescent="0.25">
      <c r="A1105" t="s">
        <v>17</v>
      </c>
      <c r="B1105" s="2">
        <v>44974</v>
      </c>
      <c r="C1105">
        <v>2023</v>
      </c>
      <c r="D1105" s="11">
        <f t="shared" si="44"/>
        <v>48</v>
      </c>
      <c r="E1105" t="s">
        <v>6</v>
      </c>
      <c r="F1105">
        <v>90.7</v>
      </c>
      <c r="G1105">
        <f t="shared" si="41"/>
        <v>90.7</v>
      </c>
      <c r="I1105" s="5">
        <f t="shared" si="43"/>
        <v>333</v>
      </c>
      <c r="M1105" s="2">
        <v>44893</v>
      </c>
    </row>
    <row r="1106" spans="1:13" x14ac:dyDescent="0.25">
      <c r="A1106" t="s">
        <v>17</v>
      </c>
      <c r="B1106" s="2">
        <v>44984</v>
      </c>
      <c r="C1106">
        <v>2023</v>
      </c>
      <c r="D1106" s="11">
        <f t="shared" si="44"/>
        <v>58</v>
      </c>
      <c r="E1106" t="s">
        <v>6</v>
      </c>
      <c r="F1106">
        <v>104.6</v>
      </c>
      <c r="G1106">
        <f t="shared" si="41"/>
        <v>104.6</v>
      </c>
      <c r="I1106" s="5">
        <f t="shared" si="43"/>
        <v>326</v>
      </c>
      <c r="M1106" s="2">
        <v>44886</v>
      </c>
    </row>
    <row r="1107" spans="1:13" x14ac:dyDescent="0.25">
      <c r="A1107" t="s">
        <v>17</v>
      </c>
      <c r="B1107" s="2">
        <v>45000</v>
      </c>
      <c r="C1107">
        <v>2023</v>
      </c>
      <c r="D1107" s="11">
        <f t="shared" si="44"/>
        <v>74</v>
      </c>
      <c r="E1107" t="s">
        <v>6</v>
      </c>
      <c r="F1107">
        <v>119.5</v>
      </c>
      <c r="G1107">
        <f t="shared" si="41"/>
        <v>119.5</v>
      </c>
      <c r="I1107" s="5">
        <f t="shared" si="43"/>
        <v>330</v>
      </c>
      <c r="M1107" s="2">
        <v>44890</v>
      </c>
    </row>
    <row r="1108" spans="1:13" x14ac:dyDescent="0.25">
      <c r="A1108" t="s">
        <v>17</v>
      </c>
      <c r="B1108" s="2">
        <v>45015</v>
      </c>
      <c r="C1108">
        <v>2023</v>
      </c>
      <c r="D1108" s="11">
        <f t="shared" si="44"/>
        <v>89</v>
      </c>
      <c r="E1108" t="s">
        <v>6</v>
      </c>
      <c r="F1108">
        <v>129.5</v>
      </c>
      <c r="G1108">
        <f t="shared" si="41"/>
        <v>129.5</v>
      </c>
      <c r="I1108" s="5">
        <f t="shared" si="43"/>
        <v>326</v>
      </c>
      <c r="M1108" s="2">
        <v>44886</v>
      </c>
    </row>
    <row r="1109" spans="1:13" x14ac:dyDescent="0.25">
      <c r="A1109" t="s">
        <v>17</v>
      </c>
      <c r="B1109" s="2">
        <v>45029</v>
      </c>
      <c r="C1109">
        <v>2023</v>
      </c>
      <c r="D1109" s="11">
        <f t="shared" si="44"/>
        <v>103</v>
      </c>
      <c r="E1109" t="s">
        <v>6</v>
      </c>
      <c r="F1109">
        <v>136.80000000000001</v>
      </c>
      <c r="G1109">
        <f t="shared" si="41"/>
        <v>136.80000000000001</v>
      </c>
      <c r="I1109" s="5">
        <f t="shared" si="43"/>
        <v>327</v>
      </c>
      <c r="M1109" s="2">
        <v>44887</v>
      </c>
    </row>
    <row r="1110" spans="1:13" x14ac:dyDescent="0.25">
      <c r="A1110" t="s">
        <v>17</v>
      </c>
      <c r="B1110" s="2">
        <v>45041</v>
      </c>
      <c r="C1110">
        <v>2023</v>
      </c>
      <c r="D1110" s="11">
        <f t="shared" si="44"/>
        <v>115</v>
      </c>
      <c r="E1110" t="s">
        <v>6</v>
      </c>
      <c r="F1110">
        <v>135.19999999999999</v>
      </c>
      <c r="G1110">
        <f t="shared" si="41"/>
        <v>135.19999999999999</v>
      </c>
      <c r="I1110" s="5">
        <f t="shared" si="43"/>
        <v>333</v>
      </c>
      <c r="M1110" s="2">
        <v>44893</v>
      </c>
    </row>
    <row r="1111" spans="1:13" x14ac:dyDescent="0.25">
      <c r="A1111" t="s">
        <v>17</v>
      </c>
      <c r="B1111" s="2">
        <v>45049</v>
      </c>
      <c r="C1111">
        <v>2023</v>
      </c>
      <c r="D1111" s="11">
        <f t="shared" si="44"/>
        <v>123</v>
      </c>
      <c r="E1111" t="s">
        <v>6</v>
      </c>
      <c r="F1111">
        <v>141.4</v>
      </c>
      <c r="G1111">
        <f t="shared" si="41"/>
        <v>141.4</v>
      </c>
      <c r="I1111" s="5">
        <f t="shared" si="43"/>
        <v>326</v>
      </c>
      <c r="M1111" s="2">
        <v>44886</v>
      </c>
    </row>
    <row r="1112" spans="1:13" x14ac:dyDescent="0.25">
      <c r="A1112" t="s">
        <v>17</v>
      </c>
      <c r="B1112" s="2">
        <v>45062</v>
      </c>
      <c r="C1112">
        <v>2023</v>
      </c>
      <c r="D1112" s="11">
        <f t="shared" si="44"/>
        <v>136</v>
      </c>
      <c r="E1112" t="s">
        <v>6</v>
      </c>
      <c r="F1112">
        <v>140.5</v>
      </c>
      <c r="G1112">
        <f t="shared" si="41"/>
        <v>140.5</v>
      </c>
      <c r="I1112" s="5">
        <f t="shared" si="43"/>
        <v>330</v>
      </c>
      <c r="M1112" s="2">
        <v>44890</v>
      </c>
    </row>
    <row r="1113" spans="1:13" x14ac:dyDescent="0.25">
      <c r="A1113" t="s">
        <v>17</v>
      </c>
      <c r="B1113" s="2">
        <v>45077</v>
      </c>
      <c r="C1113">
        <v>2023</v>
      </c>
      <c r="D1113" s="11">
        <f t="shared" si="44"/>
        <v>151</v>
      </c>
      <c r="E1113" t="s">
        <v>6</v>
      </c>
      <c r="F1113">
        <v>142.80000000000001</v>
      </c>
      <c r="G1113">
        <f t="shared" si="41"/>
        <v>142.80000000000001</v>
      </c>
      <c r="I1113" s="5">
        <f t="shared" si="43"/>
        <v>326</v>
      </c>
      <c r="M1113" s="2">
        <v>44886</v>
      </c>
    </row>
    <row r="1114" spans="1:13" x14ac:dyDescent="0.25">
      <c r="A1114" t="s">
        <v>17</v>
      </c>
      <c r="B1114" s="2">
        <v>45083</v>
      </c>
      <c r="C1114">
        <v>2023</v>
      </c>
      <c r="D1114" s="11">
        <f t="shared" si="44"/>
        <v>157</v>
      </c>
      <c r="E1114" t="s">
        <v>6</v>
      </c>
      <c r="F1114">
        <v>131</v>
      </c>
      <c r="G1114">
        <f t="shared" si="41"/>
        <v>131</v>
      </c>
      <c r="I1114" s="5">
        <f t="shared" si="43"/>
        <v>330</v>
      </c>
      <c r="M1114" s="2">
        <v>44890</v>
      </c>
    </row>
    <row r="1115" spans="1:13" x14ac:dyDescent="0.25">
      <c r="A1115" t="s">
        <v>17</v>
      </c>
      <c r="B1115" s="2">
        <v>44952</v>
      </c>
      <c r="C1115">
        <v>2023</v>
      </c>
      <c r="D1115" s="11">
        <f t="shared" si="44"/>
        <v>26</v>
      </c>
      <c r="E1115" t="s">
        <v>6</v>
      </c>
      <c r="F1115">
        <v>75.400000000000006</v>
      </c>
      <c r="G1115">
        <f t="shared" si="41"/>
        <v>75.400000000000006</v>
      </c>
      <c r="I1115" s="5">
        <f t="shared" si="43"/>
        <v>326</v>
      </c>
      <c r="M1115" s="2">
        <v>44886</v>
      </c>
    </row>
    <row r="1116" spans="1:13" x14ac:dyDescent="0.25">
      <c r="A1116" t="s">
        <v>17</v>
      </c>
      <c r="B1116" s="2">
        <v>44973</v>
      </c>
      <c r="C1116">
        <v>2023</v>
      </c>
      <c r="D1116" s="11">
        <f t="shared" si="44"/>
        <v>47</v>
      </c>
      <c r="E1116" t="s">
        <v>6</v>
      </c>
      <c r="F1116">
        <v>86.8</v>
      </c>
      <c r="G1116">
        <f t="shared" si="41"/>
        <v>86.8</v>
      </c>
      <c r="I1116" s="5">
        <f t="shared" si="43"/>
        <v>327</v>
      </c>
      <c r="M1116" s="2">
        <v>44887</v>
      </c>
    </row>
    <row r="1117" spans="1:13" x14ac:dyDescent="0.25">
      <c r="A1117" t="s">
        <v>17</v>
      </c>
      <c r="B1117" s="2">
        <v>44987</v>
      </c>
      <c r="C1117">
        <v>2023</v>
      </c>
      <c r="D1117" s="11">
        <f t="shared" si="44"/>
        <v>61</v>
      </c>
      <c r="E1117" t="s">
        <v>6</v>
      </c>
      <c r="F1117">
        <v>93.7</v>
      </c>
      <c r="G1117">
        <f t="shared" si="41"/>
        <v>93.7</v>
      </c>
      <c r="I1117" s="5">
        <f t="shared" si="43"/>
        <v>333</v>
      </c>
      <c r="M1117" s="2">
        <v>44893</v>
      </c>
    </row>
    <row r="1118" spans="1:13" x14ac:dyDescent="0.25">
      <c r="A1118" t="s">
        <v>17</v>
      </c>
      <c r="B1118" s="2">
        <v>45001</v>
      </c>
      <c r="C1118">
        <v>2023</v>
      </c>
      <c r="D1118" s="11">
        <f t="shared" si="44"/>
        <v>75</v>
      </c>
      <c r="E1118" t="s">
        <v>6</v>
      </c>
      <c r="F1118">
        <v>104.6</v>
      </c>
      <c r="G1118">
        <f t="shared" si="41"/>
        <v>104.6</v>
      </c>
      <c r="I1118" s="5">
        <f t="shared" si="43"/>
        <v>326</v>
      </c>
      <c r="M1118" s="2">
        <v>44886</v>
      </c>
    </row>
    <row r="1119" spans="1:13" x14ac:dyDescent="0.25">
      <c r="A1119" t="s">
        <v>17</v>
      </c>
      <c r="B1119" s="2">
        <v>45014</v>
      </c>
      <c r="C1119">
        <v>2023</v>
      </c>
      <c r="D1119" s="11">
        <f t="shared" si="44"/>
        <v>88</v>
      </c>
      <c r="E1119" t="s">
        <v>6</v>
      </c>
      <c r="F1119">
        <v>114.6</v>
      </c>
      <c r="G1119">
        <f t="shared" si="41"/>
        <v>114.6</v>
      </c>
      <c r="I1119" s="5">
        <f t="shared" si="43"/>
        <v>327</v>
      </c>
      <c r="M1119" s="2">
        <v>44887</v>
      </c>
    </row>
    <row r="1120" spans="1:13" x14ac:dyDescent="0.25">
      <c r="A1120" t="s">
        <v>17</v>
      </c>
      <c r="B1120" s="2">
        <v>45029</v>
      </c>
      <c r="C1120">
        <v>2023</v>
      </c>
      <c r="D1120" s="11">
        <f t="shared" si="44"/>
        <v>103</v>
      </c>
      <c r="E1120" t="s">
        <v>6</v>
      </c>
      <c r="F1120">
        <v>128.6</v>
      </c>
      <c r="G1120">
        <f t="shared" si="41"/>
        <v>128.6</v>
      </c>
      <c r="I1120" s="5">
        <f t="shared" si="43"/>
        <v>333</v>
      </c>
      <c r="M1120" s="2">
        <v>44893</v>
      </c>
    </row>
    <row r="1121" spans="1:13" x14ac:dyDescent="0.25">
      <c r="A1121" t="s">
        <v>17</v>
      </c>
      <c r="B1121" s="2">
        <v>45041</v>
      </c>
      <c r="C1121">
        <v>2023</v>
      </c>
      <c r="D1121" s="11">
        <f t="shared" si="44"/>
        <v>115</v>
      </c>
      <c r="E1121" t="s">
        <v>6</v>
      </c>
      <c r="F1121">
        <v>129.6</v>
      </c>
      <c r="G1121">
        <f t="shared" si="41"/>
        <v>129.6</v>
      </c>
      <c r="I1121" s="5">
        <f t="shared" si="43"/>
        <v>326</v>
      </c>
      <c r="M1121" s="2">
        <v>44886</v>
      </c>
    </row>
    <row r="1122" spans="1:13" x14ac:dyDescent="0.25">
      <c r="A1122" t="s">
        <v>17</v>
      </c>
      <c r="B1122" s="2">
        <v>45049</v>
      </c>
      <c r="C1122">
        <v>2023</v>
      </c>
      <c r="D1122" s="11">
        <f t="shared" si="44"/>
        <v>123</v>
      </c>
      <c r="E1122" t="s">
        <v>6</v>
      </c>
      <c r="F1122">
        <v>138.69999999999999</v>
      </c>
      <c r="G1122">
        <f t="shared" si="41"/>
        <v>138.69999999999999</v>
      </c>
      <c r="I1122" s="5">
        <f t="shared" si="43"/>
        <v>330</v>
      </c>
      <c r="M1122" s="2">
        <v>44890</v>
      </c>
    </row>
    <row r="1123" spans="1:13" x14ac:dyDescent="0.25">
      <c r="A1123" t="s">
        <v>17</v>
      </c>
      <c r="B1123" s="2">
        <v>45062</v>
      </c>
      <c r="C1123">
        <v>2023</v>
      </c>
      <c r="D1123" s="11">
        <f t="shared" si="44"/>
        <v>136</v>
      </c>
      <c r="E1123" t="s">
        <v>6</v>
      </c>
      <c r="F1123">
        <v>136.9</v>
      </c>
      <c r="G1123">
        <f t="shared" si="41"/>
        <v>136.9</v>
      </c>
      <c r="I1123" s="5">
        <f t="shared" si="43"/>
        <v>326</v>
      </c>
      <c r="M1123" s="2">
        <v>44886</v>
      </c>
    </row>
    <row r="1124" spans="1:13" x14ac:dyDescent="0.25">
      <c r="A1124" t="s">
        <v>17</v>
      </c>
      <c r="B1124" s="2">
        <v>45076</v>
      </c>
      <c r="C1124">
        <v>2023</v>
      </c>
      <c r="D1124" s="11">
        <f t="shared" si="44"/>
        <v>150</v>
      </c>
      <c r="E1124" t="s">
        <v>6</v>
      </c>
      <c r="F1124">
        <v>131.5</v>
      </c>
      <c r="G1124">
        <f t="shared" si="41"/>
        <v>131.5</v>
      </c>
      <c r="I1124" s="5">
        <f t="shared" si="43"/>
        <v>327</v>
      </c>
      <c r="M1124" s="2">
        <v>44887</v>
      </c>
    </row>
    <row r="1125" spans="1:13" x14ac:dyDescent="0.25">
      <c r="A1125" t="s">
        <v>17</v>
      </c>
      <c r="B1125" s="2">
        <v>45083</v>
      </c>
      <c r="C1125">
        <v>2023</v>
      </c>
      <c r="D1125" s="11">
        <f t="shared" si="44"/>
        <v>157</v>
      </c>
      <c r="E1125" t="s">
        <v>6</v>
      </c>
      <c r="F1125">
        <v>133</v>
      </c>
      <c r="G1125">
        <f t="shared" si="41"/>
        <v>133</v>
      </c>
      <c r="I1125" s="5">
        <f t="shared" si="43"/>
        <v>333</v>
      </c>
      <c r="M1125" s="2">
        <v>44893</v>
      </c>
    </row>
    <row r="1126" spans="1:13" x14ac:dyDescent="0.25">
      <c r="A1126" t="s">
        <v>17</v>
      </c>
      <c r="B1126" s="2">
        <v>44950</v>
      </c>
      <c r="C1126">
        <v>2023</v>
      </c>
      <c r="D1126" s="11">
        <f t="shared" si="44"/>
        <v>24</v>
      </c>
      <c r="E1126" t="s">
        <v>6</v>
      </c>
      <c r="F1126">
        <v>63.7</v>
      </c>
      <c r="G1126">
        <f t="shared" si="41"/>
        <v>63.7</v>
      </c>
      <c r="I1126" s="5">
        <f t="shared" si="43"/>
        <v>326</v>
      </c>
      <c r="M1126" s="2">
        <v>44886</v>
      </c>
    </row>
    <row r="1127" spans="1:13" x14ac:dyDescent="0.25">
      <c r="A1127" t="s">
        <v>17</v>
      </c>
      <c r="B1127" s="2">
        <v>44974</v>
      </c>
      <c r="C1127">
        <v>2023</v>
      </c>
      <c r="D1127" s="11">
        <f t="shared" si="44"/>
        <v>48</v>
      </c>
      <c r="E1127" t="s">
        <v>6</v>
      </c>
      <c r="F1127">
        <v>72.7</v>
      </c>
      <c r="G1127">
        <f t="shared" ref="G1127:G1190" si="45">F1127</f>
        <v>72.7</v>
      </c>
      <c r="I1127" s="5">
        <f t="shared" si="43"/>
        <v>330</v>
      </c>
      <c r="M1127" s="2">
        <v>44890</v>
      </c>
    </row>
    <row r="1128" spans="1:13" x14ac:dyDescent="0.25">
      <c r="A1128" t="s">
        <v>17</v>
      </c>
      <c r="B1128" s="2">
        <v>44987</v>
      </c>
      <c r="C1128">
        <v>2023</v>
      </c>
      <c r="D1128" s="11">
        <f t="shared" si="44"/>
        <v>61</v>
      </c>
      <c r="E1128" t="s">
        <v>6</v>
      </c>
      <c r="F1128">
        <v>78.599999999999994</v>
      </c>
      <c r="G1128">
        <f t="shared" si="45"/>
        <v>78.599999999999994</v>
      </c>
      <c r="I1128" s="5">
        <f t="shared" si="43"/>
        <v>326</v>
      </c>
      <c r="M1128" s="2">
        <v>44886</v>
      </c>
    </row>
    <row r="1129" spans="1:13" x14ac:dyDescent="0.25">
      <c r="A1129" t="s">
        <v>17</v>
      </c>
      <c r="B1129" s="2">
        <v>45001</v>
      </c>
      <c r="C1129">
        <v>2023</v>
      </c>
      <c r="D1129" s="11">
        <f t="shared" si="44"/>
        <v>75</v>
      </c>
      <c r="E1129" t="s">
        <v>6</v>
      </c>
      <c r="F1129">
        <v>86.5</v>
      </c>
      <c r="G1129">
        <f t="shared" si="45"/>
        <v>86.5</v>
      </c>
      <c r="I1129" s="5">
        <f t="shared" si="43"/>
        <v>327</v>
      </c>
      <c r="M1129" s="2">
        <v>44887</v>
      </c>
    </row>
    <row r="1130" spans="1:13" x14ac:dyDescent="0.25">
      <c r="A1130" t="s">
        <v>17</v>
      </c>
      <c r="B1130" s="2">
        <v>45014</v>
      </c>
      <c r="C1130">
        <v>2023</v>
      </c>
      <c r="D1130" s="11">
        <f t="shared" si="44"/>
        <v>88</v>
      </c>
      <c r="E1130" t="s">
        <v>6</v>
      </c>
      <c r="F1130">
        <v>95.4</v>
      </c>
      <c r="G1130">
        <f t="shared" si="45"/>
        <v>95.4</v>
      </c>
      <c r="I1130" s="5">
        <f t="shared" si="43"/>
        <v>333</v>
      </c>
      <c r="M1130" s="2">
        <v>44893</v>
      </c>
    </row>
    <row r="1131" spans="1:13" x14ac:dyDescent="0.25">
      <c r="A1131" t="s">
        <v>17</v>
      </c>
      <c r="B1131" s="2">
        <v>45031</v>
      </c>
      <c r="C1131">
        <v>2023</v>
      </c>
      <c r="D1131" s="11">
        <f t="shared" si="44"/>
        <v>105</v>
      </c>
      <c r="E1131" t="s">
        <v>6</v>
      </c>
      <c r="F1131">
        <v>101.4</v>
      </c>
      <c r="G1131">
        <f t="shared" si="45"/>
        <v>101.4</v>
      </c>
      <c r="I1131" s="5">
        <f t="shared" si="43"/>
        <v>326</v>
      </c>
      <c r="M1131" s="2">
        <v>44886</v>
      </c>
    </row>
    <row r="1132" spans="1:13" x14ac:dyDescent="0.25">
      <c r="A1132" t="s">
        <v>17</v>
      </c>
      <c r="B1132" s="2">
        <v>45041</v>
      </c>
      <c r="C1132">
        <v>2023</v>
      </c>
      <c r="D1132" s="11">
        <f t="shared" si="44"/>
        <v>115</v>
      </c>
      <c r="E1132" t="s">
        <v>6</v>
      </c>
      <c r="F1132">
        <v>108</v>
      </c>
      <c r="G1132">
        <f t="shared" si="45"/>
        <v>108</v>
      </c>
      <c r="I1132" s="5">
        <f t="shared" si="43"/>
        <v>330</v>
      </c>
      <c r="M1132" s="2">
        <v>44890</v>
      </c>
    </row>
    <row r="1133" spans="1:13" x14ac:dyDescent="0.25">
      <c r="A1133" t="s">
        <v>17</v>
      </c>
      <c r="B1133" s="2">
        <v>45049</v>
      </c>
      <c r="C1133">
        <v>2023</v>
      </c>
      <c r="D1133" s="11">
        <f t="shared" si="44"/>
        <v>123</v>
      </c>
      <c r="E1133" t="s">
        <v>6</v>
      </c>
      <c r="F1133">
        <v>112.4</v>
      </c>
      <c r="G1133">
        <f t="shared" si="45"/>
        <v>112.4</v>
      </c>
      <c r="I1133" s="5">
        <f t="shared" si="43"/>
        <v>326</v>
      </c>
      <c r="M1133" s="2">
        <v>44886</v>
      </c>
    </row>
    <row r="1134" spans="1:13" x14ac:dyDescent="0.25">
      <c r="A1134" t="s">
        <v>17</v>
      </c>
      <c r="B1134" s="2">
        <v>45062</v>
      </c>
      <c r="C1134">
        <v>2023</v>
      </c>
      <c r="D1134" s="11">
        <f t="shared" si="44"/>
        <v>136</v>
      </c>
      <c r="E1134" t="s">
        <v>6</v>
      </c>
      <c r="F1134">
        <v>117.5</v>
      </c>
      <c r="G1134">
        <f t="shared" si="45"/>
        <v>117.5</v>
      </c>
      <c r="I1134" s="5">
        <f t="shared" si="43"/>
        <v>327</v>
      </c>
      <c r="M1134" s="2">
        <v>44887</v>
      </c>
    </row>
    <row r="1135" spans="1:13" x14ac:dyDescent="0.25">
      <c r="A1135" t="s">
        <v>17</v>
      </c>
      <c r="B1135" s="2">
        <v>45077</v>
      </c>
      <c r="C1135">
        <v>2023</v>
      </c>
      <c r="D1135" s="11">
        <f t="shared" si="44"/>
        <v>151</v>
      </c>
      <c r="E1135" t="s">
        <v>6</v>
      </c>
      <c r="F1135">
        <v>116.8</v>
      </c>
      <c r="G1135">
        <f t="shared" si="45"/>
        <v>116.8</v>
      </c>
      <c r="I1135" s="5">
        <f t="shared" si="43"/>
        <v>333</v>
      </c>
      <c r="M1135" s="2">
        <v>44893</v>
      </c>
    </row>
    <row r="1136" spans="1:13" x14ac:dyDescent="0.25">
      <c r="A1136" t="s">
        <v>17</v>
      </c>
      <c r="B1136" s="2">
        <v>45083</v>
      </c>
      <c r="C1136">
        <v>2023</v>
      </c>
      <c r="D1136" s="11">
        <f t="shared" si="44"/>
        <v>157</v>
      </c>
      <c r="E1136" t="s">
        <v>6</v>
      </c>
      <c r="F1136">
        <v>113.2</v>
      </c>
      <c r="G1136">
        <f t="shared" si="45"/>
        <v>113.2</v>
      </c>
      <c r="I1136" s="5">
        <f t="shared" si="43"/>
        <v>326</v>
      </c>
      <c r="M1136" s="2">
        <v>44886</v>
      </c>
    </row>
    <row r="1137" spans="1:13" x14ac:dyDescent="0.25">
      <c r="A1137" t="s">
        <v>17</v>
      </c>
      <c r="B1137" s="2">
        <v>44952</v>
      </c>
      <c r="C1137">
        <v>2023</v>
      </c>
      <c r="D1137" s="11">
        <f t="shared" si="44"/>
        <v>26</v>
      </c>
      <c r="E1137" t="s">
        <v>6</v>
      </c>
      <c r="F1137">
        <v>61.4</v>
      </c>
      <c r="G1137">
        <f t="shared" si="45"/>
        <v>61.4</v>
      </c>
      <c r="I1137" s="5">
        <f t="shared" si="43"/>
        <v>330</v>
      </c>
      <c r="M1137" s="2">
        <v>44890</v>
      </c>
    </row>
    <row r="1138" spans="1:13" x14ac:dyDescent="0.25">
      <c r="A1138" t="s">
        <v>17</v>
      </c>
      <c r="B1138" s="2">
        <v>44974</v>
      </c>
      <c r="C1138">
        <v>2023</v>
      </c>
      <c r="D1138" s="11">
        <f t="shared" si="44"/>
        <v>48</v>
      </c>
      <c r="E1138" t="s">
        <v>6</v>
      </c>
      <c r="F1138">
        <v>67.8</v>
      </c>
      <c r="G1138">
        <f t="shared" si="45"/>
        <v>67.8</v>
      </c>
      <c r="I1138" s="5">
        <f t="shared" si="43"/>
        <v>326</v>
      </c>
      <c r="M1138" s="2">
        <v>44886</v>
      </c>
    </row>
    <row r="1139" spans="1:13" x14ac:dyDescent="0.25">
      <c r="A1139" t="s">
        <v>17</v>
      </c>
      <c r="B1139" s="2">
        <v>44984</v>
      </c>
      <c r="C1139">
        <v>2023</v>
      </c>
      <c r="D1139" s="11">
        <f t="shared" si="44"/>
        <v>58</v>
      </c>
      <c r="E1139" t="s">
        <v>6</v>
      </c>
      <c r="F1139">
        <v>73.099999999999994</v>
      </c>
      <c r="G1139">
        <f t="shared" si="45"/>
        <v>73.099999999999994</v>
      </c>
      <c r="I1139" s="5">
        <f t="shared" si="43"/>
        <v>333</v>
      </c>
      <c r="M1139" s="2">
        <v>44893</v>
      </c>
    </row>
    <row r="1140" spans="1:13" x14ac:dyDescent="0.25">
      <c r="A1140" t="s">
        <v>17</v>
      </c>
      <c r="B1140" s="2">
        <v>45000</v>
      </c>
      <c r="C1140">
        <v>2023</v>
      </c>
      <c r="D1140" s="11">
        <f t="shared" si="44"/>
        <v>74</v>
      </c>
      <c r="E1140" t="s">
        <v>6</v>
      </c>
      <c r="F1140">
        <v>78.099999999999994</v>
      </c>
      <c r="G1140">
        <f t="shared" si="45"/>
        <v>78.099999999999994</v>
      </c>
      <c r="I1140" s="5">
        <f t="shared" si="43"/>
        <v>326</v>
      </c>
      <c r="M1140" s="2">
        <v>44886</v>
      </c>
    </row>
    <row r="1141" spans="1:13" x14ac:dyDescent="0.25">
      <c r="A1141" t="s">
        <v>17</v>
      </c>
      <c r="B1141" s="2">
        <v>45015</v>
      </c>
      <c r="C1141">
        <v>2023</v>
      </c>
      <c r="D1141" s="11">
        <f t="shared" si="44"/>
        <v>89</v>
      </c>
      <c r="E1141" t="s">
        <v>6</v>
      </c>
      <c r="F1141">
        <v>84.1</v>
      </c>
      <c r="G1141">
        <f t="shared" si="45"/>
        <v>84.1</v>
      </c>
      <c r="I1141" s="5">
        <f t="shared" si="43"/>
        <v>327</v>
      </c>
      <c r="M1141" s="2">
        <v>44887</v>
      </c>
    </row>
    <row r="1142" spans="1:13" x14ac:dyDescent="0.25">
      <c r="A1142" t="s">
        <v>17</v>
      </c>
      <c r="B1142" s="2">
        <v>45029</v>
      </c>
      <c r="C1142">
        <v>2023</v>
      </c>
      <c r="D1142" s="11">
        <f t="shared" si="44"/>
        <v>103</v>
      </c>
      <c r="E1142" t="s">
        <v>6</v>
      </c>
      <c r="F1142">
        <v>89.9</v>
      </c>
      <c r="G1142">
        <f t="shared" si="45"/>
        <v>89.9</v>
      </c>
      <c r="I1142" s="5">
        <f t="shared" si="43"/>
        <v>330</v>
      </c>
      <c r="M1142" s="2">
        <v>44890</v>
      </c>
    </row>
    <row r="1143" spans="1:13" x14ac:dyDescent="0.25">
      <c r="A1143" t="s">
        <v>17</v>
      </c>
      <c r="B1143" s="2">
        <v>45041</v>
      </c>
      <c r="C1143">
        <v>2023</v>
      </c>
      <c r="D1143" s="11">
        <f t="shared" si="44"/>
        <v>115</v>
      </c>
      <c r="E1143" t="s">
        <v>6</v>
      </c>
      <c r="F1143">
        <v>95.9</v>
      </c>
      <c r="G1143">
        <f t="shared" si="45"/>
        <v>95.9</v>
      </c>
      <c r="I1143" s="5">
        <f t="shared" si="43"/>
        <v>326</v>
      </c>
      <c r="M1143" s="2">
        <v>44886</v>
      </c>
    </row>
    <row r="1144" spans="1:13" x14ac:dyDescent="0.25">
      <c r="A1144" t="s">
        <v>17</v>
      </c>
      <c r="B1144" s="2">
        <v>45049</v>
      </c>
      <c r="C1144">
        <v>2023</v>
      </c>
      <c r="D1144" s="11">
        <f t="shared" si="44"/>
        <v>123</v>
      </c>
      <c r="E1144" t="s">
        <v>6</v>
      </c>
      <c r="F1144">
        <v>97.4</v>
      </c>
      <c r="G1144">
        <f t="shared" si="45"/>
        <v>97.4</v>
      </c>
      <c r="I1144" s="5">
        <f t="shared" si="43"/>
        <v>327</v>
      </c>
      <c r="M1144" s="2">
        <v>44887</v>
      </c>
    </row>
    <row r="1145" spans="1:13" x14ac:dyDescent="0.25">
      <c r="A1145" t="s">
        <v>17</v>
      </c>
      <c r="B1145" s="2">
        <v>45062</v>
      </c>
      <c r="C1145">
        <v>2023</v>
      </c>
      <c r="D1145" s="11">
        <f t="shared" si="44"/>
        <v>136</v>
      </c>
      <c r="E1145" t="s">
        <v>6</v>
      </c>
      <c r="F1145">
        <v>97.8</v>
      </c>
      <c r="G1145">
        <f t="shared" si="45"/>
        <v>97.8</v>
      </c>
      <c r="I1145" s="5">
        <f t="shared" si="43"/>
        <v>333</v>
      </c>
      <c r="M1145" s="2">
        <v>44893</v>
      </c>
    </row>
    <row r="1146" spans="1:13" x14ac:dyDescent="0.25">
      <c r="A1146" t="s">
        <v>17</v>
      </c>
      <c r="B1146" s="2">
        <v>45076</v>
      </c>
      <c r="C1146">
        <v>2023</v>
      </c>
      <c r="D1146" s="11">
        <f t="shared" si="44"/>
        <v>150</v>
      </c>
      <c r="E1146" t="s">
        <v>6</v>
      </c>
      <c r="F1146">
        <v>99.8</v>
      </c>
      <c r="G1146">
        <f t="shared" si="45"/>
        <v>99.8</v>
      </c>
      <c r="I1146" s="5">
        <f t="shared" ref="I1146:I1147" si="46" xml:space="preserve"> DATEDIF(DATE(YEAR(M1146),1,0),M1146,"d")+1</f>
        <v>326</v>
      </c>
      <c r="M1146" s="2">
        <v>44886</v>
      </c>
    </row>
    <row r="1147" spans="1:13" x14ac:dyDescent="0.25">
      <c r="A1147" t="s">
        <v>17</v>
      </c>
      <c r="B1147" s="2">
        <v>45083</v>
      </c>
      <c r="C1147">
        <v>2023</v>
      </c>
      <c r="D1147" s="11">
        <f t="shared" si="44"/>
        <v>157</v>
      </c>
      <c r="E1147" t="s">
        <v>6</v>
      </c>
      <c r="F1147">
        <v>109.6</v>
      </c>
      <c r="G1147">
        <f t="shared" si="45"/>
        <v>109.6</v>
      </c>
      <c r="I1147" s="5">
        <f t="shared" si="46"/>
        <v>330</v>
      </c>
      <c r="M1147" s="2">
        <v>44890</v>
      </c>
    </row>
    <row r="1148" spans="1:13" hidden="1" x14ac:dyDescent="0.25">
      <c r="A1148" t="s">
        <v>22</v>
      </c>
      <c r="B1148" s="2">
        <v>44949</v>
      </c>
      <c r="C1148">
        <v>2023</v>
      </c>
      <c r="D1148" s="11">
        <f t="shared" si="44"/>
        <v>23</v>
      </c>
      <c r="E1148" t="s">
        <v>9</v>
      </c>
      <c r="F1148">
        <v>73.099999999999994</v>
      </c>
      <c r="G1148">
        <f t="shared" si="45"/>
        <v>73.099999999999994</v>
      </c>
      <c r="I1148" s="4">
        <f t="shared" ref="I1148:I1211" si="47" xml:space="preserve"> DATEDIF(DATE(YEAR(M1148),1,0),M1148,"d")+1</f>
        <v>334</v>
      </c>
      <c r="M1148" s="2">
        <v>45259</v>
      </c>
    </row>
    <row r="1149" spans="1:13" hidden="1" x14ac:dyDescent="0.25">
      <c r="A1149" t="s">
        <v>22</v>
      </c>
      <c r="B1149" s="2">
        <v>44971</v>
      </c>
      <c r="C1149">
        <v>2023</v>
      </c>
      <c r="D1149" s="11">
        <f t="shared" si="44"/>
        <v>45</v>
      </c>
      <c r="E1149" t="s">
        <v>9</v>
      </c>
      <c r="F1149">
        <v>87.7</v>
      </c>
      <c r="G1149">
        <f t="shared" si="45"/>
        <v>87.7</v>
      </c>
      <c r="I1149" s="4">
        <f t="shared" si="47"/>
        <v>328</v>
      </c>
      <c r="M1149" s="2">
        <v>45253</v>
      </c>
    </row>
    <row r="1150" spans="1:13" hidden="1" x14ac:dyDescent="0.25">
      <c r="A1150" t="s">
        <v>22</v>
      </c>
      <c r="B1150" s="2">
        <v>44987</v>
      </c>
      <c r="C1150">
        <v>2023</v>
      </c>
      <c r="D1150" s="11">
        <f t="shared" si="44"/>
        <v>61</v>
      </c>
      <c r="E1150" t="s">
        <v>9</v>
      </c>
      <c r="F1150">
        <v>103</v>
      </c>
      <c r="G1150">
        <f t="shared" si="45"/>
        <v>103</v>
      </c>
      <c r="I1150" s="4">
        <f t="shared" si="47"/>
        <v>326</v>
      </c>
      <c r="M1150" s="2">
        <v>45251</v>
      </c>
    </row>
    <row r="1151" spans="1:13" hidden="1" x14ac:dyDescent="0.25">
      <c r="A1151" t="s">
        <v>22</v>
      </c>
      <c r="B1151" s="2">
        <v>44998</v>
      </c>
      <c r="C1151">
        <v>2023</v>
      </c>
      <c r="D1151" s="11">
        <f t="shared" si="44"/>
        <v>72</v>
      </c>
      <c r="E1151" t="s">
        <v>9</v>
      </c>
      <c r="F1151">
        <v>104.4</v>
      </c>
      <c r="G1151">
        <f t="shared" si="45"/>
        <v>104.4</v>
      </c>
      <c r="I1151" s="4">
        <f t="shared" si="47"/>
        <v>333</v>
      </c>
      <c r="M1151" s="2">
        <v>45258</v>
      </c>
    </row>
    <row r="1152" spans="1:13" hidden="1" x14ac:dyDescent="0.25">
      <c r="A1152" t="s">
        <v>22</v>
      </c>
      <c r="B1152" s="2">
        <v>45014</v>
      </c>
      <c r="C1152">
        <v>2023</v>
      </c>
      <c r="D1152" s="11">
        <f t="shared" si="44"/>
        <v>88</v>
      </c>
      <c r="E1152" t="s">
        <v>9</v>
      </c>
      <c r="F1152">
        <v>120.2</v>
      </c>
      <c r="G1152">
        <f t="shared" si="45"/>
        <v>120.2</v>
      </c>
      <c r="I1152" s="4">
        <f t="shared" si="47"/>
        <v>327</v>
      </c>
      <c r="M1152" s="2">
        <v>45252</v>
      </c>
    </row>
    <row r="1153" spans="1:13" hidden="1" x14ac:dyDescent="0.25">
      <c r="A1153" t="s">
        <v>22</v>
      </c>
      <c r="B1153" s="2">
        <v>45027</v>
      </c>
      <c r="C1153">
        <v>2023</v>
      </c>
      <c r="D1153" s="11">
        <f t="shared" si="44"/>
        <v>101</v>
      </c>
      <c r="E1153" t="s">
        <v>9</v>
      </c>
      <c r="F1153">
        <v>122.5</v>
      </c>
      <c r="G1153">
        <f t="shared" si="45"/>
        <v>122.5</v>
      </c>
      <c r="I1153" s="4">
        <f t="shared" si="47"/>
        <v>328</v>
      </c>
      <c r="M1153" s="2">
        <v>45253</v>
      </c>
    </row>
    <row r="1154" spans="1:13" hidden="1" x14ac:dyDescent="0.25">
      <c r="A1154" t="s">
        <v>22</v>
      </c>
      <c r="B1154" s="2">
        <v>45040</v>
      </c>
      <c r="C1154">
        <v>2023</v>
      </c>
      <c r="D1154" s="11">
        <f t="shared" si="44"/>
        <v>114</v>
      </c>
      <c r="E1154" t="s">
        <v>9</v>
      </c>
      <c r="F1154">
        <v>126.6</v>
      </c>
      <c r="G1154">
        <f t="shared" si="45"/>
        <v>126.6</v>
      </c>
      <c r="I1154" s="4">
        <f t="shared" si="47"/>
        <v>333</v>
      </c>
      <c r="M1154" s="2">
        <v>45258</v>
      </c>
    </row>
    <row r="1155" spans="1:13" hidden="1" x14ac:dyDescent="0.25">
      <c r="A1155" t="s">
        <v>22</v>
      </c>
      <c r="B1155" s="2">
        <v>45047</v>
      </c>
      <c r="C1155">
        <v>2023</v>
      </c>
      <c r="D1155" s="11">
        <f t="shared" ref="D1155:D1218" si="48">B1155-DATE(YEAR(B1155),1,0)</f>
        <v>121</v>
      </c>
      <c r="E1155" t="s">
        <v>9</v>
      </c>
      <c r="F1155">
        <v>126.7</v>
      </c>
      <c r="G1155">
        <f t="shared" si="45"/>
        <v>126.7</v>
      </c>
      <c r="I1155" s="4">
        <f t="shared" si="47"/>
        <v>334</v>
      </c>
      <c r="M1155" s="2">
        <v>45259</v>
      </c>
    </row>
    <row r="1156" spans="1:13" hidden="1" x14ac:dyDescent="0.25">
      <c r="A1156" t="s">
        <v>22</v>
      </c>
      <c r="B1156" s="2">
        <v>45062</v>
      </c>
      <c r="C1156">
        <v>2023</v>
      </c>
      <c r="D1156" s="11">
        <f t="shared" si="48"/>
        <v>136</v>
      </c>
      <c r="E1156" t="s">
        <v>9</v>
      </c>
      <c r="F1156">
        <v>129</v>
      </c>
      <c r="G1156">
        <f>Calculations!D14</f>
        <v>124.5959288772562</v>
      </c>
      <c r="H1156" t="s">
        <v>27</v>
      </c>
      <c r="I1156" s="4">
        <f t="shared" si="47"/>
        <v>326</v>
      </c>
      <c r="M1156" s="2">
        <v>45251</v>
      </c>
    </row>
    <row r="1157" spans="1:13" hidden="1" x14ac:dyDescent="0.25">
      <c r="A1157" t="s">
        <v>22</v>
      </c>
      <c r="B1157" s="2">
        <v>45076</v>
      </c>
      <c r="C1157">
        <v>2023</v>
      </c>
      <c r="D1157" s="11">
        <f t="shared" si="48"/>
        <v>150</v>
      </c>
      <c r="E1157" t="s">
        <v>9</v>
      </c>
      <c r="F1157">
        <v>129.19999999999999</v>
      </c>
      <c r="G1157">
        <f t="shared" si="45"/>
        <v>129.19999999999999</v>
      </c>
      <c r="I1157" s="4">
        <f t="shared" si="47"/>
        <v>327</v>
      </c>
      <c r="M1157" s="2">
        <v>45252</v>
      </c>
    </row>
    <row r="1158" spans="1:13" hidden="1" x14ac:dyDescent="0.25">
      <c r="A1158" t="s">
        <v>22</v>
      </c>
      <c r="B1158" s="2">
        <v>45083</v>
      </c>
      <c r="C1158">
        <v>2023</v>
      </c>
      <c r="D1158" s="11">
        <f t="shared" si="48"/>
        <v>157</v>
      </c>
      <c r="E1158" t="s">
        <v>9</v>
      </c>
      <c r="F1158">
        <v>126.5</v>
      </c>
      <c r="G1158">
        <f t="shared" si="45"/>
        <v>126.5</v>
      </c>
      <c r="I1158" s="4">
        <f t="shared" si="47"/>
        <v>334</v>
      </c>
      <c r="M1158" s="2">
        <v>45259</v>
      </c>
    </row>
    <row r="1159" spans="1:13" x14ac:dyDescent="0.25">
      <c r="A1159" t="s">
        <v>18</v>
      </c>
      <c r="B1159" s="2">
        <v>45316</v>
      </c>
      <c r="C1159">
        <v>2024</v>
      </c>
      <c r="D1159" s="11">
        <f t="shared" si="48"/>
        <v>25</v>
      </c>
      <c r="E1159" t="s">
        <v>6</v>
      </c>
      <c r="F1159">
        <v>58</v>
      </c>
      <c r="G1159">
        <f t="shared" si="45"/>
        <v>58</v>
      </c>
      <c r="I1159" s="5">
        <f t="shared" si="47"/>
        <v>326</v>
      </c>
      <c r="M1159" s="2">
        <v>45251</v>
      </c>
    </row>
    <row r="1160" spans="1:13" x14ac:dyDescent="0.25">
      <c r="A1160" t="s">
        <v>18</v>
      </c>
      <c r="B1160" s="2">
        <v>45337</v>
      </c>
      <c r="C1160">
        <v>2024</v>
      </c>
      <c r="D1160" s="11">
        <f t="shared" si="48"/>
        <v>46</v>
      </c>
      <c r="E1160" t="s">
        <v>6</v>
      </c>
      <c r="F1160">
        <v>70.2</v>
      </c>
      <c r="G1160">
        <f t="shared" si="45"/>
        <v>70.2</v>
      </c>
      <c r="I1160" s="5">
        <f t="shared" si="47"/>
        <v>333</v>
      </c>
      <c r="M1160" s="2">
        <v>45258</v>
      </c>
    </row>
    <row r="1161" spans="1:13" x14ac:dyDescent="0.25">
      <c r="A1161" t="s">
        <v>18</v>
      </c>
      <c r="B1161" s="2">
        <v>45350</v>
      </c>
      <c r="C1161">
        <v>2024</v>
      </c>
      <c r="D1161" s="11">
        <f t="shared" si="48"/>
        <v>59</v>
      </c>
      <c r="E1161" t="s">
        <v>6</v>
      </c>
      <c r="F1161">
        <v>77.8</v>
      </c>
      <c r="G1161">
        <f t="shared" si="45"/>
        <v>77.8</v>
      </c>
      <c r="I1161" s="5">
        <f t="shared" si="47"/>
        <v>327</v>
      </c>
      <c r="M1161" s="2">
        <v>45252</v>
      </c>
    </row>
    <row r="1162" spans="1:13" x14ac:dyDescent="0.25">
      <c r="A1162" t="s">
        <v>18</v>
      </c>
      <c r="B1162" s="2">
        <v>45364</v>
      </c>
      <c r="C1162">
        <v>2024</v>
      </c>
      <c r="D1162" s="11">
        <f t="shared" si="48"/>
        <v>73</v>
      </c>
      <c r="E1162" t="s">
        <v>6</v>
      </c>
      <c r="F1162">
        <v>83.2</v>
      </c>
      <c r="G1162">
        <f t="shared" si="45"/>
        <v>83.2</v>
      </c>
      <c r="I1162" s="5">
        <f t="shared" si="47"/>
        <v>334</v>
      </c>
      <c r="M1162" s="2">
        <v>45259</v>
      </c>
    </row>
    <row r="1163" spans="1:13" x14ac:dyDescent="0.25">
      <c r="A1163" t="s">
        <v>18</v>
      </c>
      <c r="B1163" s="2">
        <v>45378</v>
      </c>
      <c r="C1163">
        <v>2024</v>
      </c>
      <c r="D1163" s="11">
        <f t="shared" si="48"/>
        <v>87</v>
      </c>
      <c r="E1163" t="s">
        <v>6</v>
      </c>
      <c r="F1163">
        <v>87</v>
      </c>
      <c r="G1163">
        <f t="shared" si="45"/>
        <v>87</v>
      </c>
      <c r="I1163" s="5">
        <f t="shared" si="47"/>
        <v>328</v>
      </c>
      <c r="M1163" s="2">
        <v>45253</v>
      </c>
    </row>
    <row r="1164" spans="1:13" x14ac:dyDescent="0.25">
      <c r="A1164" t="s">
        <v>18</v>
      </c>
      <c r="B1164" s="2">
        <v>45390</v>
      </c>
      <c r="C1164">
        <v>2024</v>
      </c>
      <c r="D1164" s="11">
        <f t="shared" si="48"/>
        <v>99</v>
      </c>
      <c r="E1164" t="s">
        <v>6</v>
      </c>
      <c r="F1164">
        <v>83.7</v>
      </c>
      <c r="G1164" s="7">
        <f>Calculations!D10</f>
        <v>98.391333897344126</v>
      </c>
      <c r="H1164" t="s">
        <v>27</v>
      </c>
      <c r="I1164" s="5">
        <f t="shared" si="47"/>
        <v>333</v>
      </c>
      <c r="M1164" s="2">
        <v>45258</v>
      </c>
    </row>
    <row r="1165" spans="1:13" x14ac:dyDescent="0.25">
      <c r="A1165" t="s">
        <v>18</v>
      </c>
      <c r="B1165" s="2">
        <v>45404</v>
      </c>
      <c r="C1165">
        <v>2024</v>
      </c>
      <c r="D1165" s="11">
        <f t="shared" si="48"/>
        <v>113</v>
      </c>
      <c r="E1165" t="s">
        <v>6</v>
      </c>
      <c r="F1165">
        <v>87</v>
      </c>
      <c r="G1165">
        <f t="shared" si="45"/>
        <v>87</v>
      </c>
      <c r="I1165" s="5">
        <f t="shared" si="47"/>
        <v>327</v>
      </c>
      <c r="M1165" s="2">
        <v>45252</v>
      </c>
    </row>
    <row r="1166" spans="1:13" x14ac:dyDescent="0.25">
      <c r="A1166" t="s">
        <v>18</v>
      </c>
      <c r="B1166" s="2">
        <v>45414</v>
      </c>
      <c r="C1166">
        <v>2024</v>
      </c>
      <c r="D1166" s="11">
        <f t="shared" si="48"/>
        <v>123</v>
      </c>
      <c r="E1166" t="s">
        <v>6</v>
      </c>
      <c r="F1166">
        <v>93</v>
      </c>
      <c r="G1166">
        <f t="shared" si="45"/>
        <v>93</v>
      </c>
      <c r="I1166" s="5">
        <f t="shared" si="47"/>
        <v>334</v>
      </c>
      <c r="M1166" s="2">
        <v>45259</v>
      </c>
    </row>
    <row r="1167" spans="1:13" x14ac:dyDescent="0.25">
      <c r="A1167" t="s">
        <v>18</v>
      </c>
      <c r="B1167" s="2">
        <v>45425</v>
      </c>
      <c r="C1167">
        <v>2024</v>
      </c>
      <c r="D1167" s="11">
        <f t="shared" si="48"/>
        <v>134</v>
      </c>
      <c r="E1167" t="s">
        <v>6</v>
      </c>
      <c r="F1167">
        <v>91</v>
      </c>
      <c r="G1167">
        <f t="shared" si="45"/>
        <v>91</v>
      </c>
      <c r="I1167" s="5">
        <f t="shared" si="47"/>
        <v>328</v>
      </c>
      <c r="M1167" s="2">
        <v>45253</v>
      </c>
    </row>
    <row r="1168" spans="1:13" x14ac:dyDescent="0.25">
      <c r="A1168" t="s">
        <v>18</v>
      </c>
      <c r="B1168" s="2">
        <v>45439</v>
      </c>
      <c r="C1168">
        <v>2024</v>
      </c>
      <c r="D1168" s="11">
        <f t="shared" si="48"/>
        <v>148</v>
      </c>
      <c r="E1168" t="s">
        <v>6</v>
      </c>
      <c r="F1168">
        <v>98.4</v>
      </c>
      <c r="G1168">
        <f t="shared" si="45"/>
        <v>98.4</v>
      </c>
      <c r="I1168" s="5">
        <f t="shared" si="47"/>
        <v>326</v>
      </c>
      <c r="M1168" s="2">
        <v>45251</v>
      </c>
    </row>
    <row r="1169" spans="1:13" x14ac:dyDescent="0.25">
      <c r="A1169" t="s">
        <v>18</v>
      </c>
      <c r="B1169" s="2">
        <v>45454</v>
      </c>
      <c r="C1169">
        <v>2024</v>
      </c>
      <c r="D1169" s="11">
        <f t="shared" si="48"/>
        <v>163</v>
      </c>
      <c r="E1169" t="s">
        <v>6</v>
      </c>
      <c r="F1169">
        <v>84.8</v>
      </c>
      <c r="G1169">
        <f t="shared" si="45"/>
        <v>84.8</v>
      </c>
      <c r="I1169" s="5">
        <f t="shared" si="47"/>
        <v>326</v>
      </c>
      <c r="M1169" s="2">
        <v>45251</v>
      </c>
    </row>
    <row r="1170" spans="1:13" x14ac:dyDescent="0.25">
      <c r="A1170" t="s">
        <v>18</v>
      </c>
      <c r="B1170" s="2">
        <v>45314</v>
      </c>
      <c r="C1170">
        <v>2024</v>
      </c>
      <c r="D1170" s="11">
        <f t="shared" si="48"/>
        <v>23</v>
      </c>
      <c r="E1170" t="s">
        <v>6</v>
      </c>
      <c r="F1170">
        <v>65.2</v>
      </c>
      <c r="G1170">
        <f t="shared" si="45"/>
        <v>65.2</v>
      </c>
      <c r="I1170" s="5">
        <f t="shared" si="47"/>
        <v>333</v>
      </c>
      <c r="M1170" s="2">
        <v>45258</v>
      </c>
    </row>
    <row r="1171" spans="1:13" x14ac:dyDescent="0.25">
      <c r="A1171" t="s">
        <v>18</v>
      </c>
      <c r="B1171" s="2">
        <v>45337</v>
      </c>
      <c r="C1171">
        <v>2024</v>
      </c>
      <c r="D1171" s="11">
        <f t="shared" si="48"/>
        <v>46</v>
      </c>
      <c r="E1171" t="s">
        <v>6</v>
      </c>
      <c r="F1171">
        <v>83.2</v>
      </c>
      <c r="G1171">
        <f t="shared" si="45"/>
        <v>83.2</v>
      </c>
      <c r="I1171" s="5">
        <f t="shared" si="47"/>
        <v>327</v>
      </c>
      <c r="M1171" s="2">
        <v>45252</v>
      </c>
    </row>
    <row r="1172" spans="1:13" x14ac:dyDescent="0.25">
      <c r="A1172" t="s">
        <v>18</v>
      </c>
      <c r="B1172" s="2">
        <v>45348</v>
      </c>
      <c r="C1172">
        <v>2024</v>
      </c>
      <c r="D1172" s="11">
        <f t="shared" si="48"/>
        <v>57</v>
      </c>
      <c r="E1172" t="s">
        <v>6</v>
      </c>
      <c r="F1172">
        <v>84.1</v>
      </c>
      <c r="G1172">
        <f t="shared" si="45"/>
        <v>84.1</v>
      </c>
      <c r="I1172" s="5">
        <f t="shared" si="47"/>
        <v>334</v>
      </c>
      <c r="M1172" s="2">
        <v>45259</v>
      </c>
    </row>
    <row r="1173" spans="1:13" x14ac:dyDescent="0.25">
      <c r="A1173" t="s">
        <v>18</v>
      </c>
      <c r="B1173" s="2">
        <v>45365</v>
      </c>
      <c r="C1173">
        <v>2024</v>
      </c>
      <c r="D1173" s="11">
        <f t="shared" si="48"/>
        <v>74</v>
      </c>
      <c r="E1173" t="s">
        <v>6</v>
      </c>
      <c r="F1173">
        <v>93.8</v>
      </c>
      <c r="G1173">
        <f t="shared" si="45"/>
        <v>93.8</v>
      </c>
      <c r="I1173" s="5">
        <f t="shared" si="47"/>
        <v>328</v>
      </c>
      <c r="M1173" s="2">
        <v>45253</v>
      </c>
    </row>
    <row r="1174" spans="1:13" x14ac:dyDescent="0.25">
      <c r="A1174" t="s">
        <v>18</v>
      </c>
      <c r="B1174" s="2">
        <v>45379</v>
      </c>
      <c r="C1174">
        <v>2024</v>
      </c>
      <c r="D1174" s="11">
        <f t="shared" si="48"/>
        <v>88</v>
      </c>
      <c r="E1174" t="s">
        <v>6</v>
      </c>
      <c r="F1174">
        <v>99.2</v>
      </c>
      <c r="G1174">
        <f t="shared" si="45"/>
        <v>99.2</v>
      </c>
      <c r="I1174" s="5">
        <f t="shared" si="47"/>
        <v>327</v>
      </c>
      <c r="M1174" s="2">
        <v>45252</v>
      </c>
    </row>
    <row r="1175" spans="1:13" x14ac:dyDescent="0.25">
      <c r="A1175" t="s">
        <v>18</v>
      </c>
      <c r="B1175" s="2">
        <v>45393</v>
      </c>
      <c r="C1175">
        <v>2024</v>
      </c>
      <c r="D1175" s="11">
        <f t="shared" si="48"/>
        <v>102</v>
      </c>
      <c r="E1175" t="s">
        <v>6</v>
      </c>
      <c r="F1175">
        <v>103.7</v>
      </c>
      <c r="G1175">
        <f t="shared" si="45"/>
        <v>103.7</v>
      </c>
      <c r="I1175" s="5">
        <f t="shared" si="47"/>
        <v>334</v>
      </c>
      <c r="M1175" s="2">
        <v>45259</v>
      </c>
    </row>
    <row r="1176" spans="1:13" x14ac:dyDescent="0.25">
      <c r="A1176" t="s">
        <v>18</v>
      </c>
      <c r="B1176" s="2">
        <v>45407</v>
      </c>
      <c r="C1176">
        <v>2024</v>
      </c>
      <c r="D1176" s="11">
        <f t="shared" si="48"/>
        <v>116</v>
      </c>
      <c r="E1176" t="s">
        <v>6</v>
      </c>
      <c r="F1176">
        <v>108.9</v>
      </c>
      <c r="G1176">
        <f t="shared" si="45"/>
        <v>108.9</v>
      </c>
      <c r="I1176" s="5">
        <f t="shared" si="47"/>
        <v>328</v>
      </c>
      <c r="M1176" s="2">
        <v>45253</v>
      </c>
    </row>
    <row r="1177" spans="1:13" x14ac:dyDescent="0.25">
      <c r="A1177" t="s">
        <v>18</v>
      </c>
      <c r="B1177" s="2">
        <v>45414</v>
      </c>
      <c r="C1177">
        <v>2024</v>
      </c>
      <c r="D1177" s="11">
        <f t="shared" si="48"/>
        <v>123</v>
      </c>
      <c r="E1177" t="s">
        <v>6</v>
      </c>
      <c r="F1177">
        <v>117.1</v>
      </c>
      <c r="G1177">
        <f t="shared" si="45"/>
        <v>117.1</v>
      </c>
      <c r="I1177" s="5">
        <f t="shared" si="47"/>
        <v>326</v>
      </c>
      <c r="M1177" s="2">
        <v>45251</v>
      </c>
    </row>
    <row r="1178" spans="1:13" x14ac:dyDescent="0.25">
      <c r="A1178" t="s">
        <v>18</v>
      </c>
      <c r="B1178" s="2">
        <v>45425</v>
      </c>
      <c r="C1178">
        <v>2024</v>
      </c>
      <c r="D1178" s="11">
        <f t="shared" si="48"/>
        <v>134</v>
      </c>
      <c r="E1178" t="s">
        <v>6</v>
      </c>
      <c r="F1178">
        <v>113.1</v>
      </c>
      <c r="G1178">
        <f t="shared" si="45"/>
        <v>113.1</v>
      </c>
      <c r="I1178" s="5">
        <f t="shared" si="47"/>
        <v>333</v>
      </c>
      <c r="M1178" s="2">
        <v>45258</v>
      </c>
    </row>
    <row r="1179" spans="1:13" x14ac:dyDescent="0.25">
      <c r="A1179" t="s">
        <v>18</v>
      </c>
      <c r="B1179" s="2">
        <v>45441</v>
      </c>
      <c r="C1179">
        <v>2024</v>
      </c>
      <c r="D1179" s="11">
        <f t="shared" si="48"/>
        <v>150</v>
      </c>
      <c r="E1179" t="s">
        <v>6</v>
      </c>
      <c r="F1179">
        <v>115.1</v>
      </c>
      <c r="G1179">
        <f t="shared" si="45"/>
        <v>115.1</v>
      </c>
      <c r="I1179" s="5">
        <f t="shared" si="47"/>
        <v>327</v>
      </c>
      <c r="M1179" s="2">
        <v>45252</v>
      </c>
    </row>
    <row r="1180" spans="1:13" x14ac:dyDescent="0.25">
      <c r="A1180" t="s">
        <v>18</v>
      </c>
      <c r="B1180" s="2">
        <v>45453</v>
      </c>
      <c r="C1180">
        <v>2024</v>
      </c>
      <c r="D1180" s="11">
        <f t="shared" si="48"/>
        <v>162</v>
      </c>
      <c r="E1180" t="s">
        <v>6</v>
      </c>
      <c r="F1180">
        <v>114.5</v>
      </c>
      <c r="G1180">
        <f t="shared" si="45"/>
        <v>114.5</v>
      </c>
      <c r="I1180" s="5">
        <f t="shared" si="47"/>
        <v>334</v>
      </c>
      <c r="M1180" s="2">
        <v>45259</v>
      </c>
    </row>
    <row r="1181" spans="1:13" x14ac:dyDescent="0.25">
      <c r="A1181" t="s">
        <v>18</v>
      </c>
      <c r="B1181" s="2">
        <v>45314</v>
      </c>
      <c r="C1181">
        <v>2024</v>
      </c>
      <c r="D1181" s="11">
        <f t="shared" si="48"/>
        <v>23</v>
      </c>
      <c r="E1181" t="s">
        <v>6</v>
      </c>
      <c r="F1181">
        <v>59.9</v>
      </c>
      <c r="G1181">
        <f t="shared" si="45"/>
        <v>59.9</v>
      </c>
      <c r="I1181" s="5">
        <f t="shared" si="47"/>
        <v>328</v>
      </c>
      <c r="M1181" s="2">
        <v>45253</v>
      </c>
    </row>
    <row r="1182" spans="1:13" x14ac:dyDescent="0.25">
      <c r="A1182" t="s">
        <v>18</v>
      </c>
      <c r="B1182" s="2">
        <v>45336</v>
      </c>
      <c r="C1182">
        <v>2024</v>
      </c>
      <c r="D1182" s="11">
        <f t="shared" si="48"/>
        <v>45</v>
      </c>
      <c r="E1182" t="s">
        <v>6</v>
      </c>
      <c r="F1182">
        <v>66.7</v>
      </c>
      <c r="G1182">
        <f t="shared" si="45"/>
        <v>66.7</v>
      </c>
      <c r="I1182" s="5">
        <f t="shared" si="47"/>
        <v>326</v>
      </c>
      <c r="M1182" s="2">
        <v>45251</v>
      </c>
    </row>
    <row r="1183" spans="1:13" x14ac:dyDescent="0.25">
      <c r="A1183" t="s">
        <v>18</v>
      </c>
      <c r="B1183" s="2">
        <v>45348</v>
      </c>
      <c r="C1183">
        <v>2024</v>
      </c>
      <c r="D1183" s="11">
        <f t="shared" si="48"/>
        <v>57</v>
      </c>
      <c r="E1183" t="s">
        <v>6</v>
      </c>
      <c r="F1183">
        <v>74.900000000000006</v>
      </c>
      <c r="G1183">
        <f t="shared" si="45"/>
        <v>74.900000000000006</v>
      </c>
      <c r="I1183" s="5">
        <f t="shared" si="47"/>
        <v>333</v>
      </c>
      <c r="M1183" s="2">
        <v>45258</v>
      </c>
    </row>
    <row r="1184" spans="1:13" x14ac:dyDescent="0.25">
      <c r="A1184" t="s">
        <v>18</v>
      </c>
      <c r="B1184" s="2">
        <v>45365</v>
      </c>
      <c r="C1184">
        <v>2024</v>
      </c>
      <c r="D1184" s="11">
        <f t="shared" si="48"/>
        <v>74</v>
      </c>
      <c r="E1184" t="s">
        <v>6</v>
      </c>
      <c r="F1184">
        <v>85.1</v>
      </c>
      <c r="G1184">
        <f t="shared" si="45"/>
        <v>85.1</v>
      </c>
      <c r="I1184" s="5">
        <f t="shared" si="47"/>
        <v>327</v>
      </c>
      <c r="M1184" s="2">
        <v>45252</v>
      </c>
    </row>
    <row r="1185" spans="1:13" x14ac:dyDescent="0.25">
      <c r="A1185" t="s">
        <v>18</v>
      </c>
      <c r="B1185" s="2">
        <v>45379</v>
      </c>
      <c r="C1185">
        <v>2024</v>
      </c>
      <c r="D1185" s="11">
        <f t="shared" si="48"/>
        <v>88</v>
      </c>
      <c r="E1185" t="s">
        <v>6</v>
      </c>
      <c r="F1185">
        <v>90.7</v>
      </c>
      <c r="G1185">
        <f t="shared" si="45"/>
        <v>90.7</v>
      </c>
      <c r="I1185" s="5">
        <f t="shared" si="47"/>
        <v>328</v>
      </c>
      <c r="M1185" s="2">
        <v>45253</v>
      </c>
    </row>
    <row r="1186" spans="1:13" x14ac:dyDescent="0.25">
      <c r="A1186" t="s">
        <v>18</v>
      </c>
      <c r="B1186" s="2">
        <v>45390</v>
      </c>
      <c r="C1186">
        <v>2024</v>
      </c>
      <c r="D1186" s="11">
        <f t="shared" si="48"/>
        <v>99</v>
      </c>
      <c r="E1186" t="s">
        <v>6</v>
      </c>
      <c r="F1186">
        <v>91.8</v>
      </c>
      <c r="G1186">
        <f t="shared" si="45"/>
        <v>91.8</v>
      </c>
      <c r="I1186" s="5">
        <f t="shared" si="47"/>
        <v>333</v>
      </c>
      <c r="M1186" s="2">
        <v>45258</v>
      </c>
    </row>
    <row r="1187" spans="1:13" x14ac:dyDescent="0.25">
      <c r="A1187" t="s">
        <v>18</v>
      </c>
      <c r="B1187" s="2">
        <v>45404</v>
      </c>
      <c r="C1187">
        <v>2024</v>
      </c>
      <c r="D1187" s="11">
        <f t="shared" si="48"/>
        <v>113</v>
      </c>
      <c r="E1187" t="s">
        <v>6</v>
      </c>
      <c r="F1187">
        <v>98.2</v>
      </c>
      <c r="G1187">
        <f t="shared" si="45"/>
        <v>98.2</v>
      </c>
      <c r="I1187" s="5">
        <f t="shared" si="47"/>
        <v>334</v>
      </c>
      <c r="M1187" s="2">
        <v>45259</v>
      </c>
    </row>
    <row r="1188" spans="1:13" x14ac:dyDescent="0.25">
      <c r="A1188" t="s">
        <v>18</v>
      </c>
      <c r="B1188" s="2">
        <v>45413</v>
      </c>
      <c r="C1188">
        <v>2024</v>
      </c>
      <c r="D1188" s="11">
        <f t="shared" si="48"/>
        <v>122</v>
      </c>
      <c r="E1188" t="s">
        <v>6</v>
      </c>
      <c r="F1188">
        <v>101.7</v>
      </c>
      <c r="G1188">
        <f t="shared" si="45"/>
        <v>101.7</v>
      </c>
      <c r="I1188" s="5">
        <f t="shared" si="47"/>
        <v>326</v>
      </c>
      <c r="M1188" s="2">
        <v>45251</v>
      </c>
    </row>
    <row r="1189" spans="1:13" x14ac:dyDescent="0.25">
      <c r="A1189" t="s">
        <v>18</v>
      </c>
      <c r="B1189" s="2">
        <v>45425</v>
      </c>
      <c r="C1189">
        <v>2024</v>
      </c>
      <c r="D1189" s="11">
        <f t="shared" si="48"/>
        <v>134</v>
      </c>
      <c r="E1189" t="s">
        <v>6</v>
      </c>
      <c r="F1189">
        <v>103.3</v>
      </c>
      <c r="G1189">
        <f t="shared" si="45"/>
        <v>103.3</v>
      </c>
      <c r="I1189" s="5">
        <f t="shared" si="47"/>
        <v>327</v>
      </c>
      <c r="M1189" s="2">
        <v>45252</v>
      </c>
    </row>
    <row r="1190" spans="1:13" x14ac:dyDescent="0.25">
      <c r="A1190" t="s">
        <v>18</v>
      </c>
      <c r="B1190" s="2">
        <v>45441</v>
      </c>
      <c r="C1190">
        <v>2024</v>
      </c>
      <c r="D1190" s="11">
        <f t="shared" si="48"/>
        <v>150</v>
      </c>
      <c r="E1190" t="s">
        <v>6</v>
      </c>
      <c r="F1190">
        <v>99.2</v>
      </c>
      <c r="G1190">
        <f t="shared" si="45"/>
        <v>99.2</v>
      </c>
      <c r="I1190" s="5">
        <f t="shared" si="47"/>
        <v>334</v>
      </c>
      <c r="M1190" s="2">
        <v>45259</v>
      </c>
    </row>
    <row r="1191" spans="1:13" x14ac:dyDescent="0.25">
      <c r="A1191" t="s">
        <v>18</v>
      </c>
      <c r="B1191" s="2">
        <v>45453</v>
      </c>
      <c r="C1191">
        <v>2024</v>
      </c>
      <c r="D1191" s="11">
        <f t="shared" si="48"/>
        <v>162</v>
      </c>
      <c r="E1191" t="s">
        <v>6</v>
      </c>
      <c r="F1191">
        <v>99.8</v>
      </c>
      <c r="G1191">
        <f t="shared" ref="G1191:G1224" si="49">F1191</f>
        <v>99.8</v>
      </c>
      <c r="I1191" s="5">
        <f t="shared" si="47"/>
        <v>333</v>
      </c>
      <c r="M1191" s="2">
        <v>45258</v>
      </c>
    </row>
    <row r="1192" spans="1:13" x14ac:dyDescent="0.25">
      <c r="A1192" t="s">
        <v>18</v>
      </c>
      <c r="B1192" s="2">
        <v>45316</v>
      </c>
      <c r="C1192">
        <v>2024</v>
      </c>
      <c r="D1192" s="11">
        <f t="shared" si="48"/>
        <v>25</v>
      </c>
      <c r="E1192" t="s">
        <v>6</v>
      </c>
      <c r="F1192">
        <v>57.1</v>
      </c>
      <c r="G1192">
        <f t="shared" si="49"/>
        <v>57.1</v>
      </c>
      <c r="I1192" s="5">
        <f t="shared" si="47"/>
        <v>328</v>
      </c>
      <c r="M1192" s="2">
        <v>45253</v>
      </c>
    </row>
    <row r="1193" spans="1:13" x14ac:dyDescent="0.25">
      <c r="A1193" t="s">
        <v>18</v>
      </c>
      <c r="B1193" s="2">
        <v>45337</v>
      </c>
      <c r="C1193">
        <v>2024</v>
      </c>
      <c r="D1193" s="11">
        <f t="shared" si="48"/>
        <v>46</v>
      </c>
      <c r="E1193" t="s">
        <v>6</v>
      </c>
      <c r="F1193">
        <v>71.099999999999994</v>
      </c>
      <c r="G1193">
        <f t="shared" si="49"/>
        <v>71.099999999999994</v>
      </c>
      <c r="I1193" s="5">
        <f t="shared" si="47"/>
        <v>326</v>
      </c>
      <c r="M1193" s="2">
        <v>45251</v>
      </c>
    </row>
    <row r="1194" spans="1:13" x14ac:dyDescent="0.25">
      <c r="A1194" t="s">
        <v>18</v>
      </c>
      <c r="B1194" s="2">
        <v>45350</v>
      </c>
      <c r="C1194">
        <v>2024</v>
      </c>
      <c r="D1194" s="11">
        <f t="shared" si="48"/>
        <v>59</v>
      </c>
      <c r="E1194" t="s">
        <v>6</v>
      </c>
      <c r="F1194">
        <v>77</v>
      </c>
      <c r="G1194">
        <f t="shared" si="49"/>
        <v>77</v>
      </c>
      <c r="I1194" s="5">
        <f t="shared" si="47"/>
        <v>328</v>
      </c>
      <c r="M1194" s="2">
        <v>45253</v>
      </c>
    </row>
    <row r="1195" spans="1:13" x14ac:dyDescent="0.25">
      <c r="A1195" t="s">
        <v>18</v>
      </c>
      <c r="B1195" s="2">
        <v>45364</v>
      </c>
      <c r="C1195">
        <v>2024</v>
      </c>
      <c r="D1195" s="11">
        <f t="shared" si="48"/>
        <v>73</v>
      </c>
      <c r="E1195" t="s">
        <v>6</v>
      </c>
      <c r="F1195">
        <v>83.1</v>
      </c>
      <c r="G1195">
        <f t="shared" si="49"/>
        <v>83.1</v>
      </c>
      <c r="I1195" s="5">
        <f t="shared" si="47"/>
        <v>333</v>
      </c>
      <c r="M1195" s="2">
        <v>45258</v>
      </c>
    </row>
    <row r="1196" spans="1:13" x14ac:dyDescent="0.25">
      <c r="A1196" t="s">
        <v>18</v>
      </c>
      <c r="B1196" s="2">
        <v>45378</v>
      </c>
      <c r="C1196">
        <v>2024</v>
      </c>
      <c r="D1196" s="11">
        <f t="shared" si="48"/>
        <v>87</v>
      </c>
      <c r="E1196" t="s">
        <v>6</v>
      </c>
      <c r="F1196">
        <v>87.3</v>
      </c>
      <c r="G1196">
        <f t="shared" si="49"/>
        <v>87.3</v>
      </c>
      <c r="I1196" s="5">
        <f t="shared" si="47"/>
        <v>327</v>
      </c>
      <c r="M1196" s="2">
        <v>45252</v>
      </c>
    </row>
    <row r="1197" spans="1:13" x14ac:dyDescent="0.25">
      <c r="A1197" t="s">
        <v>18</v>
      </c>
      <c r="B1197" s="2">
        <v>45393</v>
      </c>
      <c r="C1197">
        <v>2024</v>
      </c>
      <c r="D1197" s="11">
        <f t="shared" si="48"/>
        <v>102</v>
      </c>
      <c r="E1197" t="s">
        <v>6</v>
      </c>
      <c r="F1197">
        <v>86.6</v>
      </c>
      <c r="G1197">
        <f t="shared" si="49"/>
        <v>86.6</v>
      </c>
      <c r="I1197" s="5">
        <f t="shared" si="47"/>
        <v>334</v>
      </c>
      <c r="M1197" s="2">
        <v>45259</v>
      </c>
    </row>
    <row r="1198" spans="1:13" x14ac:dyDescent="0.25">
      <c r="A1198" t="s">
        <v>18</v>
      </c>
      <c r="B1198" s="2">
        <v>45404</v>
      </c>
      <c r="C1198">
        <v>2024</v>
      </c>
      <c r="D1198" s="11">
        <f t="shared" si="48"/>
        <v>113</v>
      </c>
      <c r="E1198" t="s">
        <v>6</v>
      </c>
      <c r="F1198">
        <v>90.1</v>
      </c>
      <c r="G1198">
        <f t="shared" si="49"/>
        <v>90.1</v>
      </c>
      <c r="I1198" s="5">
        <f t="shared" si="47"/>
        <v>326</v>
      </c>
      <c r="M1198" s="2">
        <v>45251</v>
      </c>
    </row>
    <row r="1199" spans="1:13" x14ac:dyDescent="0.25">
      <c r="A1199" t="s">
        <v>18</v>
      </c>
      <c r="B1199" s="2">
        <v>45414</v>
      </c>
      <c r="C1199">
        <v>2024</v>
      </c>
      <c r="D1199" s="11">
        <f t="shared" si="48"/>
        <v>123</v>
      </c>
      <c r="E1199" t="s">
        <v>6</v>
      </c>
      <c r="F1199">
        <v>99.7</v>
      </c>
      <c r="G1199">
        <f t="shared" si="49"/>
        <v>99.7</v>
      </c>
      <c r="I1199" s="5">
        <f t="shared" si="47"/>
        <v>327</v>
      </c>
      <c r="M1199" s="2">
        <v>45252</v>
      </c>
    </row>
    <row r="1200" spans="1:13" x14ac:dyDescent="0.25">
      <c r="A1200" t="s">
        <v>18</v>
      </c>
      <c r="B1200" s="2">
        <v>45425</v>
      </c>
      <c r="C1200">
        <v>2024</v>
      </c>
      <c r="D1200" s="11">
        <f t="shared" si="48"/>
        <v>134</v>
      </c>
      <c r="E1200" t="s">
        <v>6</v>
      </c>
      <c r="F1200">
        <v>101.1</v>
      </c>
      <c r="G1200">
        <f t="shared" si="49"/>
        <v>101.1</v>
      </c>
      <c r="I1200" s="5">
        <f t="shared" si="47"/>
        <v>334</v>
      </c>
      <c r="M1200" s="2">
        <v>45259</v>
      </c>
    </row>
    <row r="1201" spans="1:13" x14ac:dyDescent="0.25">
      <c r="A1201" t="s">
        <v>18</v>
      </c>
      <c r="B1201" s="2">
        <v>45441</v>
      </c>
      <c r="C1201">
        <v>2024</v>
      </c>
      <c r="D1201" s="11">
        <f t="shared" si="48"/>
        <v>150</v>
      </c>
      <c r="E1201" t="s">
        <v>6</v>
      </c>
      <c r="F1201">
        <v>100.3</v>
      </c>
      <c r="G1201">
        <f t="shared" si="49"/>
        <v>100.3</v>
      </c>
      <c r="I1201" s="5">
        <f t="shared" si="47"/>
        <v>328</v>
      </c>
      <c r="M1201" s="2">
        <v>45253</v>
      </c>
    </row>
    <row r="1202" spans="1:13" x14ac:dyDescent="0.25">
      <c r="A1202" t="s">
        <v>18</v>
      </c>
      <c r="B1202" s="2">
        <v>45453</v>
      </c>
      <c r="C1202">
        <v>2024</v>
      </c>
      <c r="D1202" s="11">
        <f t="shared" si="48"/>
        <v>162</v>
      </c>
      <c r="E1202" t="s">
        <v>6</v>
      </c>
      <c r="F1202">
        <v>97.4</v>
      </c>
      <c r="G1202">
        <f t="shared" si="49"/>
        <v>97.4</v>
      </c>
      <c r="I1202" s="5">
        <f t="shared" si="47"/>
        <v>326</v>
      </c>
      <c r="M1202" s="2">
        <v>45251</v>
      </c>
    </row>
    <row r="1203" spans="1:13" x14ac:dyDescent="0.25">
      <c r="A1203" t="s">
        <v>18</v>
      </c>
      <c r="B1203" s="2">
        <v>45316</v>
      </c>
      <c r="C1203">
        <v>2024</v>
      </c>
      <c r="D1203" s="11">
        <f t="shared" si="48"/>
        <v>25</v>
      </c>
      <c r="E1203" t="s">
        <v>6</v>
      </c>
      <c r="F1203">
        <v>64.400000000000006</v>
      </c>
      <c r="G1203">
        <f t="shared" si="49"/>
        <v>64.400000000000006</v>
      </c>
      <c r="I1203" s="5">
        <f t="shared" si="47"/>
        <v>333</v>
      </c>
      <c r="M1203" s="2">
        <v>45258</v>
      </c>
    </row>
    <row r="1204" spans="1:13" x14ac:dyDescent="0.25">
      <c r="A1204" t="s">
        <v>18</v>
      </c>
      <c r="B1204" s="2">
        <v>45337</v>
      </c>
      <c r="C1204">
        <v>2024</v>
      </c>
      <c r="D1204" s="11">
        <f t="shared" si="48"/>
        <v>46</v>
      </c>
      <c r="E1204" t="s">
        <v>6</v>
      </c>
      <c r="F1204">
        <v>68.599999999999994</v>
      </c>
      <c r="G1204">
        <f t="shared" si="49"/>
        <v>68.599999999999994</v>
      </c>
      <c r="I1204" s="5">
        <f t="shared" si="47"/>
        <v>327</v>
      </c>
      <c r="M1204" s="2">
        <v>45252</v>
      </c>
    </row>
    <row r="1205" spans="1:13" x14ac:dyDescent="0.25">
      <c r="A1205" t="s">
        <v>18</v>
      </c>
      <c r="B1205" s="2">
        <v>45350</v>
      </c>
      <c r="C1205">
        <v>2024</v>
      </c>
      <c r="D1205" s="11">
        <f t="shared" si="48"/>
        <v>59</v>
      </c>
      <c r="E1205" t="s">
        <v>6</v>
      </c>
      <c r="F1205">
        <v>86.5</v>
      </c>
      <c r="G1205">
        <f t="shared" si="49"/>
        <v>86.5</v>
      </c>
      <c r="I1205" s="5">
        <f t="shared" si="47"/>
        <v>328</v>
      </c>
      <c r="M1205" s="2">
        <v>45253</v>
      </c>
    </row>
    <row r="1206" spans="1:13" x14ac:dyDescent="0.25">
      <c r="A1206" t="s">
        <v>18</v>
      </c>
      <c r="B1206" s="2">
        <v>45364</v>
      </c>
      <c r="C1206">
        <v>2024</v>
      </c>
      <c r="D1206" s="11">
        <f t="shared" si="48"/>
        <v>73</v>
      </c>
      <c r="E1206" t="s">
        <v>6</v>
      </c>
      <c r="F1206">
        <v>90</v>
      </c>
      <c r="G1206">
        <f t="shared" si="49"/>
        <v>90</v>
      </c>
      <c r="I1206" s="5">
        <f t="shared" si="47"/>
        <v>334</v>
      </c>
      <c r="M1206" s="2">
        <v>45259</v>
      </c>
    </row>
    <row r="1207" spans="1:13" x14ac:dyDescent="0.25">
      <c r="A1207" t="s">
        <v>18</v>
      </c>
      <c r="B1207" s="2">
        <v>45378</v>
      </c>
      <c r="C1207">
        <v>2024</v>
      </c>
      <c r="D1207" s="11">
        <f t="shared" si="48"/>
        <v>87</v>
      </c>
      <c r="E1207" t="s">
        <v>6</v>
      </c>
      <c r="F1207">
        <v>98.4</v>
      </c>
      <c r="G1207">
        <f t="shared" si="49"/>
        <v>98.4</v>
      </c>
      <c r="I1207" s="5">
        <f t="shared" si="47"/>
        <v>326</v>
      </c>
      <c r="M1207" s="2">
        <v>45251</v>
      </c>
    </row>
    <row r="1208" spans="1:13" x14ac:dyDescent="0.25">
      <c r="A1208" t="s">
        <v>18</v>
      </c>
      <c r="B1208" s="2">
        <v>45390</v>
      </c>
      <c r="C1208">
        <v>2024</v>
      </c>
      <c r="D1208" s="11">
        <f t="shared" si="48"/>
        <v>99</v>
      </c>
      <c r="E1208" t="s">
        <v>6</v>
      </c>
      <c r="F1208">
        <v>102.7</v>
      </c>
      <c r="G1208">
        <f t="shared" si="49"/>
        <v>102.7</v>
      </c>
      <c r="I1208" s="5">
        <f t="shared" si="47"/>
        <v>333</v>
      </c>
      <c r="M1208" s="2">
        <v>45258</v>
      </c>
    </row>
    <row r="1209" spans="1:13" x14ac:dyDescent="0.25">
      <c r="A1209" t="s">
        <v>18</v>
      </c>
      <c r="B1209" s="2">
        <v>45407</v>
      </c>
      <c r="C1209">
        <v>2024</v>
      </c>
      <c r="D1209" s="11">
        <f t="shared" si="48"/>
        <v>116</v>
      </c>
      <c r="E1209" t="s">
        <v>6</v>
      </c>
      <c r="F1209">
        <v>102.3</v>
      </c>
      <c r="G1209">
        <f t="shared" si="49"/>
        <v>102.3</v>
      </c>
      <c r="I1209" s="5">
        <f t="shared" si="47"/>
        <v>334</v>
      </c>
      <c r="M1209" s="2">
        <v>45259</v>
      </c>
    </row>
    <row r="1210" spans="1:13" x14ac:dyDescent="0.25">
      <c r="A1210" t="s">
        <v>18</v>
      </c>
      <c r="B1210" s="2">
        <v>45413</v>
      </c>
      <c r="C1210">
        <v>2024</v>
      </c>
      <c r="D1210" s="11">
        <f t="shared" si="48"/>
        <v>122</v>
      </c>
      <c r="E1210" t="s">
        <v>6</v>
      </c>
      <c r="F1210">
        <v>103.9</v>
      </c>
      <c r="G1210">
        <f t="shared" si="49"/>
        <v>103.9</v>
      </c>
      <c r="I1210" s="5">
        <f t="shared" si="47"/>
        <v>326</v>
      </c>
      <c r="M1210" s="2">
        <v>45251</v>
      </c>
    </row>
    <row r="1211" spans="1:13" x14ac:dyDescent="0.25">
      <c r="A1211" t="s">
        <v>18</v>
      </c>
      <c r="B1211" s="2">
        <v>45425</v>
      </c>
      <c r="C1211">
        <v>2024</v>
      </c>
      <c r="D1211" s="11">
        <f t="shared" si="48"/>
        <v>134</v>
      </c>
      <c r="E1211" t="s">
        <v>6</v>
      </c>
      <c r="F1211">
        <v>100.2</v>
      </c>
      <c r="G1211">
        <f t="shared" si="49"/>
        <v>100.2</v>
      </c>
      <c r="I1211" s="5">
        <f t="shared" si="47"/>
        <v>333</v>
      </c>
      <c r="M1211" s="2">
        <v>45258</v>
      </c>
    </row>
    <row r="1212" spans="1:13" x14ac:dyDescent="0.25">
      <c r="A1212" t="s">
        <v>18</v>
      </c>
      <c r="B1212" s="2">
        <v>45439</v>
      </c>
      <c r="C1212">
        <v>2024</v>
      </c>
      <c r="D1212" s="11">
        <f t="shared" si="48"/>
        <v>148</v>
      </c>
      <c r="E1212" t="s">
        <v>6</v>
      </c>
      <c r="F1212">
        <v>103</v>
      </c>
      <c r="G1212">
        <f t="shared" si="49"/>
        <v>103</v>
      </c>
      <c r="I1212" s="5">
        <f t="shared" ref="I1212" si="50" xml:space="preserve"> DATEDIF(DATE(YEAR(M1212),1,0),M1212,"d")+1</f>
        <v>327</v>
      </c>
      <c r="M1212" s="2">
        <v>45252</v>
      </c>
    </row>
    <row r="1213" spans="1:13" x14ac:dyDescent="0.25">
      <c r="A1213" t="s">
        <v>18</v>
      </c>
      <c r="B1213" s="2">
        <v>45454</v>
      </c>
      <c r="C1213">
        <v>2024</v>
      </c>
      <c r="D1213" s="11">
        <f t="shared" si="48"/>
        <v>163</v>
      </c>
      <c r="E1213" t="s">
        <v>6</v>
      </c>
      <c r="F1213">
        <v>101.2</v>
      </c>
      <c r="G1213">
        <f t="shared" si="49"/>
        <v>101.2</v>
      </c>
      <c r="M1213" s="2">
        <v>45253</v>
      </c>
    </row>
    <row r="1214" spans="1:13" hidden="1" x14ac:dyDescent="0.25">
      <c r="A1214" t="s">
        <v>23</v>
      </c>
      <c r="B1214" s="2">
        <v>45315</v>
      </c>
      <c r="C1214">
        <v>2024</v>
      </c>
      <c r="D1214" s="11">
        <f t="shared" si="48"/>
        <v>24</v>
      </c>
      <c r="E1214" t="s">
        <v>9</v>
      </c>
      <c r="F1214">
        <v>67.5</v>
      </c>
      <c r="G1214">
        <f t="shared" si="49"/>
        <v>67.5</v>
      </c>
      <c r="I1214" s="4">
        <f t="shared" ref="I1214:I1277" si="51" xml:space="preserve"> DATEDIF(DATE(YEAR(M1214),1,0),M1214,"d")+1</f>
        <v>327</v>
      </c>
      <c r="M1214" s="2">
        <v>45252</v>
      </c>
    </row>
    <row r="1215" spans="1:13" hidden="1" x14ac:dyDescent="0.25">
      <c r="A1215" t="s">
        <v>23</v>
      </c>
      <c r="B1215" s="2">
        <v>45335</v>
      </c>
      <c r="C1215">
        <v>2024</v>
      </c>
      <c r="D1215" s="11">
        <f t="shared" si="48"/>
        <v>44</v>
      </c>
      <c r="E1215" t="s">
        <v>9</v>
      </c>
      <c r="F1215">
        <v>78.2</v>
      </c>
      <c r="G1215">
        <f t="shared" si="49"/>
        <v>78.2</v>
      </c>
      <c r="I1215" s="4">
        <f t="shared" si="51"/>
        <v>327</v>
      </c>
      <c r="M1215" s="2">
        <v>45252</v>
      </c>
    </row>
    <row r="1216" spans="1:13" hidden="1" x14ac:dyDescent="0.25">
      <c r="A1216" t="s">
        <v>23</v>
      </c>
      <c r="B1216" s="2">
        <v>45349</v>
      </c>
      <c r="C1216">
        <v>2024</v>
      </c>
      <c r="D1216" s="11">
        <f t="shared" si="48"/>
        <v>58</v>
      </c>
      <c r="E1216" t="s">
        <v>9</v>
      </c>
      <c r="F1216">
        <v>86.7</v>
      </c>
      <c r="G1216">
        <f t="shared" si="49"/>
        <v>86.7</v>
      </c>
      <c r="I1216" s="4">
        <f t="shared" si="51"/>
        <v>327</v>
      </c>
      <c r="M1216" s="2">
        <v>45252</v>
      </c>
    </row>
    <row r="1217" spans="1:13" hidden="1" x14ac:dyDescent="0.25">
      <c r="A1217" t="s">
        <v>23</v>
      </c>
      <c r="B1217" s="2">
        <v>45363</v>
      </c>
      <c r="C1217">
        <v>2024</v>
      </c>
      <c r="D1217" s="11">
        <f t="shared" si="48"/>
        <v>72</v>
      </c>
      <c r="E1217" t="s">
        <v>9</v>
      </c>
      <c r="F1217">
        <v>92.6</v>
      </c>
      <c r="G1217">
        <f t="shared" si="49"/>
        <v>92.6</v>
      </c>
      <c r="I1217" s="4">
        <f t="shared" si="51"/>
        <v>327</v>
      </c>
      <c r="M1217" s="2">
        <v>45252</v>
      </c>
    </row>
    <row r="1218" spans="1:13" hidden="1" x14ac:dyDescent="0.25">
      <c r="A1218" t="s">
        <v>23</v>
      </c>
      <c r="B1218" s="2">
        <v>45378</v>
      </c>
      <c r="C1218">
        <v>2024</v>
      </c>
      <c r="D1218" s="11">
        <f t="shared" si="48"/>
        <v>87</v>
      </c>
      <c r="E1218" t="s">
        <v>9</v>
      </c>
      <c r="F1218">
        <v>99.8</v>
      </c>
      <c r="G1218">
        <f t="shared" si="49"/>
        <v>99.8</v>
      </c>
      <c r="I1218" s="4">
        <f t="shared" si="51"/>
        <v>327</v>
      </c>
      <c r="M1218" s="2">
        <v>45252</v>
      </c>
    </row>
    <row r="1219" spans="1:13" hidden="1" x14ac:dyDescent="0.25">
      <c r="A1219" t="s">
        <v>23</v>
      </c>
      <c r="B1219" s="2">
        <v>45390</v>
      </c>
      <c r="C1219">
        <v>2024</v>
      </c>
      <c r="D1219" s="11">
        <f t="shared" ref="D1219:D1282" si="52">B1219-DATE(YEAR(B1219),1,0)</f>
        <v>99</v>
      </c>
      <c r="E1219" t="s">
        <v>9</v>
      </c>
      <c r="F1219">
        <v>103.5</v>
      </c>
      <c r="G1219">
        <f t="shared" si="49"/>
        <v>103.5</v>
      </c>
      <c r="I1219" s="4">
        <f t="shared" si="51"/>
        <v>327</v>
      </c>
      <c r="M1219" s="2">
        <v>45252</v>
      </c>
    </row>
    <row r="1220" spans="1:13" hidden="1" x14ac:dyDescent="0.25">
      <c r="A1220" t="s">
        <v>23</v>
      </c>
      <c r="B1220" s="2">
        <v>45406</v>
      </c>
      <c r="C1220">
        <v>2024</v>
      </c>
      <c r="D1220" s="11">
        <f t="shared" si="52"/>
        <v>115</v>
      </c>
      <c r="E1220" t="s">
        <v>9</v>
      </c>
      <c r="F1220">
        <v>113.8</v>
      </c>
      <c r="G1220">
        <f>Calculations!D15</f>
        <v>101.62213836929715</v>
      </c>
      <c r="H1220" t="s">
        <v>27</v>
      </c>
      <c r="I1220" s="4">
        <f t="shared" si="51"/>
        <v>327</v>
      </c>
      <c r="M1220" s="2">
        <v>45252</v>
      </c>
    </row>
    <row r="1221" spans="1:13" hidden="1" x14ac:dyDescent="0.25">
      <c r="A1221" t="s">
        <v>23</v>
      </c>
      <c r="B1221" s="2">
        <v>45412</v>
      </c>
      <c r="C1221">
        <v>2024</v>
      </c>
      <c r="D1221" s="11">
        <f t="shared" si="52"/>
        <v>121</v>
      </c>
      <c r="E1221" t="s">
        <v>9</v>
      </c>
      <c r="F1221">
        <v>87.9</v>
      </c>
      <c r="G1221">
        <f t="shared" si="49"/>
        <v>87.9</v>
      </c>
      <c r="I1221" s="4">
        <f t="shared" si="51"/>
        <v>327</v>
      </c>
      <c r="M1221" s="2">
        <v>45252</v>
      </c>
    </row>
    <row r="1222" spans="1:13" hidden="1" x14ac:dyDescent="0.25">
      <c r="A1222" t="s">
        <v>23</v>
      </c>
      <c r="B1222" s="2">
        <v>45427</v>
      </c>
      <c r="C1222">
        <v>2024</v>
      </c>
      <c r="D1222" s="11">
        <f t="shared" si="52"/>
        <v>136</v>
      </c>
      <c r="E1222" t="s">
        <v>9</v>
      </c>
      <c r="F1222">
        <v>105.6</v>
      </c>
      <c r="G1222">
        <f t="shared" si="49"/>
        <v>105.6</v>
      </c>
      <c r="I1222" s="4">
        <f t="shared" si="51"/>
        <v>327</v>
      </c>
      <c r="M1222" s="2">
        <v>45252</v>
      </c>
    </row>
    <row r="1223" spans="1:13" hidden="1" x14ac:dyDescent="0.25">
      <c r="A1223" t="s">
        <v>23</v>
      </c>
      <c r="B1223" s="2">
        <v>45441</v>
      </c>
      <c r="C1223">
        <v>2024</v>
      </c>
      <c r="D1223" s="11">
        <f t="shared" si="52"/>
        <v>150</v>
      </c>
      <c r="E1223" t="s">
        <v>9</v>
      </c>
      <c r="F1223">
        <v>99.6</v>
      </c>
      <c r="G1223">
        <f t="shared" si="49"/>
        <v>99.6</v>
      </c>
      <c r="I1223" s="4">
        <f t="shared" si="51"/>
        <v>327</v>
      </c>
      <c r="M1223" s="2">
        <v>45252</v>
      </c>
    </row>
    <row r="1224" spans="1:13" hidden="1" x14ac:dyDescent="0.25">
      <c r="A1224" t="s">
        <v>23</v>
      </c>
      <c r="B1224" s="2">
        <v>45454</v>
      </c>
      <c r="C1224">
        <v>2024</v>
      </c>
      <c r="D1224" s="11">
        <f t="shared" si="52"/>
        <v>163</v>
      </c>
      <c r="E1224" t="s">
        <v>9</v>
      </c>
      <c r="F1224">
        <v>104.6</v>
      </c>
      <c r="G1224">
        <f t="shared" si="49"/>
        <v>104.6</v>
      </c>
      <c r="I1224" s="4">
        <f t="shared" si="51"/>
        <v>327</v>
      </c>
      <c r="M1224" s="2">
        <v>45252</v>
      </c>
    </row>
    <row r="1225" spans="1:13" s="9" customFormat="1" hidden="1" x14ac:dyDescent="0.25">
      <c r="A1225" s="9" t="s">
        <v>33</v>
      </c>
      <c r="B1225" s="10">
        <v>43851</v>
      </c>
      <c r="C1225" s="9">
        <f>YEAR(B1225)</f>
        <v>2020</v>
      </c>
      <c r="D1225" s="11">
        <f t="shared" si="52"/>
        <v>21</v>
      </c>
      <c r="E1225" s="9" t="s">
        <v>38</v>
      </c>
      <c r="F1225" s="9">
        <v>71</v>
      </c>
      <c r="I1225" s="4">
        <f t="shared" si="51"/>
        <v>330</v>
      </c>
      <c r="M1225" s="10">
        <v>43794</v>
      </c>
    </row>
    <row r="1226" spans="1:13" hidden="1" x14ac:dyDescent="0.25">
      <c r="A1226" s="9" t="s">
        <v>33</v>
      </c>
      <c r="B1226" s="2">
        <v>43851</v>
      </c>
      <c r="C1226" s="9">
        <f t="shared" ref="C1226:C1289" si="53">YEAR(B1226)</f>
        <v>2020</v>
      </c>
      <c r="D1226" s="11">
        <f t="shared" si="52"/>
        <v>21</v>
      </c>
      <c r="E1226" s="9" t="s">
        <v>38</v>
      </c>
      <c r="F1226">
        <v>66.8</v>
      </c>
      <c r="I1226" s="4">
        <f t="shared" si="51"/>
        <v>325</v>
      </c>
      <c r="M1226" s="2">
        <v>43789</v>
      </c>
    </row>
    <row r="1227" spans="1:13" hidden="1" x14ac:dyDescent="0.25">
      <c r="A1227" s="9" t="s">
        <v>33</v>
      </c>
      <c r="B1227" s="2">
        <v>43879</v>
      </c>
      <c r="C1227" s="9">
        <f t="shared" si="53"/>
        <v>2020</v>
      </c>
      <c r="D1227" s="11">
        <f t="shared" si="52"/>
        <v>49</v>
      </c>
      <c r="E1227" s="9" t="s">
        <v>38</v>
      </c>
      <c r="F1227">
        <v>81.5</v>
      </c>
      <c r="I1227" s="4">
        <f t="shared" si="51"/>
        <v>330</v>
      </c>
      <c r="M1227" s="2">
        <v>43794</v>
      </c>
    </row>
    <row r="1228" spans="1:13" hidden="1" x14ac:dyDescent="0.25">
      <c r="A1228" s="9" t="s">
        <v>33</v>
      </c>
      <c r="B1228" s="2">
        <v>43879</v>
      </c>
      <c r="C1228" s="9">
        <f t="shared" si="53"/>
        <v>2020</v>
      </c>
      <c r="D1228" s="11">
        <f t="shared" si="52"/>
        <v>49</v>
      </c>
      <c r="E1228" s="9" t="s">
        <v>38</v>
      </c>
      <c r="F1228">
        <v>82.1</v>
      </c>
      <c r="I1228" s="4">
        <f t="shared" si="51"/>
        <v>325</v>
      </c>
      <c r="M1228" s="2">
        <v>43789</v>
      </c>
    </row>
    <row r="1229" spans="1:13" hidden="1" x14ac:dyDescent="0.25">
      <c r="A1229" s="9" t="s">
        <v>33</v>
      </c>
      <c r="B1229" s="2">
        <v>43893</v>
      </c>
      <c r="C1229" s="9">
        <f t="shared" si="53"/>
        <v>2020</v>
      </c>
      <c r="D1229" s="11">
        <f t="shared" si="52"/>
        <v>63</v>
      </c>
      <c r="E1229" s="9" t="s">
        <v>38</v>
      </c>
      <c r="F1229">
        <v>89.4</v>
      </c>
      <c r="I1229" s="4">
        <f t="shared" si="51"/>
        <v>330</v>
      </c>
      <c r="M1229" s="2">
        <v>43794</v>
      </c>
    </row>
    <row r="1230" spans="1:13" hidden="1" x14ac:dyDescent="0.25">
      <c r="A1230" s="9" t="s">
        <v>33</v>
      </c>
      <c r="B1230" s="2">
        <v>43893</v>
      </c>
      <c r="C1230" s="9">
        <f t="shared" si="53"/>
        <v>2020</v>
      </c>
      <c r="D1230" s="11">
        <f t="shared" si="52"/>
        <v>63</v>
      </c>
      <c r="E1230" s="9" t="s">
        <v>38</v>
      </c>
      <c r="F1230">
        <v>88</v>
      </c>
      <c r="I1230" s="4">
        <f t="shared" si="51"/>
        <v>325</v>
      </c>
      <c r="M1230" s="2">
        <v>43789</v>
      </c>
    </row>
    <row r="1231" spans="1:13" hidden="1" x14ac:dyDescent="0.25">
      <c r="A1231" s="9" t="s">
        <v>33</v>
      </c>
      <c r="B1231" s="2">
        <v>43906</v>
      </c>
      <c r="C1231" s="9">
        <f t="shared" si="53"/>
        <v>2020</v>
      </c>
      <c r="D1231" s="11">
        <f t="shared" si="52"/>
        <v>76</v>
      </c>
      <c r="E1231" s="9" t="s">
        <v>38</v>
      </c>
      <c r="F1231">
        <v>96.5</v>
      </c>
      <c r="I1231" s="4">
        <f t="shared" si="51"/>
        <v>330</v>
      </c>
      <c r="M1231" s="2">
        <v>43794</v>
      </c>
    </row>
    <row r="1232" spans="1:13" hidden="1" x14ac:dyDescent="0.25">
      <c r="A1232" s="9" t="s">
        <v>33</v>
      </c>
      <c r="B1232" s="2">
        <v>43906</v>
      </c>
      <c r="C1232" s="9">
        <f t="shared" si="53"/>
        <v>2020</v>
      </c>
      <c r="D1232" s="11">
        <f t="shared" si="52"/>
        <v>76</v>
      </c>
      <c r="E1232" s="9" t="s">
        <v>38</v>
      </c>
      <c r="F1232">
        <v>93.5</v>
      </c>
      <c r="I1232" s="4">
        <f t="shared" si="51"/>
        <v>325</v>
      </c>
      <c r="M1232" s="2">
        <v>43789</v>
      </c>
    </row>
    <row r="1233" spans="1:13" hidden="1" x14ac:dyDescent="0.25">
      <c r="A1233" s="9" t="s">
        <v>33</v>
      </c>
      <c r="B1233" s="2">
        <v>43951</v>
      </c>
      <c r="C1233" s="9">
        <f t="shared" si="53"/>
        <v>2020</v>
      </c>
      <c r="D1233" s="11">
        <f t="shared" si="52"/>
        <v>121</v>
      </c>
      <c r="E1233" s="9" t="s">
        <v>38</v>
      </c>
      <c r="F1233">
        <v>119.5</v>
      </c>
      <c r="I1233" s="4">
        <f t="shared" si="51"/>
        <v>330</v>
      </c>
      <c r="M1233" s="2">
        <v>43794</v>
      </c>
    </row>
    <row r="1234" spans="1:13" hidden="1" x14ac:dyDescent="0.25">
      <c r="A1234" s="9" t="s">
        <v>33</v>
      </c>
      <c r="B1234" s="2">
        <v>43951</v>
      </c>
      <c r="C1234" s="9">
        <f t="shared" si="53"/>
        <v>2020</v>
      </c>
      <c r="D1234" s="11">
        <f t="shared" si="52"/>
        <v>121</v>
      </c>
      <c r="E1234" s="9" t="s">
        <v>38</v>
      </c>
      <c r="F1234">
        <v>112.5</v>
      </c>
      <c r="G1234" s="7">
        <f>Calculations!D16</f>
        <v>112.08154885418196</v>
      </c>
      <c r="H1234" t="s">
        <v>27</v>
      </c>
      <c r="I1234" s="4">
        <f t="shared" si="51"/>
        <v>325</v>
      </c>
      <c r="M1234" s="2">
        <v>43789</v>
      </c>
    </row>
    <row r="1235" spans="1:13" hidden="1" x14ac:dyDescent="0.25">
      <c r="A1235" s="9" t="s">
        <v>33</v>
      </c>
      <c r="B1235" s="2">
        <v>43963</v>
      </c>
      <c r="C1235" s="9">
        <f t="shared" si="53"/>
        <v>2020</v>
      </c>
      <c r="D1235" s="11">
        <f t="shared" si="52"/>
        <v>133</v>
      </c>
      <c r="E1235" s="9" t="s">
        <v>38</v>
      </c>
      <c r="F1235">
        <v>124</v>
      </c>
      <c r="I1235" s="4">
        <f t="shared" si="51"/>
        <v>330</v>
      </c>
      <c r="M1235" s="2">
        <v>43794</v>
      </c>
    </row>
    <row r="1236" spans="1:13" hidden="1" x14ac:dyDescent="0.25">
      <c r="A1236" s="9" t="s">
        <v>33</v>
      </c>
      <c r="B1236" s="2">
        <v>43963</v>
      </c>
      <c r="C1236" s="9">
        <f t="shared" si="53"/>
        <v>2020</v>
      </c>
      <c r="D1236" s="11">
        <f t="shared" si="52"/>
        <v>133</v>
      </c>
      <c r="E1236" s="9" t="s">
        <v>38</v>
      </c>
      <c r="F1236">
        <v>111.2</v>
      </c>
      <c r="I1236" s="4">
        <f t="shared" si="51"/>
        <v>325</v>
      </c>
      <c r="M1236" s="2">
        <v>43789</v>
      </c>
    </row>
    <row r="1237" spans="1:13" hidden="1" x14ac:dyDescent="0.25">
      <c r="A1237" s="9" t="s">
        <v>33</v>
      </c>
      <c r="B1237" s="2">
        <v>43976</v>
      </c>
      <c r="C1237" s="9">
        <f t="shared" si="53"/>
        <v>2020</v>
      </c>
      <c r="D1237" s="11">
        <f t="shared" si="52"/>
        <v>146</v>
      </c>
      <c r="E1237" s="9" t="s">
        <v>38</v>
      </c>
      <c r="F1237">
        <v>122.9</v>
      </c>
      <c r="I1237" s="4">
        <f t="shared" si="51"/>
        <v>330</v>
      </c>
      <c r="M1237" s="2">
        <v>43794</v>
      </c>
    </row>
    <row r="1238" spans="1:13" hidden="1" x14ac:dyDescent="0.25">
      <c r="A1238" s="9" t="s">
        <v>33</v>
      </c>
      <c r="B1238" s="2">
        <v>43976</v>
      </c>
      <c r="C1238" s="9">
        <f t="shared" si="53"/>
        <v>2020</v>
      </c>
      <c r="D1238" s="11">
        <f t="shared" si="52"/>
        <v>146</v>
      </c>
      <c r="E1238" s="9" t="s">
        <v>38</v>
      </c>
      <c r="F1238">
        <v>113</v>
      </c>
      <c r="I1238" s="4">
        <f t="shared" si="51"/>
        <v>325</v>
      </c>
      <c r="M1238" s="2">
        <v>43789</v>
      </c>
    </row>
    <row r="1239" spans="1:13" hidden="1" x14ac:dyDescent="0.25">
      <c r="A1239" s="9" t="s">
        <v>34</v>
      </c>
      <c r="B1239" s="2">
        <v>44222</v>
      </c>
      <c r="C1239" s="9">
        <f t="shared" si="53"/>
        <v>2021</v>
      </c>
      <c r="D1239" s="11">
        <f t="shared" si="52"/>
        <v>26</v>
      </c>
      <c r="E1239" s="9" t="s">
        <v>38</v>
      </c>
      <c r="F1239">
        <v>71.344444440000004</v>
      </c>
      <c r="I1239" s="4">
        <f t="shared" si="51"/>
        <v>317</v>
      </c>
      <c r="M1239" s="2">
        <v>44146</v>
      </c>
    </row>
    <row r="1240" spans="1:13" hidden="1" x14ac:dyDescent="0.25">
      <c r="A1240" s="9" t="s">
        <v>34</v>
      </c>
      <c r="B1240" s="2">
        <v>44222</v>
      </c>
      <c r="C1240" s="9">
        <f t="shared" si="53"/>
        <v>2021</v>
      </c>
      <c r="D1240" s="11">
        <f t="shared" si="52"/>
        <v>26</v>
      </c>
      <c r="E1240" s="9" t="s">
        <v>38</v>
      </c>
      <c r="F1240">
        <v>72.515222219999998</v>
      </c>
      <c r="I1240" s="4">
        <f t="shared" si="51"/>
        <v>323</v>
      </c>
      <c r="M1240" s="2">
        <v>44152</v>
      </c>
    </row>
    <row r="1241" spans="1:13" hidden="1" x14ac:dyDescent="0.25">
      <c r="A1241" s="9" t="s">
        <v>34</v>
      </c>
      <c r="B1241" s="2">
        <v>44245</v>
      </c>
      <c r="C1241" s="9">
        <f t="shared" si="53"/>
        <v>2021</v>
      </c>
      <c r="D1241" s="11">
        <f t="shared" si="52"/>
        <v>49</v>
      </c>
      <c r="E1241" s="9" t="s">
        <v>38</v>
      </c>
      <c r="F1241">
        <v>79.661444439999997</v>
      </c>
      <c r="I1241" s="4">
        <f t="shared" si="51"/>
        <v>317</v>
      </c>
      <c r="M1241" s="2">
        <v>44146</v>
      </c>
    </row>
    <row r="1242" spans="1:13" hidden="1" x14ac:dyDescent="0.25">
      <c r="A1242" s="9" t="s">
        <v>34</v>
      </c>
      <c r="B1242" s="2">
        <v>44245</v>
      </c>
      <c r="C1242" s="9">
        <f t="shared" si="53"/>
        <v>2021</v>
      </c>
      <c r="D1242" s="11">
        <f t="shared" si="52"/>
        <v>49</v>
      </c>
      <c r="E1242" s="9" t="s">
        <v>38</v>
      </c>
      <c r="F1242">
        <v>78.662333329999996</v>
      </c>
      <c r="I1242" s="4">
        <f t="shared" si="51"/>
        <v>323</v>
      </c>
      <c r="M1242" s="2">
        <v>44152</v>
      </c>
    </row>
    <row r="1243" spans="1:13" hidden="1" x14ac:dyDescent="0.25">
      <c r="A1243" s="9" t="s">
        <v>34</v>
      </c>
      <c r="B1243" s="2">
        <v>44257</v>
      </c>
      <c r="C1243" s="9">
        <f t="shared" si="53"/>
        <v>2021</v>
      </c>
      <c r="D1243" s="11">
        <f t="shared" si="52"/>
        <v>61</v>
      </c>
      <c r="E1243" s="9" t="s">
        <v>38</v>
      </c>
      <c r="F1243">
        <v>85.806555560000007</v>
      </c>
      <c r="I1243" s="4">
        <f t="shared" si="51"/>
        <v>317</v>
      </c>
      <c r="M1243" s="2">
        <v>44146</v>
      </c>
    </row>
    <row r="1244" spans="1:13" hidden="1" x14ac:dyDescent="0.25">
      <c r="A1244" s="9" t="s">
        <v>34</v>
      </c>
      <c r="B1244" s="2">
        <v>44257</v>
      </c>
      <c r="C1244" s="9">
        <f t="shared" si="53"/>
        <v>2021</v>
      </c>
      <c r="D1244" s="11">
        <f t="shared" si="52"/>
        <v>61</v>
      </c>
      <c r="E1244" s="9" t="s">
        <v>38</v>
      </c>
      <c r="F1244">
        <v>94.198222220000005</v>
      </c>
      <c r="I1244" s="4">
        <f t="shared" si="51"/>
        <v>323</v>
      </c>
      <c r="M1244" s="2">
        <v>44152</v>
      </c>
    </row>
    <row r="1245" spans="1:13" hidden="1" x14ac:dyDescent="0.25">
      <c r="A1245" s="9" t="s">
        <v>34</v>
      </c>
      <c r="B1245" s="2">
        <v>44271</v>
      </c>
      <c r="C1245" s="9">
        <f t="shared" si="53"/>
        <v>2021</v>
      </c>
      <c r="D1245" s="11">
        <f t="shared" si="52"/>
        <v>75</v>
      </c>
      <c r="E1245" s="9" t="s">
        <v>38</v>
      </c>
      <c r="F1245">
        <v>94.438555559999998</v>
      </c>
      <c r="I1245" s="4">
        <f t="shared" si="51"/>
        <v>317</v>
      </c>
      <c r="M1245" s="2">
        <v>44146</v>
      </c>
    </row>
    <row r="1246" spans="1:13" hidden="1" x14ac:dyDescent="0.25">
      <c r="A1246" s="9" t="s">
        <v>34</v>
      </c>
      <c r="B1246" s="2">
        <v>44271</v>
      </c>
      <c r="C1246" s="9">
        <f t="shared" si="53"/>
        <v>2021</v>
      </c>
      <c r="D1246" s="11">
        <f t="shared" si="52"/>
        <v>75</v>
      </c>
      <c r="E1246" s="9" t="s">
        <v>38</v>
      </c>
      <c r="F1246">
        <v>94.316999999999993</v>
      </c>
      <c r="I1246" s="4">
        <f t="shared" si="51"/>
        <v>323</v>
      </c>
      <c r="M1246" s="2">
        <v>44152</v>
      </c>
    </row>
    <row r="1247" spans="1:13" hidden="1" x14ac:dyDescent="0.25">
      <c r="A1247" s="9" t="s">
        <v>34</v>
      </c>
      <c r="B1247" s="2">
        <v>44285</v>
      </c>
      <c r="C1247" s="9">
        <f t="shared" si="53"/>
        <v>2021</v>
      </c>
      <c r="D1247" s="11">
        <f t="shared" si="52"/>
        <v>89</v>
      </c>
      <c r="E1247" s="9" t="s">
        <v>38</v>
      </c>
      <c r="F1247">
        <v>99.934222219999995</v>
      </c>
      <c r="I1247" s="4">
        <f t="shared" si="51"/>
        <v>317</v>
      </c>
      <c r="M1247" s="2">
        <v>44146</v>
      </c>
    </row>
    <row r="1248" spans="1:13" hidden="1" x14ac:dyDescent="0.25">
      <c r="A1248" s="9" t="s">
        <v>34</v>
      </c>
      <c r="B1248" s="2">
        <v>44285</v>
      </c>
      <c r="C1248" s="9">
        <f t="shared" si="53"/>
        <v>2021</v>
      </c>
      <c r="D1248" s="11">
        <f t="shared" si="52"/>
        <v>89</v>
      </c>
      <c r="E1248" s="9" t="s">
        <v>38</v>
      </c>
      <c r="F1248">
        <v>102.6277528</v>
      </c>
      <c r="I1248" s="4">
        <f t="shared" si="51"/>
        <v>323</v>
      </c>
      <c r="M1248" s="2">
        <v>44152</v>
      </c>
    </row>
    <row r="1249" spans="1:13" hidden="1" x14ac:dyDescent="0.25">
      <c r="A1249" s="9" t="s">
        <v>34</v>
      </c>
      <c r="B1249" s="2">
        <v>44299</v>
      </c>
      <c r="C1249" s="9">
        <f t="shared" si="53"/>
        <v>2021</v>
      </c>
      <c r="D1249" s="11">
        <f t="shared" si="52"/>
        <v>103</v>
      </c>
      <c r="E1249" s="9" t="s">
        <v>38</v>
      </c>
      <c r="F1249">
        <v>109.68055560000001</v>
      </c>
      <c r="I1249" s="4">
        <f t="shared" si="51"/>
        <v>317</v>
      </c>
      <c r="M1249" s="2">
        <v>44146</v>
      </c>
    </row>
    <row r="1250" spans="1:13" hidden="1" x14ac:dyDescent="0.25">
      <c r="A1250" s="9" t="s">
        <v>34</v>
      </c>
      <c r="B1250" s="2">
        <v>44299</v>
      </c>
      <c r="C1250" s="9">
        <f t="shared" si="53"/>
        <v>2021</v>
      </c>
      <c r="D1250" s="11">
        <f t="shared" si="52"/>
        <v>103</v>
      </c>
      <c r="E1250" s="9" t="s">
        <v>38</v>
      </c>
      <c r="F1250">
        <v>104.4843333</v>
      </c>
      <c r="I1250" s="4">
        <f t="shared" si="51"/>
        <v>323</v>
      </c>
      <c r="M1250" s="2">
        <v>44152</v>
      </c>
    </row>
    <row r="1251" spans="1:13" hidden="1" x14ac:dyDescent="0.25">
      <c r="A1251" s="9" t="s">
        <v>34</v>
      </c>
      <c r="B1251" s="2">
        <v>44306</v>
      </c>
      <c r="C1251" s="9">
        <f t="shared" si="53"/>
        <v>2021</v>
      </c>
      <c r="D1251" s="11">
        <f t="shared" si="52"/>
        <v>110</v>
      </c>
      <c r="E1251" s="9" t="s">
        <v>38</v>
      </c>
      <c r="F1251">
        <v>106.9362222</v>
      </c>
      <c r="I1251" s="4">
        <f t="shared" si="51"/>
        <v>317</v>
      </c>
      <c r="M1251" s="2">
        <v>44146</v>
      </c>
    </row>
    <row r="1252" spans="1:13" hidden="1" x14ac:dyDescent="0.25">
      <c r="A1252" s="9" t="s">
        <v>34</v>
      </c>
      <c r="B1252" s="2">
        <v>44306</v>
      </c>
      <c r="C1252" s="9">
        <f t="shared" si="53"/>
        <v>2021</v>
      </c>
      <c r="D1252" s="11">
        <f t="shared" si="52"/>
        <v>110</v>
      </c>
      <c r="E1252" s="9" t="s">
        <v>38</v>
      </c>
      <c r="F1252">
        <v>108.57</v>
      </c>
      <c r="I1252" s="4">
        <f t="shared" si="51"/>
        <v>323</v>
      </c>
      <c r="M1252" s="2">
        <v>44152</v>
      </c>
    </row>
    <row r="1253" spans="1:13" hidden="1" x14ac:dyDescent="0.25">
      <c r="A1253" s="9" t="s">
        <v>34</v>
      </c>
      <c r="B1253" s="2">
        <v>44314</v>
      </c>
      <c r="C1253" s="9">
        <f t="shared" si="53"/>
        <v>2021</v>
      </c>
      <c r="D1253" s="11">
        <f t="shared" si="52"/>
        <v>118</v>
      </c>
      <c r="E1253" s="9" t="s">
        <v>38</v>
      </c>
      <c r="F1253">
        <v>111.7631111</v>
      </c>
      <c r="I1253" s="4">
        <f t="shared" si="51"/>
        <v>317</v>
      </c>
      <c r="M1253" s="2">
        <v>44146</v>
      </c>
    </row>
    <row r="1254" spans="1:13" hidden="1" x14ac:dyDescent="0.25">
      <c r="A1254" s="9" t="s">
        <v>34</v>
      </c>
      <c r="B1254" s="2">
        <v>44314</v>
      </c>
      <c r="C1254" s="9">
        <f t="shared" si="53"/>
        <v>2021</v>
      </c>
      <c r="D1254" s="11">
        <f t="shared" si="52"/>
        <v>118</v>
      </c>
      <c r="E1254" s="9" t="s">
        <v>38</v>
      </c>
      <c r="F1254">
        <v>105.4177778</v>
      </c>
      <c r="G1254" s="7">
        <f>Calculations!D17</f>
        <v>107.24958623184347</v>
      </c>
      <c r="H1254" t="s">
        <v>27</v>
      </c>
      <c r="I1254" s="4">
        <f t="shared" si="51"/>
        <v>323</v>
      </c>
      <c r="M1254" s="2">
        <v>44152</v>
      </c>
    </row>
    <row r="1255" spans="1:13" hidden="1" x14ac:dyDescent="0.25">
      <c r="A1255" s="9" t="s">
        <v>34</v>
      </c>
      <c r="B1255" s="2">
        <v>44322</v>
      </c>
      <c r="C1255" s="9">
        <f t="shared" si="53"/>
        <v>2021</v>
      </c>
      <c r="D1255" s="11">
        <f t="shared" si="52"/>
        <v>126</v>
      </c>
      <c r="E1255" s="9" t="s">
        <v>38</v>
      </c>
      <c r="F1255">
        <v>110.95577780000001</v>
      </c>
      <c r="I1255" s="4">
        <f t="shared" si="51"/>
        <v>317</v>
      </c>
      <c r="M1255" s="2">
        <v>44146</v>
      </c>
    </row>
    <row r="1256" spans="1:13" hidden="1" x14ac:dyDescent="0.25">
      <c r="A1256" s="9" t="s">
        <v>34</v>
      </c>
      <c r="B1256" s="2">
        <v>44322</v>
      </c>
      <c r="C1256" s="9">
        <f t="shared" si="53"/>
        <v>2021</v>
      </c>
      <c r="D1256" s="11">
        <f t="shared" si="52"/>
        <v>126</v>
      </c>
      <c r="E1256" s="9" t="s">
        <v>38</v>
      </c>
      <c r="F1256">
        <v>109.4638889</v>
      </c>
      <c r="I1256" s="4">
        <f t="shared" si="51"/>
        <v>323</v>
      </c>
      <c r="M1256" s="2">
        <v>44152</v>
      </c>
    </row>
    <row r="1257" spans="1:13" hidden="1" x14ac:dyDescent="0.25">
      <c r="A1257" s="9" t="s">
        <v>34</v>
      </c>
      <c r="B1257" s="2">
        <v>44334</v>
      </c>
      <c r="C1257" s="9">
        <f t="shared" si="53"/>
        <v>2021</v>
      </c>
      <c r="D1257" s="11">
        <f t="shared" si="52"/>
        <v>138</v>
      </c>
      <c r="E1257" s="9" t="s">
        <v>38</v>
      </c>
      <c r="F1257">
        <v>110.53644439999999</v>
      </c>
      <c r="I1257" s="4">
        <f t="shared" si="51"/>
        <v>317</v>
      </c>
      <c r="M1257" s="2">
        <v>44146</v>
      </c>
    </row>
    <row r="1258" spans="1:13" hidden="1" x14ac:dyDescent="0.25">
      <c r="A1258" s="9" t="s">
        <v>34</v>
      </c>
      <c r="B1258" s="2">
        <v>44334</v>
      </c>
      <c r="C1258" s="9">
        <f t="shared" si="53"/>
        <v>2021</v>
      </c>
      <c r="D1258" s="11">
        <f t="shared" si="52"/>
        <v>138</v>
      </c>
      <c r="E1258" s="9" t="s">
        <v>38</v>
      </c>
      <c r="F1258">
        <v>106.94555560000001</v>
      </c>
      <c r="I1258" s="4">
        <f t="shared" si="51"/>
        <v>323</v>
      </c>
      <c r="M1258" s="2">
        <v>44152</v>
      </c>
    </row>
    <row r="1259" spans="1:13" hidden="1" x14ac:dyDescent="0.25">
      <c r="A1259" s="9" t="s">
        <v>34</v>
      </c>
      <c r="B1259" s="2">
        <v>44349</v>
      </c>
      <c r="C1259" s="9">
        <f t="shared" si="53"/>
        <v>2021</v>
      </c>
      <c r="D1259" s="11">
        <f t="shared" si="52"/>
        <v>153</v>
      </c>
      <c r="E1259" s="9" t="s">
        <v>38</v>
      </c>
      <c r="F1259">
        <v>106.42277780000001</v>
      </c>
      <c r="I1259" s="4">
        <f t="shared" si="51"/>
        <v>317</v>
      </c>
      <c r="M1259" s="2">
        <v>44146</v>
      </c>
    </row>
    <row r="1260" spans="1:13" hidden="1" x14ac:dyDescent="0.25">
      <c r="A1260" s="9" t="s">
        <v>34</v>
      </c>
      <c r="B1260" s="2">
        <v>44349</v>
      </c>
      <c r="C1260" s="9">
        <f t="shared" si="53"/>
        <v>2021</v>
      </c>
      <c r="D1260" s="11">
        <f t="shared" si="52"/>
        <v>153</v>
      </c>
      <c r="E1260" s="9" t="s">
        <v>38</v>
      </c>
      <c r="F1260">
        <v>109.477</v>
      </c>
      <c r="I1260" s="4">
        <f t="shared" si="51"/>
        <v>323</v>
      </c>
      <c r="M1260" s="2">
        <v>44152</v>
      </c>
    </row>
    <row r="1261" spans="1:13" hidden="1" x14ac:dyDescent="0.25">
      <c r="A1261" s="9" t="s">
        <v>35</v>
      </c>
      <c r="B1261" s="2">
        <v>44596</v>
      </c>
      <c r="C1261" s="9">
        <f t="shared" si="53"/>
        <v>2022</v>
      </c>
      <c r="D1261" s="11">
        <f t="shared" si="52"/>
        <v>35</v>
      </c>
      <c r="E1261" s="9" t="s">
        <v>38</v>
      </c>
      <c r="F1261">
        <v>74.099999999999994</v>
      </c>
      <c r="I1261" s="4">
        <f t="shared" si="51"/>
        <v>315</v>
      </c>
      <c r="M1261" s="2">
        <v>44510</v>
      </c>
    </row>
    <row r="1262" spans="1:13" hidden="1" x14ac:dyDescent="0.25">
      <c r="A1262" s="9" t="s">
        <v>35</v>
      </c>
      <c r="B1262" s="2">
        <v>44596</v>
      </c>
      <c r="C1262" s="9">
        <f t="shared" si="53"/>
        <v>2022</v>
      </c>
      <c r="D1262" s="11">
        <f t="shared" si="52"/>
        <v>35</v>
      </c>
      <c r="E1262" s="9" t="s">
        <v>38</v>
      </c>
      <c r="F1262">
        <v>63.8</v>
      </c>
      <c r="I1262" s="4">
        <f t="shared" si="51"/>
        <v>322</v>
      </c>
      <c r="M1262" s="2">
        <v>44517</v>
      </c>
    </row>
    <row r="1263" spans="1:13" hidden="1" x14ac:dyDescent="0.25">
      <c r="A1263" s="9" t="s">
        <v>35</v>
      </c>
      <c r="B1263" s="2">
        <v>44607</v>
      </c>
      <c r="C1263" s="9">
        <f t="shared" si="53"/>
        <v>2022</v>
      </c>
      <c r="D1263" s="11">
        <f t="shared" si="52"/>
        <v>46</v>
      </c>
      <c r="E1263" s="9" t="s">
        <v>38</v>
      </c>
      <c r="F1263">
        <v>89.6</v>
      </c>
      <c r="I1263" s="4">
        <f t="shared" si="51"/>
        <v>315</v>
      </c>
      <c r="M1263" s="2">
        <v>44510</v>
      </c>
    </row>
    <row r="1264" spans="1:13" hidden="1" x14ac:dyDescent="0.25">
      <c r="A1264" s="9" t="s">
        <v>35</v>
      </c>
      <c r="B1264" s="2">
        <v>44607</v>
      </c>
      <c r="C1264" s="9">
        <f t="shared" si="53"/>
        <v>2022</v>
      </c>
      <c r="D1264" s="11">
        <f t="shared" si="52"/>
        <v>46</v>
      </c>
      <c r="E1264" s="9" t="s">
        <v>38</v>
      </c>
      <c r="F1264">
        <v>78.8</v>
      </c>
      <c r="I1264" s="4">
        <f t="shared" si="51"/>
        <v>322</v>
      </c>
      <c r="M1264" s="2">
        <v>44517</v>
      </c>
    </row>
    <row r="1265" spans="1:13" hidden="1" x14ac:dyDescent="0.25">
      <c r="A1265" s="9" t="s">
        <v>35</v>
      </c>
      <c r="B1265" s="2">
        <v>44621</v>
      </c>
      <c r="C1265" s="9">
        <f t="shared" si="53"/>
        <v>2022</v>
      </c>
      <c r="D1265" s="11">
        <f t="shared" si="52"/>
        <v>60</v>
      </c>
      <c r="E1265" s="9" t="s">
        <v>38</v>
      </c>
      <c r="F1265">
        <v>95.5</v>
      </c>
      <c r="I1265" s="4">
        <f t="shared" si="51"/>
        <v>315</v>
      </c>
      <c r="M1265" s="2">
        <v>44510</v>
      </c>
    </row>
    <row r="1266" spans="1:13" hidden="1" x14ac:dyDescent="0.25">
      <c r="A1266" s="9" t="s">
        <v>35</v>
      </c>
      <c r="B1266" s="2">
        <v>44621</v>
      </c>
      <c r="C1266" s="9">
        <f t="shared" si="53"/>
        <v>2022</v>
      </c>
      <c r="D1266" s="11">
        <f t="shared" si="52"/>
        <v>60</v>
      </c>
      <c r="E1266" s="9" t="s">
        <v>38</v>
      </c>
      <c r="F1266">
        <v>85.2</v>
      </c>
      <c r="I1266" s="4">
        <f t="shared" si="51"/>
        <v>322</v>
      </c>
      <c r="M1266" s="2">
        <v>44517</v>
      </c>
    </row>
    <row r="1267" spans="1:13" hidden="1" x14ac:dyDescent="0.25">
      <c r="A1267" s="9" t="s">
        <v>35</v>
      </c>
      <c r="B1267" s="2">
        <v>44635</v>
      </c>
      <c r="C1267" s="9">
        <f t="shared" si="53"/>
        <v>2022</v>
      </c>
      <c r="D1267" s="11">
        <f t="shared" si="52"/>
        <v>74</v>
      </c>
      <c r="E1267" s="9" t="s">
        <v>38</v>
      </c>
      <c r="F1267">
        <v>103.9</v>
      </c>
      <c r="I1267" s="4">
        <f t="shared" si="51"/>
        <v>315</v>
      </c>
      <c r="M1267" s="2">
        <v>44510</v>
      </c>
    </row>
    <row r="1268" spans="1:13" hidden="1" x14ac:dyDescent="0.25">
      <c r="A1268" s="9" t="s">
        <v>35</v>
      </c>
      <c r="B1268" s="2">
        <v>44635</v>
      </c>
      <c r="C1268" s="9">
        <f t="shared" si="53"/>
        <v>2022</v>
      </c>
      <c r="D1268" s="11">
        <f t="shared" si="52"/>
        <v>74</v>
      </c>
      <c r="E1268" s="9" t="s">
        <v>38</v>
      </c>
      <c r="F1268">
        <v>92.7</v>
      </c>
      <c r="I1268" s="4">
        <f t="shared" si="51"/>
        <v>322</v>
      </c>
      <c r="M1268" s="2">
        <v>44517</v>
      </c>
    </row>
    <row r="1269" spans="1:13" hidden="1" x14ac:dyDescent="0.25">
      <c r="A1269" s="9" t="s">
        <v>35</v>
      </c>
      <c r="B1269" s="2">
        <v>44649</v>
      </c>
      <c r="C1269" s="9">
        <f t="shared" si="53"/>
        <v>2022</v>
      </c>
      <c r="D1269" s="11">
        <f t="shared" si="52"/>
        <v>88</v>
      </c>
      <c r="E1269" s="9" t="s">
        <v>38</v>
      </c>
      <c r="F1269">
        <v>115.1</v>
      </c>
      <c r="I1269" s="4">
        <f t="shared" si="51"/>
        <v>315</v>
      </c>
      <c r="M1269" s="2">
        <v>44510</v>
      </c>
    </row>
    <row r="1270" spans="1:13" hidden="1" x14ac:dyDescent="0.25">
      <c r="A1270" s="9" t="s">
        <v>35</v>
      </c>
      <c r="B1270" s="2">
        <v>44649</v>
      </c>
      <c r="C1270" s="9">
        <f t="shared" si="53"/>
        <v>2022</v>
      </c>
      <c r="D1270" s="11">
        <f t="shared" si="52"/>
        <v>88</v>
      </c>
      <c r="E1270" s="9" t="s">
        <v>38</v>
      </c>
      <c r="F1270">
        <v>93.3</v>
      </c>
      <c r="I1270" s="4">
        <f t="shared" si="51"/>
        <v>322</v>
      </c>
      <c r="M1270" s="2">
        <v>44517</v>
      </c>
    </row>
    <row r="1271" spans="1:13" hidden="1" x14ac:dyDescent="0.25">
      <c r="A1271" s="9" t="s">
        <v>35</v>
      </c>
      <c r="B1271" s="2">
        <v>44665</v>
      </c>
      <c r="C1271" s="9">
        <f t="shared" si="53"/>
        <v>2022</v>
      </c>
      <c r="D1271" s="11">
        <f t="shared" si="52"/>
        <v>104</v>
      </c>
      <c r="E1271" s="9" t="s">
        <v>38</v>
      </c>
      <c r="F1271">
        <v>114.8</v>
      </c>
      <c r="I1271" s="4">
        <f t="shared" si="51"/>
        <v>315</v>
      </c>
      <c r="M1271" s="2">
        <v>44510</v>
      </c>
    </row>
    <row r="1272" spans="1:13" hidden="1" x14ac:dyDescent="0.25">
      <c r="A1272" s="9" t="s">
        <v>35</v>
      </c>
      <c r="B1272" s="2">
        <v>44665</v>
      </c>
      <c r="C1272" s="9">
        <f t="shared" si="53"/>
        <v>2022</v>
      </c>
      <c r="D1272" s="11">
        <f t="shared" si="52"/>
        <v>104</v>
      </c>
      <c r="E1272" s="9" t="s">
        <v>38</v>
      </c>
      <c r="F1272">
        <v>105.7</v>
      </c>
      <c r="I1272" s="4">
        <f t="shared" si="51"/>
        <v>322</v>
      </c>
      <c r="M1272" s="2">
        <v>44517</v>
      </c>
    </row>
    <row r="1273" spans="1:13" hidden="1" x14ac:dyDescent="0.25">
      <c r="A1273" s="9" t="s">
        <v>35</v>
      </c>
      <c r="B1273" s="2">
        <v>44673</v>
      </c>
      <c r="C1273" s="9">
        <f t="shared" si="53"/>
        <v>2022</v>
      </c>
      <c r="D1273" s="11">
        <f t="shared" si="52"/>
        <v>112</v>
      </c>
      <c r="E1273" s="9" t="s">
        <v>38</v>
      </c>
      <c r="F1273">
        <v>122.2</v>
      </c>
      <c r="I1273" s="4">
        <f t="shared" si="51"/>
        <v>315</v>
      </c>
      <c r="M1273" s="2">
        <v>44510</v>
      </c>
    </row>
    <row r="1274" spans="1:13" hidden="1" x14ac:dyDescent="0.25">
      <c r="A1274" s="9" t="s">
        <v>35</v>
      </c>
      <c r="B1274" s="2">
        <v>44673</v>
      </c>
      <c r="C1274" s="9">
        <f t="shared" si="53"/>
        <v>2022</v>
      </c>
      <c r="D1274" s="11">
        <f t="shared" si="52"/>
        <v>112</v>
      </c>
      <c r="E1274" s="9" t="s">
        <v>38</v>
      </c>
      <c r="F1274">
        <v>108.7</v>
      </c>
      <c r="I1274" s="4">
        <f t="shared" si="51"/>
        <v>322</v>
      </c>
      <c r="M1274" s="2">
        <v>44517</v>
      </c>
    </row>
    <row r="1275" spans="1:13" hidden="1" x14ac:dyDescent="0.25">
      <c r="A1275" s="9" t="s">
        <v>35</v>
      </c>
      <c r="B1275" s="2">
        <v>44679</v>
      </c>
      <c r="C1275" s="9">
        <f t="shared" si="53"/>
        <v>2022</v>
      </c>
      <c r="D1275" s="11">
        <f t="shared" si="52"/>
        <v>118</v>
      </c>
      <c r="E1275" s="9" t="s">
        <v>38</v>
      </c>
      <c r="F1275">
        <v>120.3</v>
      </c>
      <c r="I1275" s="4">
        <f t="shared" si="51"/>
        <v>315</v>
      </c>
      <c r="M1275" s="2">
        <v>44510</v>
      </c>
    </row>
    <row r="1276" spans="1:13" hidden="1" x14ac:dyDescent="0.25">
      <c r="A1276" s="9" t="s">
        <v>35</v>
      </c>
      <c r="B1276" s="2">
        <v>44679</v>
      </c>
      <c r="C1276" s="9">
        <f t="shared" si="53"/>
        <v>2022</v>
      </c>
      <c r="D1276" s="11">
        <f t="shared" si="52"/>
        <v>118</v>
      </c>
      <c r="E1276" s="9" t="s">
        <v>38</v>
      </c>
      <c r="F1276">
        <v>105.5</v>
      </c>
      <c r="I1276" s="4">
        <f t="shared" si="51"/>
        <v>322</v>
      </c>
      <c r="M1276" s="2">
        <v>44517</v>
      </c>
    </row>
    <row r="1277" spans="1:13" hidden="1" x14ac:dyDescent="0.25">
      <c r="A1277" s="9" t="s">
        <v>35</v>
      </c>
      <c r="B1277" s="2">
        <v>44686</v>
      </c>
      <c r="C1277" s="9">
        <f t="shared" si="53"/>
        <v>2022</v>
      </c>
      <c r="D1277" s="11">
        <f t="shared" si="52"/>
        <v>125</v>
      </c>
      <c r="E1277" s="9" t="s">
        <v>38</v>
      </c>
      <c r="F1277">
        <v>120.3</v>
      </c>
      <c r="I1277" s="4">
        <f t="shared" si="51"/>
        <v>315</v>
      </c>
      <c r="M1277" s="2">
        <v>44510</v>
      </c>
    </row>
    <row r="1278" spans="1:13" hidden="1" x14ac:dyDescent="0.25">
      <c r="A1278" s="9" t="s">
        <v>35</v>
      </c>
      <c r="B1278" s="2">
        <v>44686</v>
      </c>
      <c r="C1278" s="9">
        <f t="shared" si="53"/>
        <v>2022</v>
      </c>
      <c r="D1278" s="11">
        <f t="shared" si="52"/>
        <v>125</v>
      </c>
      <c r="E1278" s="9" t="s">
        <v>38</v>
      </c>
      <c r="F1278">
        <v>107.8</v>
      </c>
      <c r="G1278" s="7">
        <f>Calculations!D18</f>
        <v>113.35715063735006</v>
      </c>
      <c r="H1278" t="s">
        <v>27</v>
      </c>
      <c r="I1278" s="4">
        <f t="shared" ref="I1278:I1326" si="54" xml:space="preserve"> DATEDIF(DATE(YEAR(M1278),1,0),M1278,"d")+1</f>
        <v>322</v>
      </c>
      <c r="M1278" s="2">
        <v>44517</v>
      </c>
    </row>
    <row r="1279" spans="1:13" hidden="1" x14ac:dyDescent="0.25">
      <c r="A1279" s="9" t="s">
        <v>35</v>
      </c>
      <c r="B1279" s="2">
        <v>44700</v>
      </c>
      <c r="C1279" s="9">
        <f t="shared" si="53"/>
        <v>2022</v>
      </c>
      <c r="D1279" s="11">
        <f t="shared" si="52"/>
        <v>139</v>
      </c>
      <c r="E1279" s="9" t="s">
        <v>38</v>
      </c>
      <c r="F1279">
        <v>120</v>
      </c>
      <c r="I1279" s="4">
        <f t="shared" si="54"/>
        <v>315</v>
      </c>
      <c r="M1279" s="2">
        <v>44510</v>
      </c>
    </row>
    <row r="1280" spans="1:13" hidden="1" x14ac:dyDescent="0.25">
      <c r="A1280" s="9" t="s">
        <v>35</v>
      </c>
      <c r="B1280" s="2">
        <v>44700</v>
      </c>
      <c r="C1280" s="9">
        <f t="shared" si="53"/>
        <v>2022</v>
      </c>
      <c r="D1280" s="11">
        <f t="shared" si="52"/>
        <v>139</v>
      </c>
      <c r="E1280" s="9" t="s">
        <v>38</v>
      </c>
      <c r="F1280">
        <v>115</v>
      </c>
      <c r="I1280" s="4">
        <f t="shared" si="54"/>
        <v>322</v>
      </c>
      <c r="M1280" s="2">
        <v>44517</v>
      </c>
    </row>
    <row r="1281" spans="1:13" hidden="1" x14ac:dyDescent="0.25">
      <c r="A1281" s="9" t="s">
        <v>35</v>
      </c>
      <c r="B1281" s="2">
        <v>44714</v>
      </c>
      <c r="C1281" s="9">
        <f t="shared" si="53"/>
        <v>2022</v>
      </c>
      <c r="D1281" s="11">
        <f t="shared" si="52"/>
        <v>153</v>
      </c>
      <c r="E1281" s="9" t="s">
        <v>38</v>
      </c>
      <c r="F1281">
        <v>119.9</v>
      </c>
      <c r="I1281" s="4">
        <f t="shared" si="54"/>
        <v>315</v>
      </c>
      <c r="M1281" s="2">
        <v>44510</v>
      </c>
    </row>
    <row r="1282" spans="1:13" hidden="1" x14ac:dyDescent="0.25">
      <c r="A1282" s="9" t="s">
        <v>35</v>
      </c>
      <c r="B1282" s="2">
        <v>44714</v>
      </c>
      <c r="C1282" s="9">
        <f t="shared" si="53"/>
        <v>2022</v>
      </c>
      <c r="D1282" s="11">
        <f t="shared" si="52"/>
        <v>153</v>
      </c>
      <c r="E1282" s="9" t="s">
        <v>38</v>
      </c>
      <c r="F1282">
        <v>109.7</v>
      </c>
      <c r="I1282" s="4">
        <f t="shared" si="54"/>
        <v>322</v>
      </c>
      <c r="M1282" s="2">
        <v>44517</v>
      </c>
    </row>
    <row r="1283" spans="1:13" hidden="1" x14ac:dyDescent="0.25">
      <c r="A1283" s="9" t="s">
        <v>36</v>
      </c>
      <c r="B1283" s="2">
        <v>44951</v>
      </c>
      <c r="C1283" s="9">
        <f t="shared" si="53"/>
        <v>2023</v>
      </c>
      <c r="D1283" s="11">
        <f t="shared" ref="D1283:D1326" si="55">B1283-DATE(YEAR(B1283),1,0)</f>
        <v>25</v>
      </c>
      <c r="E1283" s="9" t="s">
        <v>38</v>
      </c>
      <c r="F1283">
        <v>81.599999999999994</v>
      </c>
      <c r="I1283" s="4">
        <f t="shared" si="54"/>
        <v>319</v>
      </c>
      <c r="M1283" s="2">
        <v>44879</v>
      </c>
    </row>
    <row r="1284" spans="1:13" hidden="1" x14ac:dyDescent="0.25">
      <c r="A1284" s="9" t="s">
        <v>36</v>
      </c>
      <c r="B1284" s="2">
        <v>44951</v>
      </c>
      <c r="C1284" s="9">
        <f t="shared" si="53"/>
        <v>2023</v>
      </c>
      <c r="D1284" s="11">
        <f t="shared" si="55"/>
        <v>25</v>
      </c>
      <c r="E1284" s="9" t="s">
        <v>38</v>
      </c>
      <c r="F1284">
        <v>64.3</v>
      </c>
      <c r="I1284" s="4">
        <f t="shared" si="54"/>
        <v>333</v>
      </c>
      <c r="M1284" s="2">
        <v>44893</v>
      </c>
    </row>
    <row r="1285" spans="1:13" hidden="1" x14ac:dyDescent="0.25">
      <c r="A1285" s="9" t="s">
        <v>36</v>
      </c>
      <c r="B1285" s="2">
        <v>44974</v>
      </c>
      <c r="C1285" s="9">
        <f t="shared" si="53"/>
        <v>2023</v>
      </c>
      <c r="D1285" s="11">
        <f t="shared" si="55"/>
        <v>48</v>
      </c>
      <c r="E1285" s="9" t="s">
        <v>38</v>
      </c>
      <c r="F1285">
        <v>93.4</v>
      </c>
      <c r="I1285" s="4">
        <f t="shared" si="54"/>
        <v>319</v>
      </c>
      <c r="M1285" s="2">
        <v>44879</v>
      </c>
    </row>
    <row r="1286" spans="1:13" hidden="1" x14ac:dyDescent="0.25">
      <c r="A1286" s="9" t="s">
        <v>36</v>
      </c>
      <c r="B1286" s="2">
        <v>44974</v>
      </c>
      <c r="C1286" s="9">
        <f t="shared" si="53"/>
        <v>2023</v>
      </c>
      <c r="D1286" s="11">
        <f t="shared" si="55"/>
        <v>48</v>
      </c>
      <c r="E1286" s="9" t="s">
        <v>38</v>
      </c>
      <c r="F1286">
        <v>78.2</v>
      </c>
      <c r="I1286" s="4">
        <f t="shared" si="54"/>
        <v>333</v>
      </c>
      <c r="M1286" s="2">
        <v>44893</v>
      </c>
    </row>
    <row r="1287" spans="1:13" hidden="1" x14ac:dyDescent="0.25">
      <c r="A1287" s="9" t="s">
        <v>36</v>
      </c>
      <c r="B1287" s="2">
        <v>44985</v>
      </c>
      <c r="C1287" s="9">
        <f t="shared" si="53"/>
        <v>2023</v>
      </c>
      <c r="D1287" s="11">
        <f t="shared" si="55"/>
        <v>59</v>
      </c>
      <c r="E1287" s="9" t="s">
        <v>38</v>
      </c>
      <c r="F1287">
        <v>101</v>
      </c>
      <c r="I1287" s="4">
        <f t="shared" si="54"/>
        <v>319</v>
      </c>
      <c r="M1287" s="2">
        <v>44879</v>
      </c>
    </row>
    <row r="1288" spans="1:13" hidden="1" x14ac:dyDescent="0.25">
      <c r="A1288" s="9" t="s">
        <v>36</v>
      </c>
      <c r="B1288" s="2">
        <v>44985</v>
      </c>
      <c r="C1288" s="9">
        <f t="shared" si="53"/>
        <v>2023</v>
      </c>
      <c r="D1288" s="11">
        <f t="shared" si="55"/>
        <v>59</v>
      </c>
      <c r="E1288" s="9" t="s">
        <v>38</v>
      </c>
      <c r="F1288">
        <v>84.2</v>
      </c>
      <c r="I1288" s="4">
        <f t="shared" si="54"/>
        <v>333</v>
      </c>
      <c r="M1288" s="2">
        <v>44893</v>
      </c>
    </row>
    <row r="1289" spans="1:13" hidden="1" x14ac:dyDescent="0.25">
      <c r="A1289" s="9" t="s">
        <v>36</v>
      </c>
      <c r="B1289" s="2">
        <v>44999</v>
      </c>
      <c r="C1289" s="9">
        <f t="shared" si="53"/>
        <v>2023</v>
      </c>
      <c r="D1289" s="11">
        <f t="shared" si="55"/>
        <v>73</v>
      </c>
      <c r="E1289" s="9" t="s">
        <v>38</v>
      </c>
      <c r="F1289">
        <v>111.6</v>
      </c>
      <c r="I1289" s="4">
        <f t="shared" si="54"/>
        <v>319</v>
      </c>
      <c r="M1289" s="2">
        <v>44879</v>
      </c>
    </row>
    <row r="1290" spans="1:13" hidden="1" x14ac:dyDescent="0.25">
      <c r="A1290" s="9" t="s">
        <v>36</v>
      </c>
      <c r="B1290" s="2">
        <v>44999</v>
      </c>
      <c r="C1290" s="9">
        <f t="shared" ref="C1290:C1326" si="56">YEAR(B1290)</f>
        <v>2023</v>
      </c>
      <c r="D1290" s="11">
        <f t="shared" si="55"/>
        <v>73</v>
      </c>
      <c r="E1290" s="9" t="s">
        <v>38</v>
      </c>
      <c r="F1290">
        <v>91.2</v>
      </c>
      <c r="I1290" s="4">
        <f t="shared" si="54"/>
        <v>333</v>
      </c>
      <c r="M1290" s="2">
        <v>44893</v>
      </c>
    </row>
    <row r="1291" spans="1:13" hidden="1" x14ac:dyDescent="0.25">
      <c r="A1291" s="9" t="s">
        <v>36</v>
      </c>
      <c r="B1291" s="2">
        <v>45013</v>
      </c>
      <c r="C1291" s="9">
        <f t="shared" si="56"/>
        <v>2023</v>
      </c>
      <c r="D1291" s="11">
        <f t="shared" si="55"/>
        <v>87</v>
      </c>
      <c r="E1291" s="9" t="s">
        <v>38</v>
      </c>
      <c r="F1291">
        <v>119.8</v>
      </c>
      <c r="I1291" s="4">
        <f t="shared" si="54"/>
        <v>319</v>
      </c>
      <c r="M1291" s="2">
        <v>44879</v>
      </c>
    </row>
    <row r="1292" spans="1:13" hidden="1" x14ac:dyDescent="0.25">
      <c r="A1292" s="9" t="s">
        <v>36</v>
      </c>
      <c r="B1292" s="2">
        <v>45013</v>
      </c>
      <c r="C1292" s="9">
        <f t="shared" si="56"/>
        <v>2023</v>
      </c>
      <c r="D1292" s="11">
        <f t="shared" si="55"/>
        <v>87</v>
      </c>
      <c r="E1292" s="9" t="s">
        <v>38</v>
      </c>
      <c r="F1292">
        <v>96.4</v>
      </c>
      <c r="I1292" s="4">
        <f t="shared" si="54"/>
        <v>333</v>
      </c>
      <c r="M1292" s="2">
        <v>44893</v>
      </c>
    </row>
    <row r="1293" spans="1:13" hidden="1" x14ac:dyDescent="0.25">
      <c r="A1293" s="9" t="s">
        <v>36</v>
      </c>
      <c r="B1293" s="2">
        <v>45028</v>
      </c>
      <c r="C1293" s="9">
        <f t="shared" si="56"/>
        <v>2023</v>
      </c>
      <c r="D1293" s="11">
        <f t="shared" si="55"/>
        <v>102</v>
      </c>
      <c r="E1293" s="9" t="s">
        <v>38</v>
      </c>
      <c r="F1293">
        <v>124.9</v>
      </c>
      <c r="I1293" s="4">
        <f t="shared" si="54"/>
        <v>319</v>
      </c>
      <c r="M1293" s="2">
        <v>44879</v>
      </c>
    </row>
    <row r="1294" spans="1:13" hidden="1" x14ac:dyDescent="0.25">
      <c r="A1294" s="9" t="s">
        <v>36</v>
      </c>
      <c r="B1294" s="2">
        <v>45028</v>
      </c>
      <c r="C1294" s="9">
        <f t="shared" si="56"/>
        <v>2023</v>
      </c>
      <c r="D1294" s="11">
        <f t="shared" si="55"/>
        <v>102</v>
      </c>
      <c r="E1294" s="9" t="s">
        <v>38</v>
      </c>
      <c r="F1294">
        <v>105.1</v>
      </c>
      <c r="I1294" s="4">
        <f t="shared" si="54"/>
        <v>333</v>
      </c>
      <c r="M1294" s="2">
        <v>44893</v>
      </c>
    </row>
    <row r="1295" spans="1:13" hidden="1" x14ac:dyDescent="0.25">
      <c r="A1295" s="9" t="s">
        <v>36</v>
      </c>
      <c r="B1295" s="2">
        <v>45040</v>
      </c>
      <c r="C1295" s="9">
        <f t="shared" si="56"/>
        <v>2023</v>
      </c>
      <c r="D1295" s="11">
        <f t="shared" si="55"/>
        <v>114</v>
      </c>
      <c r="E1295" s="9" t="s">
        <v>38</v>
      </c>
      <c r="F1295">
        <v>125.4</v>
      </c>
      <c r="I1295" s="4">
        <f t="shared" si="54"/>
        <v>319</v>
      </c>
      <c r="M1295" s="2">
        <v>44879</v>
      </c>
    </row>
    <row r="1296" spans="1:13" hidden="1" x14ac:dyDescent="0.25">
      <c r="A1296" s="9" t="s">
        <v>36</v>
      </c>
      <c r="B1296" s="2">
        <v>45040</v>
      </c>
      <c r="C1296" s="9">
        <f t="shared" si="56"/>
        <v>2023</v>
      </c>
      <c r="D1296" s="11">
        <f t="shared" si="55"/>
        <v>114</v>
      </c>
      <c r="E1296" s="9" t="s">
        <v>38</v>
      </c>
      <c r="F1296">
        <v>109.2</v>
      </c>
      <c r="I1296" s="4">
        <f t="shared" si="54"/>
        <v>333</v>
      </c>
      <c r="M1296" s="2">
        <v>44893</v>
      </c>
    </row>
    <row r="1297" spans="1:13" hidden="1" x14ac:dyDescent="0.25">
      <c r="A1297" s="9" t="s">
        <v>36</v>
      </c>
      <c r="B1297" s="2">
        <v>45047</v>
      </c>
      <c r="C1297" s="9">
        <f t="shared" si="56"/>
        <v>2023</v>
      </c>
      <c r="D1297" s="11">
        <f t="shared" si="55"/>
        <v>121</v>
      </c>
      <c r="E1297" s="9" t="s">
        <v>38</v>
      </c>
      <c r="F1297">
        <v>128.5</v>
      </c>
      <c r="I1297" s="4">
        <f t="shared" si="54"/>
        <v>319</v>
      </c>
      <c r="M1297" s="2">
        <v>44879</v>
      </c>
    </row>
    <row r="1298" spans="1:13" hidden="1" x14ac:dyDescent="0.25">
      <c r="A1298" s="9" t="s">
        <v>36</v>
      </c>
      <c r="B1298" s="2">
        <v>45047</v>
      </c>
      <c r="C1298" s="9">
        <f t="shared" si="56"/>
        <v>2023</v>
      </c>
      <c r="D1298" s="11">
        <f t="shared" si="55"/>
        <v>121</v>
      </c>
      <c r="E1298" s="9" t="s">
        <v>38</v>
      </c>
      <c r="F1298">
        <v>107.6</v>
      </c>
      <c r="I1298" s="4">
        <f t="shared" si="54"/>
        <v>333</v>
      </c>
      <c r="M1298" s="2">
        <v>44893</v>
      </c>
    </row>
    <row r="1299" spans="1:13" hidden="1" x14ac:dyDescent="0.25">
      <c r="A1299" s="9" t="s">
        <v>36</v>
      </c>
      <c r="B1299" s="2">
        <v>45061</v>
      </c>
      <c r="C1299" s="9">
        <f t="shared" si="56"/>
        <v>2023</v>
      </c>
      <c r="D1299" s="11">
        <f t="shared" si="55"/>
        <v>135</v>
      </c>
      <c r="E1299" s="9" t="s">
        <v>38</v>
      </c>
      <c r="F1299">
        <v>125.9</v>
      </c>
      <c r="G1299" s="7">
        <f>Calculations!D19</f>
        <v>115.91425580623354</v>
      </c>
      <c r="H1299" t="s">
        <v>27</v>
      </c>
      <c r="I1299" s="4">
        <f t="shared" si="54"/>
        <v>319</v>
      </c>
      <c r="M1299" s="2">
        <v>44879</v>
      </c>
    </row>
    <row r="1300" spans="1:13" hidden="1" x14ac:dyDescent="0.25">
      <c r="A1300" s="9" t="s">
        <v>36</v>
      </c>
      <c r="B1300" s="2">
        <v>45061</v>
      </c>
      <c r="C1300" s="9">
        <f t="shared" si="56"/>
        <v>2023</v>
      </c>
      <c r="D1300" s="11">
        <f t="shared" si="55"/>
        <v>135</v>
      </c>
      <c r="E1300" s="9" t="s">
        <v>38</v>
      </c>
      <c r="F1300">
        <v>105.4</v>
      </c>
      <c r="I1300" s="4">
        <f t="shared" si="54"/>
        <v>333</v>
      </c>
      <c r="M1300" s="2">
        <v>44893</v>
      </c>
    </row>
    <row r="1301" spans="1:13" hidden="1" x14ac:dyDescent="0.25">
      <c r="A1301" s="9" t="s">
        <v>36</v>
      </c>
      <c r="B1301" s="2">
        <v>45075</v>
      </c>
      <c r="C1301" s="9">
        <f t="shared" si="56"/>
        <v>2023</v>
      </c>
      <c r="D1301" s="11">
        <f t="shared" si="55"/>
        <v>149</v>
      </c>
      <c r="E1301" s="9" t="s">
        <v>38</v>
      </c>
      <c r="F1301">
        <v>136.80000000000001</v>
      </c>
      <c r="I1301" s="4">
        <f t="shared" si="54"/>
        <v>319</v>
      </c>
      <c r="M1301" s="2">
        <v>44879</v>
      </c>
    </row>
    <row r="1302" spans="1:13" hidden="1" x14ac:dyDescent="0.25">
      <c r="A1302" s="9" t="s">
        <v>36</v>
      </c>
      <c r="B1302" s="2">
        <v>45075</v>
      </c>
      <c r="C1302" s="9">
        <f t="shared" si="56"/>
        <v>2023</v>
      </c>
      <c r="D1302" s="11">
        <f t="shared" si="55"/>
        <v>149</v>
      </c>
      <c r="E1302" s="9" t="s">
        <v>38</v>
      </c>
      <c r="F1302">
        <v>107.8</v>
      </c>
      <c r="I1302" s="4">
        <f t="shared" si="54"/>
        <v>333</v>
      </c>
      <c r="M1302" s="2">
        <v>44893</v>
      </c>
    </row>
    <row r="1303" spans="1:13" hidden="1" x14ac:dyDescent="0.25">
      <c r="A1303" s="9" t="s">
        <v>36</v>
      </c>
      <c r="B1303" s="2">
        <v>45085</v>
      </c>
      <c r="C1303" s="9">
        <f t="shared" si="56"/>
        <v>2023</v>
      </c>
      <c r="D1303" s="11">
        <f t="shared" si="55"/>
        <v>159</v>
      </c>
      <c r="E1303" s="9" t="s">
        <v>38</v>
      </c>
      <c r="F1303">
        <v>128</v>
      </c>
      <c r="I1303" s="4">
        <f t="shared" si="54"/>
        <v>319</v>
      </c>
      <c r="M1303" s="2">
        <v>44879</v>
      </c>
    </row>
    <row r="1304" spans="1:13" hidden="1" x14ac:dyDescent="0.25">
      <c r="A1304" s="9" t="s">
        <v>36</v>
      </c>
      <c r="B1304" s="2">
        <v>45085</v>
      </c>
      <c r="C1304" s="9">
        <f t="shared" si="56"/>
        <v>2023</v>
      </c>
      <c r="D1304" s="11">
        <f t="shared" si="55"/>
        <v>159</v>
      </c>
      <c r="E1304" s="9" t="s">
        <v>38</v>
      </c>
      <c r="F1304">
        <v>113.3</v>
      </c>
      <c r="I1304" s="4">
        <f t="shared" si="54"/>
        <v>333</v>
      </c>
      <c r="M1304" s="2">
        <v>44893</v>
      </c>
    </row>
    <row r="1305" spans="1:13" hidden="1" x14ac:dyDescent="0.25">
      <c r="A1305" s="9" t="s">
        <v>37</v>
      </c>
      <c r="B1305" s="2">
        <v>45314</v>
      </c>
      <c r="C1305" s="9">
        <f t="shared" si="56"/>
        <v>2024</v>
      </c>
      <c r="D1305" s="11">
        <f t="shared" si="55"/>
        <v>23</v>
      </c>
      <c r="E1305" s="9" t="s">
        <v>38</v>
      </c>
      <c r="F1305">
        <v>71.8</v>
      </c>
      <c r="I1305" s="4">
        <f t="shared" si="54"/>
        <v>317</v>
      </c>
      <c r="M1305" s="2">
        <v>45242</v>
      </c>
    </row>
    <row r="1306" spans="1:13" hidden="1" x14ac:dyDescent="0.25">
      <c r="A1306" s="9" t="s">
        <v>37</v>
      </c>
      <c r="B1306" s="2">
        <v>45314</v>
      </c>
      <c r="C1306" s="9">
        <f t="shared" si="56"/>
        <v>2024</v>
      </c>
      <c r="D1306" s="11">
        <f t="shared" si="55"/>
        <v>23</v>
      </c>
      <c r="E1306" s="9" t="s">
        <v>38</v>
      </c>
      <c r="F1306">
        <v>52.8</v>
      </c>
      <c r="I1306" s="4">
        <f t="shared" si="54"/>
        <v>331</v>
      </c>
      <c r="M1306" s="2">
        <v>45256</v>
      </c>
    </row>
    <row r="1307" spans="1:13" hidden="1" x14ac:dyDescent="0.25">
      <c r="A1307" s="9" t="s">
        <v>37</v>
      </c>
      <c r="B1307" s="2">
        <v>45336</v>
      </c>
      <c r="C1307" s="9">
        <f t="shared" si="56"/>
        <v>2024</v>
      </c>
      <c r="D1307" s="11">
        <f t="shared" si="55"/>
        <v>45</v>
      </c>
      <c r="E1307" s="9" t="s">
        <v>38</v>
      </c>
      <c r="F1307">
        <v>81.8</v>
      </c>
      <c r="I1307" s="4">
        <f t="shared" si="54"/>
        <v>317</v>
      </c>
      <c r="M1307" s="2">
        <v>45242</v>
      </c>
    </row>
    <row r="1308" spans="1:13" hidden="1" x14ac:dyDescent="0.25">
      <c r="A1308" s="9" t="s">
        <v>37</v>
      </c>
      <c r="B1308" s="2">
        <v>45336</v>
      </c>
      <c r="C1308" s="9">
        <f t="shared" si="56"/>
        <v>2024</v>
      </c>
      <c r="D1308" s="11">
        <f t="shared" si="55"/>
        <v>45</v>
      </c>
      <c r="E1308" s="9" t="s">
        <v>38</v>
      </c>
      <c r="F1308">
        <v>67</v>
      </c>
      <c r="I1308" s="4">
        <f t="shared" si="54"/>
        <v>331</v>
      </c>
      <c r="M1308" s="2">
        <v>45256</v>
      </c>
    </row>
    <row r="1309" spans="1:13" hidden="1" x14ac:dyDescent="0.25">
      <c r="A1309" s="9" t="s">
        <v>37</v>
      </c>
      <c r="B1309" s="2">
        <v>45351</v>
      </c>
      <c r="C1309" s="9">
        <f t="shared" si="56"/>
        <v>2024</v>
      </c>
      <c r="D1309" s="11">
        <f t="shared" si="55"/>
        <v>60</v>
      </c>
      <c r="E1309" s="9" t="s">
        <v>38</v>
      </c>
      <c r="F1309">
        <v>93.1</v>
      </c>
      <c r="I1309" s="4">
        <f t="shared" si="54"/>
        <v>317</v>
      </c>
      <c r="M1309" s="2">
        <v>45242</v>
      </c>
    </row>
    <row r="1310" spans="1:13" hidden="1" x14ac:dyDescent="0.25">
      <c r="A1310" s="9" t="s">
        <v>37</v>
      </c>
      <c r="B1310" s="2">
        <v>45351</v>
      </c>
      <c r="C1310" s="9">
        <f t="shared" si="56"/>
        <v>2024</v>
      </c>
      <c r="D1310" s="11">
        <f t="shared" si="55"/>
        <v>60</v>
      </c>
      <c r="E1310" s="9" t="s">
        <v>38</v>
      </c>
      <c r="F1310">
        <v>73.2</v>
      </c>
      <c r="I1310" s="4">
        <f t="shared" si="54"/>
        <v>331</v>
      </c>
      <c r="M1310" s="2">
        <v>45256</v>
      </c>
    </row>
    <row r="1311" spans="1:13" hidden="1" x14ac:dyDescent="0.25">
      <c r="A1311" s="9" t="s">
        <v>37</v>
      </c>
      <c r="B1311" s="2">
        <v>45365</v>
      </c>
      <c r="C1311" s="9">
        <f t="shared" si="56"/>
        <v>2024</v>
      </c>
      <c r="D1311" s="11">
        <f t="shared" si="55"/>
        <v>74</v>
      </c>
      <c r="E1311" s="9" t="s">
        <v>38</v>
      </c>
      <c r="F1311">
        <v>103.8</v>
      </c>
      <c r="I1311" s="4">
        <f t="shared" si="54"/>
        <v>317</v>
      </c>
      <c r="M1311" s="2">
        <v>45242</v>
      </c>
    </row>
    <row r="1312" spans="1:13" hidden="1" x14ac:dyDescent="0.25">
      <c r="A1312" s="9" t="s">
        <v>37</v>
      </c>
      <c r="B1312" s="2">
        <v>45365</v>
      </c>
      <c r="C1312" s="9">
        <f t="shared" si="56"/>
        <v>2024</v>
      </c>
      <c r="D1312" s="11">
        <f t="shared" si="55"/>
        <v>74</v>
      </c>
      <c r="E1312" s="9" t="s">
        <v>38</v>
      </c>
      <c r="F1312">
        <v>81.7</v>
      </c>
      <c r="I1312" s="4">
        <f t="shared" si="54"/>
        <v>331</v>
      </c>
      <c r="M1312" s="2">
        <v>45256</v>
      </c>
    </row>
    <row r="1313" spans="1:13" hidden="1" x14ac:dyDescent="0.25">
      <c r="A1313" s="9" t="s">
        <v>37</v>
      </c>
      <c r="B1313" s="2">
        <v>45379</v>
      </c>
      <c r="C1313" s="9">
        <f t="shared" si="56"/>
        <v>2024</v>
      </c>
      <c r="D1313" s="11">
        <f t="shared" si="55"/>
        <v>88</v>
      </c>
      <c r="E1313" s="9" t="s">
        <v>38</v>
      </c>
      <c r="F1313">
        <v>108.2</v>
      </c>
      <c r="I1313" s="4">
        <f t="shared" si="54"/>
        <v>317</v>
      </c>
      <c r="M1313" s="2">
        <v>45242</v>
      </c>
    </row>
    <row r="1314" spans="1:13" hidden="1" x14ac:dyDescent="0.25">
      <c r="A1314" s="9" t="s">
        <v>37</v>
      </c>
      <c r="B1314" s="2">
        <v>45379</v>
      </c>
      <c r="C1314" s="9">
        <f t="shared" si="56"/>
        <v>2024</v>
      </c>
      <c r="D1314" s="11">
        <f t="shared" si="55"/>
        <v>88</v>
      </c>
      <c r="E1314" s="9" t="s">
        <v>38</v>
      </c>
      <c r="F1314">
        <v>88.9</v>
      </c>
      <c r="I1314" s="4">
        <f t="shared" si="54"/>
        <v>331</v>
      </c>
      <c r="M1314" s="2">
        <v>45256</v>
      </c>
    </row>
    <row r="1315" spans="1:13" hidden="1" x14ac:dyDescent="0.25">
      <c r="A1315" s="9" t="s">
        <v>37</v>
      </c>
      <c r="B1315" s="2">
        <v>45392</v>
      </c>
      <c r="C1315" s="9">
        <f t="shared" si="56"/>
        <v>2024</v>
      </c>
      <c r="D1315" s="11">
        <f t="shared" si="55"/>
        <v>101</v>
      </c>
      <c r="E1315" s="9" t="s">
        <v>38</v>
      </c>
      <c r="F1315">
        <v>111.4</v>
      </c>
      <c r="I1315" s="4">
        <f t="shared" si="54"/>
        <v>317</v>
      </c>
      <c r="M1315" s="2">
        <v>45242</v>
      </c>
    </row>
    <row r="1316" spans="1:13" hidden="1" x14ac:dyDescent="0.25">
      <c r="A1316" s="9" t="s">
        <v>37</v>
      </c>
      <c r="B1316" s="2">
        <v>45392</v>
      </c>
      <c r="C1316" s="9">
        <f t="shared" si="56"/>
        <v>2024</v>
      </c>
      <c r="D1316" s="11">
        <f t="shared" si="55"/>
        <v>101</v>
      </c>
      <c r="E1316" s="9" t="s">
        <v>38</v>
      </c>
      <c r="F1316">
        <v>88.1</v>
      </c>
      <c r="I1316" s="4">
        <f t="shared" si="54"/>
        <v>331</v>
      </c>
      <c r="M1316" s="2">
        <v>45256</v>
      </c>
    </row>
    <row r="1317" spans="1:13" hidden="1" x14ac:dyDescent="0.25">
      <c r="A1317" s="9" t="s">
        <v>37</v>
      </c>
      <c r="B1317" s="2">
        <v>45406</v>
      </c>
      <c r="C1317" s="9">
        <f t="shared" si="56"/>
        <v>2024</v>
      </c>
      <c r="D1317" s="11">
        <f t="shared" si="55"/>
        <v>115</v>
      </c>
      <c r="E1317" s="9" t="s">
        <v>38</v>
      </c>
      <c r="F1317">
        <v>114.4</v>
      </c>
      <c r="I1317" s="4">
        <f t="shared" si="54"/>
        <v>317</v>
      </c>
      <c r="M1317" s="2">
        <v>45242</v>
      </c>
    </row>
    <row r="1318" spans="1:13" hidden="1" x14ac:dyDescent="0.25">
      <c r="A1318" s="9" t="s">
        <v>37</v>
      </c>
      <c r="B1318" s="2">
        <v>45406</v>
      </c>
      <c r="C1318" s="9">
        <f t="shared" si="56"/>
        <v>2024</v>
      </c>
      <c r="D1318" s="11">
        <f t="shared" si="55"/>
        <v>115</v>
      </c>
      <c r="E1318" s="9" t="s">
        <v>38</v>
      </c>
      <c r="F1318">
        <v>93.7</v>
      </c>
      <c r="G1318" s="7">
        <f>Calculations!D20</f>
        <v>103.59904904204868</v>
      </c>
      <c r="H1318" t="s">
        <v>27</v>
      </c>
      <c r="I1318" s="4">
        <f t="shared" si="54"/>
        <v>331</v>
      </c>
      <c r="M1318" s="2">
        <v>45256</v>
      </c>
    </row>
    <row r="1319" spans="1:13" hidden="1" x14ac:dyDescent="0.25">
      <c r="A1319" s="9" t="s">
        <v>37</v>
      </c>
      <c r="B1319" s="2">
        <v>45413</v>
      </c>
      <c r="C1319" s="9">
        <f t="shared" si="56"/>
        <v>2024</v>
      </c>
      <c r="D1319" s="11">
        <f t="shared" si="55"/>
        <v>122</v>
      </c>
      <c r="E1319" s="9" t="s">
        <v>38</v>
      </c>
      <c r="F1319">
        <v>121.3</v>
      </c>
      <c r="I1319" s="4">
        <f t="shared" si="54"/>
        <v>317</v>
      </c>
      <c r="M1319" s="2">
        <v>45242</v>
      </c>
    </row>
    <row r="1320" spans="1:13" hidden="1" x14ac:dyDescent="0.25">
      <c r="A1320" s="9" t="s">
        <v>37</v>
      </c>
      <c r="B1320" s="2">
        <v>45413</v>
      </c>
      <c r="C1320" s="9">
        <f t="shared" si="56"/>
        <v>2024</v>
      </c>
      <c r="D1320" s="11">
        <f t="shared" si="55"/>
        <v>122</v>
      </c>
      <c r="E1320" s="9" t="s">
        <v>38</v>
      </c>
      <c r="F1320">
        <v>94.5</v>
      </c>
      <c r="I1320" s="4">
        <f t="shared" si="54"/>
        <v>331</v>
      </c>
      <c r="M1320" s="2">
        <v>45256</v>
      </c>
    </row>
    <row r="1321" spans="1:13" hidden="1" x14ac:dyDescent="0.25">
      <c r="A1321" s="9" t="s">
        <v>37</v>
      </c>
      <c r="B1321" s="2">
        <v>45427</v>
      </c>
      <c r="C1321" s="9">
        <f t="shared" si="56"/>
        <v>2024</v>
      </c>
      <c r="D1321" s="11">
        <f t="shared" si="55"/>
        <v>136</v>
      </c>
      <c r="E1321" s="9" t="s">
        <v>38</v>
      </c>
      <c r="F1321">
        <v>117.6</v>
      </c>
      <c r="I1321" s="4">
        <f t="shared" si="54"/>
        <v>317</v>
      </c>
      <c r="M1321" s="2">
        <v>45242</v>
      </c>
    </row>
    <row r="1322" spans="1:13" hidden="1" x14ac:dyDescent="0.25">
      <c r="A1322" s="9" t="s">
        <v>37</v>
      </c>
      <c r="B1322" s="2">
        <v>45427</v>
      </c>
      <c r="C1322" s="9">
        <f t="shared" si="56"/>
        <v>2024</v>
      </c>
      <c r="D1322" s="11">
        <f t="shared" si="55"/>
        <v>136</v>
      </c>
      <c r="E1322" s="9" t="s">
        <v>38</v>
      </c>
      <c r="F1322">
        <v>94.9</v>
      </c>
      <c r="I1322" s="4">
        <f t="shared" si="54"/>
        <v>331</v>
      </c>
      <c r="M1322" s="2">
        <v>45256</v>
      </c>
    </row>
    <row r="1323" spans="1:13" hidden="1" x14ac:dyDescent="0.25">
      <c r="A1323" s="9" t="s">
        <v>37</v>
      </c>
      <c r="B1323" s="2">
        <v>45441</v>
      </c>
      <c r="C1323" s="9">
        <f t="shared" si="56"/>
        <v>2024</v>
      </c>
      <c r="D1323" s="11">
        <f t="shared" si="55"/>
        <v>150</v>
      </c>
      <c r="E1323" s="9" t="s">
        <v>38</v>
      </c>
      <c r="F1323">
        <v>118.5</v>
      </c>
      <c r="I1323" s="4">
        <f t="shared" si="54"/>
        <v>317</v>
      </c>
      <c r="M1323" s="2">
        <v>45242</v>
      </c>
    </row>
    <row r="1324" spans="1:13" hidden="1" x14ac:dyDescent="0.25">
      <c r="A1324" s="9" t="s">
        <v>37</v>
      </c>
      <c r="B1324" s="2">
        <v>45441</v>
      </c>
      <c r="C1324" s="9">
        <f t="shared" si="56"/>
        <v>2024</v>
      </c>
      <c r="D1324" s="11">
        <f t="shared" si="55"/>
        <v>150</v>
      </c>
      <c r="E1324" s="9" t="s">
        <v>38</v>
      </c>
      <c r="F1324">
        <v>96.3</v>
      </c>
      <c r="I1324" s="4">
        <f t="shared" si="54"/>
        <v>331</v>
      </c>
      <c r="M1324" s="2">
        <v>45256</v>
      </c>
    </row>
    <row r="1325" spans="1:13" hidden="1" x14ac:dyDescent="0.25">
      <c r="A1325" s="9" t="s">
        <v>37</v>
      </c>
      <c r="B1325" s="2">
        <v>45454</v>
      </c>
      <c r="C1325" s="9">
        <f t="shared" si="56"/>
        <v>2024</v>
      </c>
      <c r="D1325" s="11">
        <f t="shared" si="55"/>
        <v>163</v>
      </c>
      <c r="E1325" s="9" t="s">
        <v>38</v>
      </c>
      <c r="F1325">
        <v>118.3</v>
      </c>
      <c r="I1325" s="4">
        <f t="shared" si="54"/>
        <v>317</v>
      </c>
      <c r="M1325" s="2">
        <v>45242</v>
      </c>
    </row>
    <row r="1326" spans="1:13" hidden="1" x14ac:dyDescent="0.25">
      <c r="A1326" s="9" t="s">
        <v>37</v>
      </c>
      <c r="B1326" s="2">
        <v>45454</v>
      </c>
      <c r="C1326" s="9">
        <f t="shared" si="56"/>
        <v>2024</v>
      </c>
      <c r="D1326" s="11">
        <f t="shared" si="55"/>
        <v>163</v>
      </c>
      <c r="E1326" s="9" t="s">
        <v>38</v>
      </c>
      <c r="F1326">
        <v>93.1</v>
      </c>
      <c r="I1326" s="4">
        <f t="shared" si="54"/>
        <v>331</v>
      </c>
      <c r="M1326" s="2">
        <v>45256</v>
      </c>
    </row>
    <row r="1327" spans="1:13" s="9" customFormat="1" hidden="1" x14ac:dyDescent="0.25">
      <c r="A1327" s="9" t="s">
        <v>39</v>
      </c>
      <c r="B1327" s="10">
        <v>43851</v>
      </c>
      <c r="C1327" s="9">
        <f>YEAR(B1327)</f>
        <v>2020</v>
      </c>
      <c r="D1327" s="11">
        <f t="shared" ref="D1327:D1391" si="57">B1327-DATE(YEAR(B1327),1,0)</f>
        <v>21</v>
      </c>
      <c r="E1327" s="9" t="s">
        <v>38</v>
      </c>
      <c r="F1327" s="9">
        <v>71</v>
      </c>
      <c r="I1327" s="4">
        <f t="shared" ref="I1327:I1391" si="58" xml:space="preserve"> DATEDIF(DATE(YEAR(M1327),1,0),M1327,"d")+1</f>
        <v>330</v>
      </c>
      <c r="M1327" s="10">
        <v>43794</v>
      </c>
    </row>
    <row r="1328" spans="1:13" hidden="1" x14ac:dyDescent="0.25">
      <c r="A1328" s="9" t="s">
        <v>39</v>
      </c>
      <c r="B1328" s="2">
        <v>43851</v>
      </c>
      <c r="C1328" s="9">
        <f t="shared" ref="C1328:C1391" si="59">YEAR(B1328)</f>
        <v>2020</v>
      </c>
      <c r="D1328" s="11">
        <f t="shared" si="57"/>
        <v>21</v>
      </c>
      <c r="E1328" s="9" t="s">
        <v>38</v>
      </c>
      <c r="F1328">
        <v>66.8</v>
      </c>
      <c r="I1328" s="4">
        <f t="shared" si="58"/>
        <v>325</v>
      </c>
      <c r="M1328" s="2">
        <v>43789</v>
      </c>
    </row>
    <row r="1329" spans="1:13" hidden="1" x14ac:dyDescent="0.25">
      <c r="A1329" s="9" t="s">
        <v>39</v>
      </c>
      <c r="B1329" s="2">
        <v>43879</v>
      </c>
      <c r="C1329" s="9">
        <f t="shared" si="59"/>
        <v>2020</v>
      </c>
      <c r="D1329" s="11">
        <f t="shared" si="57"/>
        <v>49</v>
      </c>
      <c r="E1329" s="9" t="s">
        <v>38</v>
      </c>
      <c r="F1329">
        <v>81.5</v>
      </c>
      <c r="I1329" s="4">
        <f t="shared" si="58"/>
        <v>330</v>
      </c>
      <c r="M1329" s="2">
        <v>43794</v>
      </c>
    </row>
    <row r="1330" spans="1:13" hidden="1" x14ac:dyDescent="0.25">
      <c r="A1330" s="9" t="s">
        <v>39</v>
      </c>
      <c r="B1330" s="2">
        <v>43879</v>
      </c>
      <c r="C1330" s="9">
        <f t="shared" si="59"/>
        <v>2020</v>
      </c>
      <c r="D1330" s="11">
        <f t="shared" si="57"/>
        <v>49</v>
      </c>
      <c r="E1330" s="9" t="s">
        <v>38</v>
      </c>
      <c r="F1330">
        <v>82.1</v>
      </c>
      <c r="I1330" s="4">
        <f t="shared" si="58"/>
        <v>325</v>
      </c>
      <c r="M1330" s="2">
        <v>43789</v>
      </c>
    </row>
    <row r="1331" spans="1:13" hidden="1" x14ac:dyDescent="0.25">
      <c r="A1331" s="9" t="s">
        <v>39</v>
      </c>
      <c r="B1331" s="2">
        <v>43893</v>
      </c>
      <c r="C1331" s="9">
        <f t="shared" si="59"/>
        <v>2020</v>
      </c>
      <c r="D1331" s="11">
        <f t="shared" si="57"/>
        <v>63</v>
      </c>
      <c r="E1331" s="9" t="s">
        <v>38</v>
      </c>
      <c r="F1331">
        <v>89.4</v>
      </c>
      <c r="I1331" s="4">
        <f t="shared" si="58"/>
        <v>330</v>
      </c>
      <c r="M1331" s="2">
        <v>43794</v>
      </c>
    </row>
    <row r="1332" spans="1:13" hidden="1" x14ac:dyDescent="0.25">
      <c r="A1332" s="9" t="s">
        <v>39</v>
      </c>
      <c r="B1332" s="2">
        <v>43893</v>
      </c>
      <c r="C1332" s="9">
        <f t="shared" si="59"/>
        <v>2020</v>
      </c>
      <c r="D1332" s="11">
        <f t="shared" si="57"/>
        <v>63</v>
      </c>
      <c r="E1332" s="9" t="s">
        <v>38</v>
      </c>
      <c r="F1332">
        <v>88</v>
      </c>
      <c r="I1332" s="4">
        <f t="shared" si="58"/>
        <v>325</v>
      </c>
      <c r="M1332" s="2">
        <v>43789</v>
      </c>
    </row>
    <row r="1333" spans="1:13" hidden="1" x14ac:dyDescent="0.25">
      <c r="A1333" s="9" t="s">
        <v>39</v>
      </c>
      <c r="B1333" s="2">
        <v>43906</v>
      </c>
      <c r="C1333" s="9">
        <f t="shared" si="59"/>
        <v>2020</v>
      </c>
      <c r="D1333" s="11">
        <f t="shared" si="57"/>
        <v>76</v>
      </c>
      <c r="E1333" s="9" t="s">
        <v>38</v>
      </c>
      <c r="F1333">
        <v>96.5</v>
      </c>
      <c r="I1333" s="4">
        <f t="shared" si="58"/>
        <v>330</v>
      </c>
      <c r="M1333" s="2">
        <v>43794</v>
      </c>
    </row>
    <row r="1334" spans="1:13" hidden="1" x14ac:dyDescent="0.25">
      <c r="A1334" s="9" t="s">
        <v>39</v>
      </c>
      <c r="B1334" s="2">
        <v>43906</v>
      </c>
      <c r="C1334" s="9">
        <f t="shared" si="59"/>
        <v>2020</v>
      </c>
      <c r="D1334" s="11">
        <f t="shared" si="57"/>
        <v>76</v>
      </c>
      <c r="E1334" s="9" t="s">
        <v>38</v>
      </c>
      <c r="F1334">
        <v>93.5</v>
      </c>
      <c r="I1334" s="4">
        <f t="shared" si="58"/>
        <v>325</v>
      </c>
      <c r="M1334" s="2">
        <v>43789</v>
      </c>
    </row>
    <row r="1335" spans="1:13" hidden="1" x14ac:dyDescent="0.25">
      <c r="A1335" s="9" t="s">
        <v>39</v>
      </c>
      <c r="B1335" s="2">
        <v>43951</v>
      </c>
      <c r="C1335" s="9">
        <f t="shared" si="59"/>
        <v>2020</v>
      </c>
      <c r="D1335" s="11">
        <f t="shared" si="57"/>
        <v>121</v>
      </c>
      <c r="E1335" s="9" t="s">
        <v>38</v>
      </c>
      <c r="F1335">
        <v>119.5</v>
      </c>
      <c r="I1335" s="4">
        <f t="shared" si="58"/>
        <v>330</v>
      </c>
      <c r="M1335" s="2">
        <v>43794</v>
      </c>
    </row>
    <row r="1336" spans="1:13" hidden="1" x14ac:dyDescent="0.25">
      <c r="A1336" s="9" t="s">
        <v>39</v>
      </c>
      <c r="B1336" s="2">
        <v>43951</v>
      </c>
      <c r="C1336" s="9">
        <f t="shared" si="59"/>
        <v>2020</v>
      </c>
      <c r="D1336" s="11">
        <f t="shared" si="57"/>
        <v>121</v>
      </c>
      <c r="E1336" s="9" t="s">
        <v>38</v>
      </c>
      <c r="F1336">
        <v>112.5</v>
      </c>
      <c r="I1336" s="4">
        <f t="shared" si="58"/>
        <v>325</v>
      </c>
      <c r="M1336" s="2">
        <v>43789</v>
      </c>
    </row>
    <row r="1337" spans="1:13" hidden="1" x14ac:dyDescent="0.25">
      <c r="A1337" s="9" t="s">
        <v>39</v>
      </c>
      <c r="B1337" s="2">
        <v>43963</v>
      </c>
      <c r="C1337" s="9">
        <f t="shared" si="59"/>
        <v>2020</v>
      </c>
      <c r="D1337" s="11">
        <f t="shared" si="57"/>
        <v>133</v>
      </c>
      <c r="E1337" s="9" t="s">
        <v>38</v>
      </c>
      <c r="F1337">
        <v>124</v>
      </c>
      <c r="I1337" s="4">
        <f t="shared" si="58"/>
        <v>330</v>
      </c>
      <c r="M1337" s="2">
        <v>43794</v>
      </c>
    </row>
    <row r="1338" spans="1:13" hidden="1" x14ac:dyDescent="0.25">
      <c r="A1338" s="9" t="s">
        <v>39</v>
      </c>
      <c r="B1338" s="2">
        <v>43963</v>
      </c>
      <c r="C1338" s="9">
        <f t="shared" si="59"/>
        <v>2020</v>
      </c>
      <c r="D1338" s="11">
        <f t="shared" si="57"/>
        <v>133</v>
      </c>
      <c r="E1338" s="9" t="s">
        <v>38</v>
      </c>
      <c r="F1338">
        <v>111.2</v>
      </c>
      <c r="I1338" s="4">
        <f t="shared" si="58"/>
        <v>325</v>
      </c>
      <c r="M1338" s="2">
        <v>43789</v>
      </c>
    </row>
    <row r="1339" spans="1:13" hidden="1" x14ac:dyDescent="0.25">
      <c r="A1339" s="9" t="s">
        <v>39</v>
      </c>
      <c r="B1339" s="2">
        <v>43976</v>
      </c>
      <c r="C1339" s="9">
        <f t="shared" si="59"/>
        <v>2020</v>
      </c>
      <c r="D1339" s="11">
        <f t="shared" si="57"/>
        <v>146</v>
      </c>
      <c r="E1339" s="9" t="s">
        <v>38</v>
      </c>
      <c r="F1339">
        <v>122.9</v>
      </c>
      <c r="I1339" s="4">
        <f t="shared" si="58"/>
        <v>330</v>
      </c>
      <c r="M1339" s="2">
        <v>43794</v>
      </c>
    </row>
    <row r="1340" spans="1:13" hidden="1" x14ac:dyDescent="0.25">
      <c r="A1340" s="9" t="s">
        <v>39</v>
      </c>
      <c r="B1340" s="2">
        <v>43976</v>
      </c>
      <c r="C1340" s="9">
        <f t="shared" si="59"/>
        <v>2020</v>
      </c>
      <c r="D1340" s="11">
        <f t="shared" si="57"/>
        <v>146</v>
      </c>
      <c r="E1340" s="9" t="s">
        <v>38</v>
      </c>
      <c r="F1340">
        <v>113</v>
      </c>
      <c r="I1340" s="4">
        <f t="shared" si="58"/>
        <v>325</v>
      </c>
      <c r="M1340" s="2">
        <v>43789</v>
      </c>
    </row>
    <row r="1341" spans="1:13" hidden="1" x14ac:dyDescent="0.25">
      <c r="A1341" s="9" t="s">
        <v>39</v>
      </c>
      <c r="B1341" s="2">
        <v>44222</v>
      </c>
      <c r="C1341" s="9">
        <f t="shared" si="59"/>
        <v>2021</v>
      </c>
      <c r="D1341" s="11">
        <f t="shared" si="57"/>
        <v>26</v>
      </c>
      <c r="E1341" s="9" t="s">
        <v>38</v>
      </c>
      <c r="F1341">
        <v>71.344444440000004</v>
      </c>
      <c r="I1341" s="4">
        <f t="shared" si="58"/>
        <v>317</v>
      </c>
      <c r="M1341" s="2">
        <v>44146</v>
      </c>
    </row>
    <row r="1342" spans="1:13" hidden="1" x14ac:dyDescent="0.25">
      <c r="A1342" s="9" t="s">
        <v>39</v>
      </c>
      <c r="B1342" s="2">
        <v>44222</v>
      </c>
      <c r="C1342" s="9">
        <f t="shared" si="59"/>
        <v>2021</v>
      </c>
      <c r="D1342" s="11">
        <f t="shared" si="57"/>
        <v>26</v>
      </c>
      <c r="E1342" s="9" t="s">
        <v>38</v>
      </c>
      <c r="F1342">
        <v>72.515222219999998</v>
      </c>
      <c r="I1342" s="4">
        <f t="shared" si="58"/>
        <v>323</v>
      </c>
      <c r="M1342" s="2">
        <v>44152</v>
      </c>
    </row>
    <row r="1343" spans="1:13" hidden="1" x14ac:dyDescent="0.25">
      <c r="A1343" s="9" t="s">
        <v>39</v>
      </c>
      <c r="B1343" s="2">
        <v>44245</v>
      </c>
      <c r="C1343" s="9">
        <f t="shared" si="59"/>
        <v>2021</v>
      </c>
      <c r="D1343" s="11">
        <f t="shared" si="57"/>
        <v>49</v>
      </c>
      <c r="E1343" s="9" t="s">
        <v>38</v>
      </c>
      <c r="F1343">
        <v>79.661444439999997</v>
      </c>
      <c r="I1343" s="4">
        <f t="shared" si="58"/>
        <v>317</v>
      </c>
      <c r="M1343" s="2">
        <v>44146</v>
      </c>
    </row>
    <row r="1344" spans="1:13" hidden="1" x14ac:dyDescent="0.25">
      <c r="A1344" s="9" t="s">
        <v>39</v>
      </c>
      <c r="B1344" s="2">
        <v>44245</v>
      </c>
      <c r="C1344" s="9">
        <f t="shared" si="59"/>
        <v>2021</v>
      </c>
      <c r="D1344" s="11">
        <f t="shared" si="57"/>
        <v>49</v>
      </c>
      <c r="E1344" s="9" t="s">
        <v>38</v>
      </c>
      <c r="F1344">
        <v>78.662333329999996</v>
      </c>
      <c r="I1344" s="4">
        <f t="shared" si="58"/>
        <v>323</v>
      </c>
      <c r="M1344" s="2">
        <v>44152</v>
      </c>
    </row>
    <row r="1345" spans="1:13" hidden="1" x14ac:dyDescent="0.25">
      <c r="A1345" s="9" t="s">
        <v>39</v>
      </c>
      <c r="B1345" s="2">
        <v>44257</v>
      </c>
      <c r="C1345" s="9">
        <f t="shared" si="59"/>
        <v>2021</v>
      </c>
      <c r="D1345" s="11">
        <f t="shared" si="57"/>
        <v>61</v>
      </c>
      <c r="E1345" s="9" t="s">
        <v>38</v>
      </c>
      <c r="F1345">
        <v>85.806555560000007</v>
      </c>
      <c r="I1345" s="4">
        <f t="shared" si="58"/>
        <v>317</v>
      </c>
      <c r="M1345" s="2">
        <v>44146</v>
      </c>
    </row>
    <row r="1346" spans="1:13" hidden="1" x14ac:dyDescent="0.25">
      <c r="A1346" s="9" t="s">
        <v>39</v>
      </c>
      <c r="B1346" s="2">
        <v>44257</v>
      </c>
      <c r="C1346" s="9">
        <f t="shared" si="59"/>
        <v>2021</v>
      </c>
      <c r="D1346" s="11">
        <f t="shared" si="57"/>
        <v>61</v>
      </c>
      <c r="E1346" s="9" t="s">
        <v>38</v>
      </c>
      <c r="F1346">
        <v>94.198222220000005</v>
      </c>
      <c r="I1346" s="4">
        <f t="shared" si="58"/>
        <v>323</v>
      </c>
      <c r="M1346" s="2">
        <v>44152</v>
      </c>
    </row>
    <row r="1347" spans="1:13" hidden="1" x14ac:dyDescent="0.25">
      <c r="A1347" s="9" t="s">
        <v>39</v>
      </c>
      <c r="B1347" s="2">
        <v>44271</v>
      </c>
      <c r="C1347" s="9">
        <f t="shared" si="59"/>
        <v>2021</v>
      </c>
      <c r="D1347" s="11">
        <f t="shared" si="57"/>
        <v>75</v>
      </c>
      <c r="E1347" s="9" t="s">
        <v>38</v>
      </c>
      <c r="F1347">
        <v>94.438555559999998</v>
      </c>
      <c r="I1347" s="4">
        <f t="shared" si="58"/>
        <v>317</v>
      </c>
      <c r="M1347" s="2">
        <v>44146</v>
      </c>
    </row>
    <row r="1348" spans="1:13" hidden="1" x14ac:dyDescent="0.25">
      <c r="A1348" s="9" t="s">
        <v>39</v>
      </c>
      <c r="B1348" s="2">
        <v>44271</v>
      </c>
      <c r="C1348" s="9">
        <f t="shared" si="59"/>
        <v>2021</v>
      </c>
      <c r="D1348" s="11">
        <f t="shared" si="57"/>
        <v>75</v>
      </c>
      <c r="E1348" s="9" t="s">
        <v>38</v>
      </c>
      <c r="F1348">
        <v>94.316999999999993</v>
      </c>
      <c r="I1348" s="4">
        <f t="shared" si="58"/>
        <v>323</v>
      </c>
      <c r="M1348" s="2">
        <v>44152</v>
      </c>
    </row>
    <row r="1349" spans="1:13" hidden="1" x14ac:dyDescent="0.25">
      <c r="A1349" s="9" t="s">
        <v>39</v>
      </c>
      <c r="B1349" s="2">
        <v>44285</v>
      </c>
      <c r="C1349" s="9">
        <f t="shared" si="59"/>
        <v>2021</v>
      </c>
      <c r="D1349" s="11">
        <f t="shared" si="57"/>
        <v>89</v>
      </c>
      <c r="E1349" s="9" t="s">
        <v>38</v>
      </c>
      <c r="F1349">
        <v>99.934222219999995</v>
      </c>
      <c r="I1349" s="4">
        <f t="shared" si="58"/>
        <v>317</v>
      </c>
      <c r="M1349" s="2">
        <v>44146</v>
      </c>
    </row>
    <row r="1350" spans="1:13" hidden="1" x14ac:dyDescent="0.25">
      <c r="A1350" s="9" t="s">
        <v>39</v>
      </c>
      <c r="B1350" s="2">
        <v>44285</v>
      </c>
      <c r="C1350" s="9">
        <f t="shared" si="59"/>
        <v>2021</v>
      </c>
      <c r="D1350" s="11">
        <f t="shared" si="57"/>
        <v>89</v>
      </c>
      <c r="E1350" s="9" t="s">
        <v>38</v>
      </c>
      <c r="F1350">
        <v>102.6277528</v>
      </c>
      <c r="I1350" s="4">
        <f t="shared" si="58"/>
        <v>323</v>
      </c>
      <c r="M1350" s="2">
        <v>44152</v>
      </c>
    </row>
    <row r="1351" spans="1:13" hidden="1" x14ac:dyDescent="0.25">
      <c r="A1351" s="9" t="s">
        <v>39</v>
      </c>
      <c r="B1351" s="2">
        <v>44299</v>
      </c>
      <c r="C1351" s="9">
        <f t="shared" si="59"/>
        <v>2021</v>
      </c>
      <c r="D1351" s="11">
        <f t="shared" si="57"/>
        <v>103</v>
      </c>
      <c r="E1351" s="9" t="s">
        <v>38</v>
      </c>
      <c r="F1351">
        <v>109.68055560000001</v>
      </c>
      <c r="I1351" s="4">
        <f t="shared" si="58"/>
        <v>317</v>
      </c>
      <c r="M1351" s="2">
        <v>44146</v>
      </c>
    </row>
    <row r="1352" spans="1:13" hidden="1" x14ac:dyDescent="0.25">
      <c r="A1352" s="9" t="s">
        <v>39</v>
      </c>
      <c r="B1352" s="2">
        <v>44299</v>
      </c>
      <c r="C1352" s="9">
        <f t="shared" si="59"/>
        <v>2021</v>
      </c>
      <c r="D1352" s="11">
        <f t="shared" si="57"/>
        <v>103</v>
      </c>
      <c r="E1352" s="9" t="s">
        <v>38</v>
      </c>
      <c r="F1352">
        <v>104.4843333</v>
      </c>
      <c r="I1352" s="4">
        <f t="shared" si="58"/>
        <v>323</v>
      </c>
      <c r="M1352" s="2">
        <v>44152</v>
      </c>
    </row>
    <row r="1353" spans="1:13" hidden="1" x14ac:dyDescent="0.25">
      <c r="A1353" s="9" t="s">
        <v>39</v>
      </c>
      <c r="B1353" s="2">
        <v>44306</v>
      </c>
      <c r="C1353" s="9">
        <f t="shared" si="59"/>
        <v>2021</v>
      </c>
      <c r="D1353" s="11">
        <f t="shared" si="57"/>
        <v>110</v>
      </c>
      <c r="E1353" s="9" t="s">
        <v>38</v>
      </c>
      <c r="F1353">
        <v>106.9362222</v>
      </c>
      <c r="I1353" s="4">
        <f t="shared" si="58"/>
        <v>317</v>
      </c>
      <c r="M1353" s="2">
        <v>44146</v>
      </c>
    </row>
    <row r="1354" spans="1:13" hidden="1" x14ac:dyDescent="0.25">
      <c r="A1354" s="9" t="s">
        <v>39</v>
      </c>
      <c r="B1354" s="2">
        <v>44306</v>
      </c>
      <c r="C1354" s="9">
        <f t="shared" si="59"/>
        <v>2021</v>
      </c>
      <c r="D1354" s="11">
        <f t="shared" si="57"/>
        <v>110</v>
      </c>
      <c r="E1354" s="9" t="s">
        <v>38</v>
      </c>
      <c r="F1354">
        <v>108.57</v>
      </c>
      <c r="I1354" s="4">
        <f t="shared" si="58"/>
        <v>323</v>
      </c>
      <c r="M1354" s="2">
        <v>44152</v>
      </c>
    </row>
    <row r="1355" spans="1:13" hidden="1" x14ac:dyDescent="0.25">
      <c r="A1355" s="9" t="s">
        <v>39</v>
      </c>
      <c r="B1355" s="2">
        <v>44314</v>
      </c>
      <c r="C1355" s="9">
        <f t="shared" si="59"/>
        <v>2021</v>
      </c>
      <c r="D1355" s="11">
        <f t="shared" si="57"/>
        <v>118</v>
      </c>
      <c r="E1355" s="9" t="s">
        <v>38</v>
      </c>
      <c r="F1355">
        <v>111.7631111</v>
      </c>
      <c r="I1355" s="4">
        <f t="shared" si="58"/>
        <v>317</v>
      </c>
      <c r="M1355" s="2">
        <v>44146</v>
      </c>
    </row>
    <row r="1356" spans="1:13" hidden="1" x14ac:dyDescent="0.25">
      <c r="A1356" s="9" t="s">
        <v>39</v>
      </c>
      <c r="B1356" s="2">
        <v>44314</v>
      </c>
      <c r="C1356" s="9">
        <f t="shared" si="59"/>
        <v>2021</v>
      </c>
      <c r="D1356" s="11">
        <f t="shared" si="57"/>
        <v>118</v>
      </c>
      <c r="E1356" s="9" t="s">
        <v>38</v>
      </c>
      <c r="F1356">
        <v>105.4177778</v>
      </c>
      <c r="I1356" s="4">
        <f t="shared" si="58"/>
        <v>323</v>
      </c>
      <c r="M1356" s="2">
        <v>44152</v>
      </c>
    </row>
    <row r="1357" spans="1:13" hidden="1" x14ac:dyDescent="0.25">
      <c r="A1357" s="9" t="s">
        <v>39</v>
      </c>
      <c r="B1357" s="2">
        <v>44322</v>
      </c>
      <c r="C1357" s="9">
        <f t="shared" si="59"/>
        <v>2021</v>
      </c>
      <c r="D1357" s="11">
        <f t="shared" si="57"/>
        <v>126</v>
      </c>
      <c r="E1357" s="9" t="s">
        <v>38</v>
      </c>
      <c r="F1357">
        <v>110.95577780000001</v>
      </c>
      <c r="I1357" s="4">
        <f t="shared" si="58"/>
        <v>317</v>
      </c>
      <c r="M1357" s="2">
        <v>44146</v>
      </c>
    </row>
    <row r="1358" spans="1:13" hidden="1" x14ac:dyDescent="0.25">
      <c r="A1358" s="9" t="s">
        <v>39</v>
      </c>
      <c r="B1358" s="2">
        <v>44322</v>
      </c>
      <c r="C1358" s="9">
        <f t="shared" si="59"/>
        <v>2021</v>
      </c>
      <c r="D1358" s="11">
        <f t="shared" si="57"/>
        <v>126</v>
      </c>
      <c r="E1358" s="9" t="s">
        <v>38</v>
      </c>
      <c r="F1358">
        <v>109.4638889</v>
      </c>
      <c r="I1358" s="4">
        <f t="shared" si="58"/>
        <v>323</v>
      </c>
      <c r="M1358" s="2">
        <v>44152</v>
      </c>
    </row>
    <row r="1359" spans="1:13" hidden="1" x14ac:dyDescent="0.25">
      <c r="A1359" s="9" t="s">
        <v>39</v>
      </c>
      <c r="B1359" s="2">
        <v>44334</v>
      </c>
      <c r="C1359" s="9">
        <f t="shared" si="59"/>
        <v>2021</v>
      </c>
      <c r="D1359" s="11">
        <f t="shared" si="57"/>
        <v>138</v>
      </c>
      <c r="E1359" s="9" t="s">
        <v>38</v>
      </c>
      <c r="F1359">
        <v>110.53644439999999</v>
      </c>
      <c r="I1359" s="4">
        <f t="shared" si="58"/>
        <v>317</v>
      </c>
      <c r="M1359" s="2">
        <v>44146</v>
      </c>
    </row>
    <row r="1360" spans="1:13" hidden="1" x14ac:dyDescent="0.25">
      <c r="A1360" s="9" t="s">
        <v>39</v>
      </c>
      <c r="B1360" s="2">
        <v>44334</v>
      </c>
      <c r="C1360" s="9">
        <f t="shared" si="59"/>
        <v>2021</v>
      </c>
      <c r="D1360" s="11">
        <f t="shared" si="57"/>
        <v>138</v>
      </c>
      <c r="E1360" s="9" t="s">
        <v>38</v>
      </c>
      <c r="F1360">
        <v>106.94555560000001</v>
      </c>
      <c r="I1360" s="4">
        <f t="shared" si="58"/>
        <v>323</v>
      </c>
      <c r="M1360" s="2">
        <v>44152</v>
      </c>
    </row>
    <row r="1361" spans="1:13" hidden="1" x14ac:dyDescent="0.25">
      <c r="A1361" s="9" t="s">
        <v>39</v>
      </c>
      <c r="B1361" s="2">
        <v>44349</v>
      </c>
      <c r="C1361" s="9">
        <f t="shared" si="59"/>
        <v>2021</v>
      </c>
      <c r="D1361" s="11">
        <f t="shared" si="57"/>
        <v>153</v>
      </c>
      <c r="E1361" s="9" t="s">
        <v>38</v>
      </c>
      <c r="F1361">
        <v>106.42277780000001</v>
      </c>
      <c r="I1361" s="4">
        <f t="shared" si="58"/>
        <v>317</v>
      </c>
      <c r="M1361" s="2">
        <v>44146</v>
      </c>
    </row>
    <row r="1362" spans="1:13" hidden="1" x14ac:dyDescent="0.25">
      <c r="A1362" s="9" t="s">
        <v>39</v>
      </c>
      <c r="B1362" s="2">
        <v>44349</v>
      </c>
      <c r="C1362" s="9">
        <f t="shared" si="59"/>
        <v>2021</v>
      </c>
      <c r="D1362" s="11">
        <f t="shared" si="57"/>
        <v>153</v>
      </c>
      <c r="E1362" s="9" t="s">
        <v>38</v>
      </c>
      <c r="F1362">
        <v>109.477</v>
      </c>
      <c r="I1362" s="4">
        <f t="shared" si="58"/>
        <v>323</v>
      </c>
      <c r="M1362" s="2">
        <v>44152</v>
      </c>
    </row>
    <row r="1363" spans="1:13" hidden="1" x14ac:dyDescent="0.25">
      <c r="A1363" s="9" t="s">
        <v>39</v>
      </c>
      <c r="B1363" s="2">
        <v>44596</v>
      </c>
      <c r="C1363" s="9">
        <f t="shared" si="59"/>
        <v>2022</v>
      </c>
      <c r="D1363" s="11">
        <f t="shared" si="57"/>
        <v>35</v>
      </c>
      <c r="E1363" s="9" t="s">
        <v>38</v>
      </c>
      <c r="F1363">
        <v>74.099999999999994</v>
      </c>
      <c r="I1363" s="4">
        <f t="shared" si="58"/>
        <v>315</v>
      </c>
      <c r="M1363" s="2">
        <v>44510</v>
      </c>
    </row>
    <row r="1364" spans="1:13" hidden="1" x14ac:dyDescent="0.25">
      <c r="A1364" s="9" t="s">
        <v>39</v>
      </c>
      <c r="B1364" s="2">
        <v>44596</v>
      </c>
      <c r="C1364" s="9">
        <f t="shared" si="59"/>
        <v>2022</v>
      </c>
      <c r="D1364" s="11">
        <f t="shared" si="57"/>
        <v>35</v>
      </c>
      <c r="E1364" s="9" t="s">
        <v>38</v>
      </c>
      <c r="F1364">
        <v>63.8</v>
      </c>
      <c r="I1364" s="4">
        <f t="shared" si="58"/>
        <v>322</v>
      </c>
      <c r="M1364" s="2">
        <v>44517</v>
      </c>
    </row>
    <row r="1365" spans="1:13" hidden="1" x14ac:dyDescent="0.25">
      <c r="A1365" s="9" t="s">
        <v>39</v>
      </c>
      <c r="B1365" s="2">
        <v>44607</v>
      </c>
      <c r="C1365" s="9">
        <f t="shared" si="59"/>
        <v>2022</v>
      </c>
      <c r="D1365" s="11">
        <f t="shared" si="57"/>
        <v>46</v>
      </c>
      <c r="E1365" s="9" t="s">
        <v>38</v>
      </c>
      <c r="F1365">
        <v>89.6</v>
      </c>
      <c r="I1365" s="4">
        <f t="shared" si="58"/>
        <v>315</v>
      </c>
      <c r="M1365" s="2">
        <v>44510</v>
      </c>
    </row>
    <row r="1366" spans="1:13" hidden="1" x14ac:dyDescent="0.25">
      <c r="A1366" s="9" t="s">
        <v>39</v>
      </c>
      <c r="B1366" s="2">
        <v>44607</v>
      </c>
      <c r="C1366" s="9">
        <f t="shared" si="59"/>
        <v>2022</v>
      </c>
      <c r="D1366" s="11">
        <f t="shared" si="57"/>
        <v>46</v>
      </c>
      <c r="E1366" s="9" t="s">
        <v>38</v>
      </c>
      <c r="F1366">
        <v>78.8</v>
      </c>
      <c r="I1366" s="4">
        <f t="shared" si="58"/>
        <v>322</v>
      </c>
      <c r="M1366" s="2">
        <v>44517</v>
      </c>
    </row>
    <row r="1367" spans="1:13" hidden="1" x14ac:dyDescent="0.25">
      <c r="A1367" s="9" t="s">
        <v>39</v>
      </c>
      <c r="B1367" s="2">
        <v>44621</v>
      </c>
      <c r="C1367" s="9">
        <f t="shared" si="59"/>
        <v>2022</v>
      </c>
      <c r="D1367" s="11">
        <f t="shared" si="57"/>
        <v>60</v>
      </c>
      <c r="E1367" s="9" t="s">
        <v>38</v>
      </c>
      <c r="F1367">
        <v>95.5</v>
      </c>
      <c r="I1367" s="4">
        <f t="shared" si="58"/>
        <v>315</v>
      </c>
      <c r="M1367" s="2">
        <v>44510</v>
      </c>
    </row>
    <row r="1368" spans="1:13" hidden="1" x14ac:dyDescent="0.25">
      <c r="A1368" s="9" t="s">
        <v>39</v>
      </c>
      <c r="B1368" s="2">
        <v>44621</v>
      </c>
      <c r="C1368" s="9">
        <f t="shared" si="59"/>
        <v>2022</v>
      </c>
      <c r="D1368" s="11">
        <f t="shared" si="57"/>
        <v>60</v>
      </c>
      <c r="E1368" s="9" t="s">
        <v>38</v>
      </c>
      <c r="F1368">
        <v>85.2</v>
      </c>
      <c r="I1368" s="4">
        <f t="shared" si="58"/>
        <v>322</v>
      </c>
      <c r="M1368" s="2">
        <v>44517</v>
      </c>
    </row>
    <row r="1369" spans="1:13" hidden="1" x14ac:dyDescent="0.25">
      <c r="A1369" s="9" t="s">
        <v>39</v>
      </c>
      <c r="B1369" s="2">
        <v>44635</v>
      </c>
      <c r="C1369" s="9">
        <f t="shared" si="59"/>
        <v>2022</v>
      </c>
      <c r="D1369" s="11">
        <f t="shared" si="57"/>
        <v>74</v>
      </c>
      <c r="E1369" s="9" t="s">
        <v>38</v>
      </c>
      <c r="F1369">
        <v>103.9</v>
      </c>
      <c r="I1369" s="4">
        <f t="shared" si="58"/>
        <v>315</v>
      </c>
      <c r="M1369" s="2">
        <v>44510</v>
      </c>
    </row>
    <row r="1370" spans="1:13" hidden="1" x14ac:dyDescent="0.25">
      <c r="A1370" s="9" t="s">
        <v>39</v>
      </c>
      <c r="B1370" s="2">
        <v>44635</v>
      </c>
      <c r="C1370" s="9">
        <f t="shared" si="59"/>
        <v>2022</v>
      </c>
      <c r="D1370" s="11">
        <f t="shared" si="57"/>
        <v>74</v>
      </c>
      <c r="E1370" s="9" t="s">
        <v>38</v>
      </c>
      <c r="F1370">
        <v>92.7</v>
      </c>
      <c r="I1370" s="4">
        <f t="shared" si="58"/>
        <v>322</v>
      </c>
      <c r="M1370" s="2">
        <v>44517</v>
      </c>
    </row>
    <row r="1371" spans="1:13" hidden="1" x14ac:dyDescent="0.25">
      <c r="A1371" s="9" t="s">
        <v>39</v>
      </c>
      <c r="B1371" s="2">
        <v>44649</v>
      </c>
      <c r="C1371" s="9">
        <f t="shared" si="59"/>
        <v>2022</v>
      </c>
      <c r="D1371" s="11">
        <f t="shared" si="57"/>
        <v>88</v>
      </c>
      <c r="E1371" s="9" t="s">
        <v>38</v>
      </c>
      <c r="F1371">
        <v>115.1</v>
      </c>
      <c r="I1371" s="4">
        <f t="shared" si="58"/>
        <v>315</v>
      </c>
      <c r="M1371" s="2">
        <v>44510</v>
      </c>
    </row>
    <row r="1372" spans="1:13" hidden="1" x14ac:dyDescent="0.25">
      <c r="A1372" s="9" t="s">
        <v>39</v>
      </c>
      <c r="B1372" s="2">
        <v>44649</v>
      </c>
      <c r="C1372" s="9">
        <f t="shared" si="59"/>
        <v>2022</v>
      </c>
      <c r="D1372" s="11">
        <f t="shared" si="57"/>
        <v>88</v>
      </c>
      <c r="E1372" s="9" t="s">
        <v>38</v>
      </c>
      <c r="F1372">
        <v>93.3</v>
      </c>
      <c r="I1372" s="4">
        <f t="shared" si="58"/>
        <v>322</v>
      </c>
      <c r="M1372" s="2">
        <v>44517</v>
      </c>
    </row>
    <row r="1373" spans="1:13" hidden="1" x14ac:dyDescent="0.25">
      <c r="A1373" s="9" t="s">
        <v>39</v>
      </c>
      <c r="B1373" s="2">
        <v>44665</v>
      </c>
      <c r="C1373" s="9">
        <f t="shared" si="59"/>
        <v>2022</v>
      </c>
      <c r="D1373" s="11">
        <f t="shared" si="57"/>
        <v>104</v>
      </c>
      <c r="E1373" s="9" t="s">
        <v>38</v>
      </c>
      <c r="F1373">
        <v>114.8</v>
      </c>
      <c r="I1373" s="4">
        <f t="shared" si="58"/>
        <v>315</v>
      </c>
      <c r="M1373" s="2">
        <v>44510</v>
      </c>
    </row>
    <row r="1374" spans="1:13" hidden="1" x14ac:dyDescent="0.25">
      <c r="A1374" s="9" t="s">
        <v>39</v>
      </c>
      <c r="B1374" s="2">
        <v>44665</v>
      </c>
      <c r="C1374" s="9">
        <f t="shared" si="59"/>
        <v>2022</v>
      </c>
      <c r="D1374" s="11">
        <f t="shared" si="57"/>
        <v>104</v>
      </c>
      <c r="E1374" s="9" t="s">
        <v>38</v>
      </c>
      <c r="F1374">
        <v>105.7</v>
      </c>
      <c r="I1374" s="4">
        <f t="shared" si="58"/>
        <v>322</v>
      </c>
      <c r="M1374" s="2">
        <v>44517</v>
      </c>
    </row>
    <row r="1375" spans="1:13" hidden="1" x14ac:dyDescent="0.25">
      <c r="A1375" s="9" t="s">
        <v>39</v>
      </c>
      <c r="B1375" s="2">
        <v>44673</v>
      </c>
      <c r="C1375" s="9">
        <f t="shared" si="59"/>
        <v>2022</v>
      </c>
      <c r="D1375" s="11">
        <f t="shared" si="57"/>
        <v>112</v>
      </c>
      <c r="E1375" s="9" t="s">
        <v>38</v>
      </c>
      <c r="F1375">
        <v>122.2</v>
      </c>
      <c r="I1375" s="4">
        <f t="shared" si="58"/>
        <v>315</v>
      </c>
      <c r="M1375" s="2">
        <v>44510</v>
      </c>
    </row>
    <row r="1376" spans="1:13" hidden="1" x14ac:dyDescent="0.25">
      <c r="A1376" s="9" t="s">
        <v>39</v>
      </c>
      <c r="B1376" s="2">
        <v>44673</v>
      </c>
      <c r="C1376" s="9">
        <f t="shared" si="59"/>
        <v>2022</v>
      </c>
      <c r="D1376" s="11">
        <f t="shared" si="57"/>
        <v>112</v>
      </c>
      <c r="E1376" s="9" t="s">
        <v>38</v>
      </c>
      <c r="F1376">
        <v>108.7</v>
      </c>
      <c r="I1376" s="4">
        <f t="shared" si="58"/>
        <v>322</v>
      </c>
      <c r="M1376" s="2">
        <v>44517</v>
      </c>
    </row>
    <row r="1377" spans="1:13" hidden="1" x14ac:dyDescent="0.25">
      <c r="A1377" s="9" t="s">
        <v>39</v>
      </c>
      <c r="B1377" s="2">
        <v>44679</v>
      </c>
      <c r="C1377" s="9">
        <f t="shared" si="59"/>
        <v>2022</v>
      </c>
      <c r="D1377" s="11">
        <f t="shared" si="57"/>
        <v>118</v>
      </c>
      <c r="E1377" s="9" t="s">
        <v>38</v>
      </c>
      <c r="F1377">
        <v>120.3</v>
      </c>
      <c r="I1377" s="4">
        <f t="shared" si="58"/>
        <v>315</v>
      </c>
      <c r="M1377" s="2">
        <v>44510</v>
      </c>
    </row>
    <row r="1378" spans="1:13" hidden="1" x14ac:dyDescent="0.25">
      <c r="A1378" s="9" t="s">
        <v>39</v>
      </c>
      <c r="B1378" s="2">
        <v>44679</v>
      </c>
      <c r="C1378" s="9">
        <f t="shared" si="59"/>
        <v>2022</v>
      </c>
      <c r="D1378" s="11">
        <f t="shared" si="57"/>
        <v>118</v>
      </c>
      <c r="E1378" s="9" t="s">
        <v>38</v>
      </c>
      <c r="F1378">
        <v>105.5</v>
      </c>
      <c r="I1378" s="4">
        <f t="shared" si="58"/>
        <v>322</v>
      </c>
      <c r="M1378" s="2">
        <v>44517</v>
      </c>
    </row>
    <row r="1379" spans="1:13" hidden="1" x14ac:dyDescent="0.25">
      <c r="A1379" s="9" t="s">
        <v>39</v>
      </c>
      <c r="B1379" s="2">
        <v>44686</v>
      </c>
      <c r="C1379" s="9">
        <f t="shared" si="59"/>
        <v>2022</v>
      </c>
      <c r="D1379" s="11">
        <f t="shared" si="57"/>
        <v>125</v>
      </c>
      <c r="E1379" s="9" t="s">
        <v>38</v>
      </c>
      <c r="F1379">
        <v>120.3</v>
      </c>
      <c r="I1379" s="4">
        <f t="shared" si="58"/>
        <v>315</v>
      </c>
      <c r="M1379" s="2">
        <v>44510</v>
      </c>
    </row>
    <row r="1380" spans="1:13" hidden="1" x14ac:dyDescent="0.25">
      <c r="A1380" s="9" t="s">
        <v>39</v>
      </c>
      <c r="B1380" s="2">
        <v>44686</v>
      </c>
      <c r="C1380" s="9">
        <f t="shared" si="59"/>
        <v>2022</v>
      </c>
      <c r="D1380" s="11">
        <f t="shared" si="57"/>
        <v>125</v>
      </c>
      <c r="E1380" s="9" t="s">
        <v>38</v>
      </c>
      <c r="F1380">
        <v>107.8</v>
      </c>
      <c r="I1380" s="4">
        <f t="shared" si="58"/>
        <v>322</v>
      </c>
      <c r="M1380" s="2">
        <v>44517</v>
      </c>
    </row>
    <row r="1381" spans="1:13" hidden="1" x14ac:dyDescent="0.25">
      <c r="A1381" s="9" t="s">
        <v>39</v>
      </c>
      <c r="B1381" s="2">
        <v>44700</v>
      </c>
      <c r="C1381" s="9">
        <f t="shared" si="59"/>
        <v>2022</v>
      </c>
      <c r="D1381" s="11">
        <f t="shared" si="57"/>
        <v>139</v>
      </c>
      <c r="E1381" s="9" t="s">
        <v>38</v>
      </c>
      <c r="F1381">
        <v>120</v>
      </c>
      <c r="I1381" s="4">
        <f t="shared" si="58"/>
        <v>315</v>
      </c>
      <c r="M1381" s="2">
        <v>44510</v>
      </c>
    </row>
    <row r="1382" spans="1:13" hidden="1" x14ac:dyDescent="0.25">
      <c r="A1382" s="9" t="s">
        <v>39</v>
      </c>
      <c r="B1382" s="2">
        <v>44700</v>
      </c>
      <c r="C1382" s="9">
        <f t="shared" si="59"/>
        <v>2022</v>
      </c>
      <c r="D1382" s="11">
        <f t="shared" si="57"/>
        <v>139</v>
      </c>
      <c r="E1382" s="9" t="s">
        <v>38</v>
      </c>
      <c r="F1382">
        <v>115</v>
      </c>
      <c r="I1382" s="4">
        <f t="shared" si="58"/>
        <v>322</v>
      </c>
      <c r="M1382" s="2">
        <v>44517</v>
      </c>
    </row>
    <row r="1383" spans="1:13" hidden="1" x14ac:dyDescent="0.25">
      <c r="A1383" s="9" t="s">
        <v>39</v>
      </c>
      <c r="B1383" s="2">
        <v>44714</v>
      </c>
      <c r="C1383" s="9">
        <f t="shared" si="59"/>
        <v>2022</v>
      </c>
      <c r="D1383" s="11">
        <f t="shared" si="57"/>
        <v>153</v>
      </c>
      <c r="E1383" s="9" t="s">
        <v>38</v>
      </c>
      <c r="F1383">
        <v>119.9</v>
      </c>
      <c r="I1383" s="4">
        <f t="shared" si="58"/>
        <v>315</v>
      </c>
      <c r="M1383" s="2">
        <v>44510</v>
      </c>
    </row>
    <row r="1384" spans="1:13" hidden="1" x14ac:dyDescent="0.25">
      <c r="A1384" s="9" t="s">
        <v>39</v>
      </c>
      <c r="B1384" s="2">
        <v>44714</v>
      </c>
      <c r="C1384" s="9">
        <f t="shared" si="59"/>
        <v>2022</v>
      </c>
      <c r="D1384" s="11">
        <f t="shared" si="57"/>
        <v>153</v>
      </c>
      <c r="E1384" s="9" t="s">
        <v>38</v>
      </c>
      <c r="F1384">
        <v>109.7</v>
      </c>
      <c r="I1384" s="4">
        <f t="shared" si="58"/>
        <v>322</v>
      </c>
      <c r="M1384" s="2">
        <v>44517</v>
      </c>
    </row>
    <row r="1385" spans="1:13" hidden="1" x14ac:dyDescent="0.25">
      <c r="A1385" s="9" t="s">
        <v>39</v>
      </c>
      <c r="B1385" s="2">
        <v>44951</v>
      </c>
      <c r="C1385" s="9">
        <f t="shared" si="59"/>
        <v>2023</v>
      </c>
      <c r="D1385" s="11">
        <f t="shared" si="57"/>
        <v>25</v>
      </c>
      <c r="E1385" s="9" t="s">
        <v>38</v>
      </c>
      <c r="F1385">
        <v>81.599999999999994</v>
      </c>
      <c r="I1385" s="4">
        <f t="shared" si="58"/>
        <v>319</v>
      </c>
      <c r="M1385" s="2">
        <v>44879</v>
      </c>
    </row>
    <row r="1386" spans="1:13" hidden="1" x14ac:dyDescent="0.25">
      <c r="A1386" s="9" t="s">
        <v>39</v>
      </c>
      <c r="B1386" s="2">
        <v>44951</v>
      </c>
      <c r="C1386" s="9">
        <f t="shared" si="59"/>
        <v>2023</v>
      </c>
      <c r="D1386" s="11">
        <f t="shared" si="57"/>
        <v>25</v>
      </c>
      <c r="E1386" s="9" t="s">
        <v>38</v>
      </c>
      <c r="F1386">
        <v>64.3</v>
      </c>
      <c r="I1386" s="4">
        <f t="shared" si="58"/>
        <v>333</v>
      </c>
      <c r="M1386" s="2">
        <v>44893</v>
      </c>
    </row>
    <row r="1387" spans="1:13" hidden="1" x14ac:dyDescent="0.25">
      <c r="A1387" s="9" t="s">
        <v>39</v>
      </c>
      <c r="B1387" s="2">
        <v>44974</v>
      </c>
      <c r="C1387" s="9">
        <f t="shared" si="59"/>
        <v>2023</v>
      </c>
      <c r="D1387" s="11">
        <f t="shared" si="57"/>
        <v>48</v>
      </c>
      <c r="E1387" s="9" t="s">
        <v>38</v>
      </c>
      <c r="F1387">
        <v>93.4</v>
      </c>
      <c r="I1387" s="4">
        <f t="shared" si="58"/>
        <v>319</v>
      </c>
      <c r="M1387" s="2">
        <v>44879</v>
      </c>
    </row>
    <row r="1388" spans="1:13" hidden="1" x14ac:dyDescent="0.25">
      <c r="A1388" s="9" t="s">
        <v>39</v>
      </c>
      <c r="B1388" s="2">
        <v>44974</v>
      </c>
      <c r="C1388" s="9">
        <f t="shared" si="59"/>
        <v>2023</v>
      </c>
      <c r="D1388" s="11">
        <f t="shared" si="57"/>
        <v>48</v>
      </c>
      <c r="E1388" s="9" t="s">
        <v>38</v>
      </c>
      <c r="F1388">
        <v>78.2</v>
      </c>
      <c r="I1388" s="4">
        <f t="shared" si="58"/>
        <v>333</v>
      </c>
      <c r="M1388" s="2">
        <v>44893</v>
      </c>
    </row>
    <row r="1389" spans="1:13" hidden="1" x14ac:dyDescent="0.25">
      <c r="A1389" s="9" t="s">
        <v>39</v>
      </c>
      <c r="B1389" s="2">
        <v>44985</v>
      </c>
      <c r="C1389" s="9">
        <f t="shared" si="59"/>
        <v>2023</v>
      </c>
      <c r="D1389" s="11">
        <f t="shared" si="57"/>
        <v>59</v>
      </c>
      <c r="E1389" s="9" t="s">
        <v>38</v>
      </c>
      <c r="F1389">
        <v>101</v>
      </c>
      <c r="I1389" s="4">
        <f t="shared" si="58"/>
        <v>319</v>
      </c>
      <c r="M1389" s="2">
        <v>44879</v>
      </c>
    </row>
    <row r="1390" spans="1:13" hidden="1" x14ac:dyDescent="0.25">
      <c r="A1390" s="9" t="s">
        <v>39</v>
      </c>
      <c r="B1390" s="2">
        <v>44985</v>
      </c>
      <c r="C1390" s="9">
        <f t="shared" si="59"/>
        <v>2023</v>
      </c>
      <c r="D1390" s="11">
        <f t="shared" si="57"/>
        <v>59</v>
      </c>
      <c r="E1390" s="9" t="s">
        <v>38</v>
      </c>
      <c r="F1390">
        <v>84.2</v>
      </c>
      <c r="I1390" s="4">
        <f t="shared" si="58"/>
        <v>333</v>
      </c>
      <c r="M1390" s="2">
        <v>44893</v>
      </c>
    </row>
    <row r="1391" spans="1:13" hidden="1" x14ac:dyDescent="0.25">
      <c r="A1391" s="9" t="s">
        <v>39</v>
      </c>
      <c r="B1391" s="2">
        <v>44999</v>
      </c>
      <c r="C1391" s="9">
        <f t="shared" si="59"/>
        <v>2023</v>
      </c>
      <c r="D1391" s="11">
        <f t="shared" si="57"/>
        <v>73</v>
      </c>
      <c r="E1391" s="9" t="s">
        <v>38</v>
      </c>
      <c r="F1391">
        <v>111.6</v>
      </c>
      <c r="I1391" s="4">
        <f t="shared" si="58"/>
        <v>319</v>
      </c>
      <c r="M1391" s="2">
        <v>44879</v>
      </c>
    </row>
    <row r="1392" spans="1:13" hidden="1" x14ac:dyDescent="0.25">
      <c r="A1392" s="9" t="s">
        <v>39</v>
      </c>
      <c r="B1392" s="2">
        <v>44999</v>
      </c>
      <c r="C1392" s="9">
        <f t="shared" ref="C1392:C1428" si="60">YEAR(B1392)</f>
        <v>2023</v>
      </c>
      <c r="D1392" s="11">
        <f t="shared" ref="D1392:D1428" si="61">B1392-DATE(YEAR(B1392),1,0)</f>
        <v>73</v>
      </c>
      <c r="E1392" s="9" t="s">
        <v>38</v>
      </c>
      <c r="F1392">
        <v>91.2</v>
      </c>
      <c r="I1392" s="4">
        <f t="shared" ref="I1392:I1428" si="62" xml:space="preserve"> DATEDIF(DATE(YEAR(M1392),1,0),M1392,"d")+1</f>
        <v>333</v>
      </c>
      <c r="M1392" s="2">
        <v>44893</v>
      </c>
    </row>
    <row r="1393" spans="1:13" hidden="1" x14ac:dyDescent="0.25">
      <c r="A1393" s="9" t="s">
        <v>39</v>
      </c>
      <c r="B1393" s="2">
        <v>45013</v>
      </c>
      <c r="C1393" s="9">
        <f t="shared" si="60"/>
        <v>2023</v>
      </c>
      <c r="D1393" s="11">
        <f t="shared" si="61"/>
        <v>87</v>
      </c>
      <c r="E1393" s="9" t="s">
        <v>38</v>
      </c>
      <c r="F1393">
        <v>119.8</v>
      </c>
      <c r="I1393" s="4">
        <f t="shared" si="62"/>
        <v>319</v>
      </c>
      <c r="M1393" s="2">
        <v>44879</v>
      </c>
    </row>
    <row r="1394" spans="1:13" hidden="1" x14ac:dyDescent="0.25">
      <c r="A1394" s="9" t="s">
        <v>39</v>
      </c>
      <c r="B1394" s="2">
        <v>45013</v>
      </c>
      <c r="C1394" s="9">
        <f t="shared" si="60"/>
        <v>2023</v>
      </c>
      <c r="D1394" s="11">
        <f t="shared" si="61"/>
        <v>87</v>
      </c>
      <c r="E1394" s="9" t="s">
        <v>38</v>
      </c>
      <c r="F1394">
        <v>96.4</v>
      </c>
      <c r="I1394" s="4">
        <f t="shared" si="62"/>
        <v>333</v>
      </c>
      <c r="M1394" s="2">
        <v>44893</v>
      </c>
    </row>
    <row r="1395" spans="1:13" hidden="1" x14ac:dyDescent="0.25">
      <c r="A1395" s="9" t="s">
        <v>39</v>
      </c>
      <c r="B1395" s="2">
        <v>45028</v>
      </c>
      <c r="C1395" s="9">
        <f t="shared" si="60"/>
        <v>2023</v>
      </c>
      <c r="D1395" s="11">
        <f t="shared" si="61"/>
        <v>102</v>
      </c>
      <c r="E1395" s="9" t="s">
        <v>38</v>
      </c>
      <c r="F1395">
        <v>124.9</v>
      </c>
      <c r="I1395" s="4">
        <f t="shared" si="62"/>
        <v>319</v>
      </c>
      <c r="M1395" s="2">
        <v>44879</v>
      </c>
    </row>
    <row r="1396" spans="1:13" hidden="1" x14ac:dyDescent="0.25">
      <c r="A1396" s="9" t="s">
        <v>39</v>
      </c>
      <c r="B1396" s="2">
        <v>45028</v>
      </c>
      <c r="C1396" s="9">
        <f t="shared" si="60"/>
        <v>2023</v>
      </c>
      <c r="D1396" s="11">
        <f t="shared" si="61"/>
        <v>102</v>
      </c>
      <c r="E1396" s="9" t="s">
        <v>38</v>
      </c>
      <c r="F1396">
        <v>105.1</v>
      </c>
      <c r="I1396" s="4">
        <f t="shared" si="62"/>
        <v>333</v>
      </c>
      <c r="M1396" s="2">
        <v>44893</v>
      </c>
    </row>
    <row r="1397" spans="1:13" hidden="1" x14ac:dyDescent="0.25">
      <c r="A1397" s="9" t="s">
        <v>39</v>
      </c>
      <c r="B1397" s="2">
        <v>45040</v>
      </c>
      <c r="C1397" s="9">
        <f t="shared" si="60"/>
        <v>2023</v>
      </c>
      <c r="D1397" s="11">
        <f t="shared" si="61"/>
        <v>114</v>
      </c>
      <c r="E1397" s="9" t="s">
        <v>38</v>
      </c>
      <c r="F1397">
        <v>125.4</v>
      </c>
      <c r="I1397" s="4">
        <f t="shared" si="62"/>
        <v>319</v>
      </c>
      <c r="M1397" s="2">
        <v>44879</v>
      </c>
    </row>
    <row r="1398" spans="1:13" hidden="1" x14ac:dyDescent="0.25">
      <c r="A1398" s="9" t="s">
        <v>39</v>
      </c>
      <c r="B1398" s="2">
        <v>45040</v>
      </c>
      <c r="C1398" s="9">
        <f t="shared" si="60"/>
        <v>2023</v>
      </c>
      <c r="D1398" s="11">
        <f t="shared" si="61"/>
        <v>114</v>
      </c>
      <c r="E1398" s="9" t="s">
        <v>38</v>
      </c>
      <c r="F1398">
        <v>109.2</v>
      </c>
      <c r="I1398" s="4">
        <f t="shared" si="62"/>
        <v>333</v>
      </c>
      <c r="M1398" s="2">
        <v>44893</v>
      </c>
    </row>
    <row r="1399" spans="1:13" hidden="1" x14ac:dyDescent="0.25">
      <c r="A1399" s="9" t="s">
        <v>39</v>
      </c>
      <c r="B1399" s="2">
        <v>45047</v>
      </c>
      <c r="C1399" s="9">
        <f t="shared" si="60"/>
        <v>2023</v>
      </c>
      <c r="D1399" s="11">
        <f t="shared" si="61"/>
        <v>121</v>
      </c>
      <c r="E1399" s="9" t="s">
        <v>38</v>
      </c>
      <c r="F1399">
        <v>128.5</v>
      </c>
      <c r="I1399" s="4">
        <f t="shared" si="62"/>
        <v>319</v>
      </c>
      <c r="M1399" s="2">
        <v>44879</v>
      </c>
    </row>
    <row r="1400" spans="1:13" hidden="1" x14ac:dyDescent="0.25">
      <c r="A1400" s="9" t="s">
        <v>39</v>
      </c>
      <c r="B1400" s="2">
        <v>45047</v>
      </c>
      <c r="C1400" s="9">
        <f t="shared" si="60"/>
        <v>2023</v>
      </c>
      <c r="D1400" s="11">
        <f t="shared" si="61"/>
        <v>121</v>
      </c>
      <c r="E1400" s="9" t="s">
        <v>38</v>
      </c>
      <c r="F1400">
        <v>107.6</v>
      </c>
      <c r="I1400" s="4">
        <f t="shared" si="62"/>
        <v>333</v>
      </c>
      <c r="M1400" s="2">
        <v>44893</v>
      </c>
    </row>
    <row r="1401" spans="1:13" hidden="1" x14ac:dyDescent="0.25">
      <c r="A1401" s="9" t="s">
        <v>39</v>
      </c>
      <c r="B1401" s="2">
        <v>45061</v>
      </c>
      <c r="C1401" s="9">
        <f t="shared" si="60"/>
        <v>2023</v>
      </c>
      <c r="D1401" s="11">
        <f t="shared" si="61"/>
        <v>135</v>
      </c>
      <c r="E1401" s="9" t="s">
        <v>38</v>
      </c>
      <c r="F1401">
        <v>125.9</v>
      </c>
      <c r="I1401" s="4">
        <f t="shared" si="62"/>
        <v>319</v>
      </c>
      <c r="M1401" s="2">
        <v>44879</v>
      </c>
    </row>
    <row r="1402" spans="1:13" hidden="1" x14ac:dyDescent="0.25">
      <c r="A1402" s="9" t="s">
        <v>39</v>
      </c>
      <c r="B1402" s="2">
        <v>45061</v>
      </c>
      <c r="C1402" s="9">
        <f t="shared" si="60"/>
        <v>2023</v>
      </c>
      <c r="D1402" s="11">
        <f t="shared" si="61"/>
        <v>135</v>
      </c>
      <c r="E1402" s="9" t="s">
        <v>38</v>
      </c>
      <c r="F1402">
        <v>105.4</v>
      </c>
      <c r="I1402" s="4">
        <f t="shared" si="62"/>
        <v>333</v>
      </c>
      <c r="M1402" s="2">
        <v>44893</v>
      </c>
    </row>
    <row r="1403" spans="1:13" hidden="1" x14ac:dyDescent="0.25">
      <c r="A1403" s="9" t="s">
        <v>39</v>
      </c>
      <c r="B1403" s="2">
        <v>45075</v>
      </c>
      <c r="C1403" s="9">
        <f t="shared" si="60"/>
        <v>2023</v>
      </c>
      <c r="D1403" s="11">
        <f t="shared" si="61"/>
        <v>149</v>
      </c>
      <c r="E1403" s="9" t="s">
        <v>38</v>
      </c>
      <c r="F1403">
        <v>136.80000000000001</v>
      </c>
      <c r="I1403" s="4">
        <f t="shared" si="62"/>
        <v>319</v>
      </c>
      <c r="M1403" s="2">
        <v>44879</v>
      </c>
    </row>
    <row r="1404" spans="1:13" hidden="1" x14ac:dyDescent="0.25">
      <c r="A1404" s="9" t="s">
        <v>39</v>
      </c>
      <c r="B1404" s="2">
        <v>45075</v>
      </c>
      <c r="C1404" s="9">
        <f t="shared" si="60"/>
        <v>2023</v>
      </c>
      <c r="D1404" s="11">
        <f t="shared" si="61"/>
        <v>149</v>
      </c>
      <c r="E1404" s="9" t="s">
        <v>38</v>
      </c>
      <c r="F1404">
        <v>107.8</v>
      </c>
      <c r="I1404" s="4">
        <f t="shared" si="62"/>
        <v>333</v>
      </c>
      <c r="M1404" s="2">
        <v>44893</v>
      </c>
    </row>
    <row r="1405" spans="1:13" hidden="1" x14ac:dyDescent="0.25">
      <c r="A1405" s="9" t="s">
        <v>39</v>
      </c>
      <c r="B1405" s="2">
        <v>45085</v>
      </c>
      <c r="C1405" s="9">
        <f t="shared" si="60"/>
        <v>2023</v>
      </c>
      <c r="D1405" s="11">
        <f t="shared" si="61"/>
        <v>159</v>
      </c>
      <c r="E1405" s="9" t="s">
        <v>38</v>
      </c>
      <c r="F1405">
        <v>128</v>
      </c>
      <c r="I1405" s="4">
        <f t="shared" si="62"/>
        <v>319</v>
      </c>
      <c r="M1405" s="2">
        <v>44879</v>
      </c>
    </row>
    <row r="1406" spans="1:13" hidden="1" x14ac:dyDescent="0.25">
      <c r="A1406" s="9" t="s">
        <v>39</v>
      </c>
      <c r="B1406" s="2">
        <v>45085</v>
      </c>
      <c r="C1406" s="9">
        <f t="shared" si="60"/>
        <v>2023</v>
      </c>
      <c r="D1406" s="11">
        <f t="shared" si="61"/>
        <v>159</v>
      </c>
      <c r="E1406" s="9" t="s">
        <v>38</v>
      </c>
      <c r="F1406">
        <v>113.3</v>
      </c>
      <c r="I1406" s="4">
        <f t="shared" si="62"/>
        <v>333</v>
      </c>
      <c r="M1406" s="2">
        <v>44893</v>
      </c>
    </row>
    <row r="1407" spans="1:13" hidden="1" x14ac:dyDescent="0.25">
      <c r="A1407" s="9" t="s">
        <v>39</v>
      </c>
      <c r="B1407" s="2">
        <v>45314</v>
      </c>
      <c r="C1407" s="9">
        <f t="shared" si="60"/>
        <v>2024</v>
      </c>
      <c r="D1407" s="11">
        <f t="shared" si="61"/>
        <v>23</v>
      </c>
      <c r="E1407" s="9" t="s">
        <v>38</v>
      </c>
      <c r="F1407">
        <v>71.8</v>
      </c>
      <c r="I1407" s="4">
        <f t="shared" si="62"/>
        <v>317</v>
      </c>
      <c r="M1407" s="2">
        <v>45242</v>
      </c>
    </row>
    <row r="1408" spans="1:13" hidden="1" x14ac:dyDescent="0.25">
      <c r="A1408" s="9" t="s">
        <v>39</v>
      </c>
      <c r="B1408" s="2">
        <v>45314</v>
      </c>
      <c r="C1408" s="9">
        <f t="shared" si="60"/>
        <v>2024</v>
      </c>
      <c r="D1408" s="11">
        <f t="shared" si="61"/>
        <v>23</v>
      </c>
      <c r="E1408" s="9" t="s">
        <v>38</v>
      </c>
      <c r="F1408">
        <v>52.8</v>
      </c>
      <c r="I1408" s="4">
        <f t="shared" si="62"/>
        <v>331</v>
      </c>
      <c r="M1408" s="2">
        <v>45256</v>
      </c>
    </row>
    <row r="1409" spans="1:13" hidden="1" x14ac:dyDescent="0.25">
      <c r="A1409" s="9" t="s">
        <v>39</v>
      </c>
      <c r="B1409" s="2">
        <v>45336</v>
      </c>
      <c r="C1409" s="9">
        <f t="shared" si="60"/>
        <v>2024</v>
      </c>
      <c r="D1409" s="11">
        <f t="shared" si="61"/>
        <v>45</v>
      </c>
      <c r="E1409" s="9" t="s">
        <v>38</v>
      </c>
      <c r="F1409">
        <v>81.8</v>
      </c>
      <c r="I1409" s="4">
        <f t="shared" si="62"/>
        <v>317</v>
      </c>
      <c r="M1409" s="2">
        <v>45242</v>
      </c>
    </row>
    <row r="1410" spans="1:13" hidden="1" x14ac:dyDescent="0.25">
      <c r="A1410" s="9" t="s">
        <v>39</v>
      </c>
      <c r="B1410" s="2">
        <v>45336</v>
      </c>
      <c r="C1410" s="9">
        <f t="shared" si="60"/>
        <v>2024</v>
      </c>
      <c r="D1410" s="11">
        <f t="shared" si="61"/>
        <v>45</v>
      </c>
      <c r="E1410" s="9" t="s">
        <v>38</v>
      </c>
      <c r="F1410">
        <v>67</v>
      </c>
      <c r="I1410" s="4">
        <f t="shared" si="62"/>
        <v>331</v>
      </c>
      <c r="M1410" s="2">
        <v>45256</v>
      </c>
    </row>
    <row r="1411" spans="1:13" hidden="1" x14ac:dyDescent="0.25">
      <c r="A1411" s="9" t="s">
        <v>39</v>
      </c>
      <c r="B1411" s="2">
        <v>45351</v>
      </c>
      <c r="C1411" s="9">
        <f t="shared" si="60"/>
        <v>2024</v>
      </c>
      <c r="D1411" s="11">
        <f t="shared" si="61"/>
        <v>60</v>
      </c>
      <c r="E1411" s="9" t="s">
        <v>38</v>
      </c>
      <c r="F1411">
        <v>93.1</v>
      </c>
      <c r="I1411" s="4">
        <f t="shared" si="62"/>
        <v>317</v>
      </c>
      <c r="M1411" s="2">
        <v>45242</v>
      </c>
    </row>
    <row r="1412" spans="1:13" hidden="1" x14ac:dyDescent="0.25">
      <c r="A1412" s="9" t="s">
        <v>39</v>
      </c>
      <c r="B1412" s="2">
        <v>45351</v>
      </c>
      <c r="C1412" s="9">
        <f t="shared" si="60"/>
        <v>2024</v>
      </c>
      <c r="D1412" s="11">
        <f t="shared" si="61"/>
        <v>60</v>
      </c>
      <c r="E1412" s="9" t="s">
        <v>38</v>
      </c>
      <c r="F1412">
        <v>73.2</v>
      </c>
      <c r="I1412" s="4">
        <f t="shared" si="62"/>
        <v>331</v>
      </c>
      <c r="M1412" s="2">
        <v>45256</v>
      </c>
    </row>
    <row r="1413" spans="1:13" hidden="1" x14ac:dyDescent="0.25">
      <c r="A1413" s="9" t="s">
        <v>39</v>
      </c>
      <c r="B1413" s="2">
        <v>45365</v>
      </c>
      <c r="C1413" s="9">
        <f t="shared" si="60"/>
        <v>2024</v>
      </c>
      <c r="D1413" s="11">
        <f t="shared" si="61"/>
        <v>74</v>
      </c>
      <c r="E1413" s="9" t="s">
        <v>38</v>
      </c>
      <c r="F1413">
        <v>103.8</v>
      </c>
      <c r="I1413" s="4">
        <f t="shared" si="62"/>
        <v>317</v>
      </c>
      <c r="M1413" s="2">
        <v>45242</v>
      </c>
    </row>
    <row r="1414" spans="1:13" hidden="1" x14ac:dyDescent="0.25">
      <c r="A1414" s="9" t="s">
        <v>39</v>
      </c>
      <c r="B1414" s="2">
        <v>45365</v>
      </c>
      <c r="C1414" s="9">
        <f t="shared" si="60"/>
        <v>2024</v>
      </c>
      <c r="D1414" s="11">
        <f t="shared" si="61"/>
        <v>74</v>
      </c>
      <c r="E1414" s="9" t="s">
        <v>38</v>
      </c>
      <c r="F1414">
        <v>81.7</v>
      </c>
      <c r="I1414" s="4">
        <f t="shared" si="62"/>
        <v>331</v>
      </c>
      <c r="M1414" s="2">
        <v>45256</v>
      </c>
    </row>
    <row r="1415" spans="1:13" hidden="1" x14ac:dyDescent="0.25">
      <c r="A1415" s="9" t="s">
        <v>39</v>
      </c>
      <c r="B1415" s="2">
        <v>45379</v>
      </c>
      <c r="C1415" s="9">
        <f t="shared" si="60"/>
        <v>2024</v>
      </c>
      <c r="D1415" s="11">
        <f t="shared" si="61"/>
        <v>88</v>
      </c>
      <c r="E1415" s="9" t="s">
        <v>38</v>
      </c>
      <c r="F1415">
        <v>108.2</v>
      </c>
      <c r="I1415" s="4">
        <f t="shared" si="62"/>
        <v>317</v>
      </c>
      <c r="M1415" s="2">
        <v>45242</v>
      </c>
    </row>
    <row r="1416" spans="1:13" hidden="1" x14ac:dyDescent="0.25">
      <c r="A1416" s="9" t="s">
        <v>39</v>
      </c>
      <c r="B1416" s="2">
        <v>45379</v>
      </c>
      <c r="C1416" s="9">
        <f t="shared" si="60"/>
        <v>2024</v>
      </c>
      <c r="D1416" s="11">
        <f t="shared" si="61"/>
        <v>88</v>
      </c>
      <c r="E1416" s="9" t="s">
        <v>38</v>
      </c>
      <c r="F1416">
        <v>88.9</v>
      </c>
      <c r="I1416" s="4">
        <f t="shared" si="62"/>
        <v>331</v>
      </c>
      <c r="M1416" s="2">
        <v>45256</v>
      </c>
    </row>
    <row r="1417" spans="1:13" hidden="1" x14ac:dyDescent="0.25">
      <c r="A1417" s="9" t="s">
        <v>39</v>
      </c>
      <c r="B1417" s="2">
        <v>45392</v>
      </c>
      <c r="C1417" s="9">
        <f t="shared" si="60"/>
        <v>2024</v>
      </c>
      <c r="D1417" s="11">
        <f t="shared" si="61"/>
        <v>101</v>
      </c>
      <c r="E1417" s="9" t="s">
        <v>38</v>
      </c>
      <c r="F1417">
        <v>111.4</v>
      </c>
      <c r="I1417" s="4">
        <f t="shared" si="62"/>
        <v>317</v>
      </c>
      <c r="M1417" s="2">
        <v>45242</v>
      </c>
    </row>
    <row r="1418" spans="1:13" hidden="1" x14ac:dyDescent="0.25">
      <c r="A1418" s="9" t="s">
        <v>39</v>
      </c>
      <c r="B1418" s="2">
        <v>45392</v>
      </c>
      <c r="C1418" s="9">
        <f t="shared" si="60"/>
        <v>2024</v>
      </c>
      <c r="D1418" s="11">
        <f t="shared" si="61"/>
        <v>101</v>
      </c>
      <c r="E1418" s="9" t="s">
        <v>38</v>
      </c>
      <c r="F1418">
        <v>88.1</v>
      </c>
      <c r="I1418" s="4">
        <f t="shared" si="62"/>
        <v>331</v>
      </c>
      <c r="M1418" s="2">
        <v>45256</v>
      </c>
    </row>
    <row r="1419" spans="1:13" hidden="1" x14ac:dyDescent="0.25">
      <c r="A1419" s="9" t="s">
        <v>39</v>
      </c>
      <c r="B1419" s="2">
        <v>45406</v>
      </c>
      <c r="C1419" s="9">
        <f t="shared" si="60"/>
        <v>2024</v>
      </c>
      <c r="D1419" s="11">
        <f t="shared" si="61"/>
        <v>115</v>
      </c>
      <c r="E1419" s="9" t="s">
        <v>38</v>
      </c>
      <c r="F1419">
        <v>114.4</v>
      </c>
      <c r="I1419" s="4">
        <f t="shared" si="62"/>
        <v>317</v>
      </c>
      <c r="M1419" s="2">
        <v>45242</v>
      </c>
    </row>
    <row r="1420" spans="1:13" hidden="1" x14ac:dyDescent="0.25">
      <c r="A1420" s="9" t="s">
        <v>39</v>
      </c>
      <c r="B1420" s="2">
        <v>45406</v>
      </c>
      <c r="C1420" s="9">
        <f t="shared" si="60"/>
        <v>2024</v>
      </c>
      <c r="D1420" s="11">
        <f t="shared" si="61"/>
        <v>115</v>
      </c>
      <c r="E1420" s="9" t="s">
        <v>38</v>
      </c>
      <c r="F1420">
        <v>93.7</v>
      </c>
      <c r="I1420" s="4">
        <f t="shared" si="62"/>
        <v>331</v>
      </c>
      <c r="M1420" s="2">
        <v>45256</v>
      </c>
    </row>
    <row r="1421" spans="1:13" hidden="1" x14ac:dyDescent="0.25">
      <c r="A1421" s="9" t="s">
        <v>39</v>
      </c>
      <c r="B1421" s="2">
        <v>45413</v>
      </c>
      <c r="C1421" s="9">
        <f t="shared" si="60"/>
        <v>2024</v>
      </c>
      <c r="D1421" s="11">
        <f t="shared" si="61"/>
        <v>122</v>
      </c>
      <c r="E1421" s="9" t="s">
        <v>38</v>
      </c>
      <c r="F1421">
        <v>121.3</v>
      </c>
      <c r="I1421" s="4">
        <f t="shared" si="62"/>
        <v>317</v>
      </c>
      <c r="M1421" s="2">
        <v>45242</v>
      </c>
    </row>
    <row r="1422" spans="1:13" hidden="1" x14ac:dyDescent="0.25">
      <c r="A1422" s="9" t="s">
        <v>39</v>
      </c>
      <c r="B1422" s="2">
        <v>45413</v>
      </c>
      <c r="C1422" s="9">
        <f t="shared" si="60"/>
        <v>2024</v>
      </c>
      <c r="D1422" s="11">
        <f t="shared" si="61"/>
        <v>122</v>
      </c>
      <c r="E1422" s="9" t="s">
        <v>38</v>
      </c>
      <c r="F1422">
        <v>94.5</v>
      </c>
      <c r="I1422" s="4">
        <f t="shared" si="62"/>
        <v>331</v>
      </c>
      <c r="M1422" s="2">
        <v>45256</v>
      </c>
    </row>
    <row r="1423" spans="1:13" hidden="1" x14ac:dyDescent="0.25">
      <c r="A1423" s="9" t="s">
        <v>39</v>
      </c>
      <c r="B1423" s="2">
        <v>45427</v>
      </c>
      <c r="C1423" s="9">
        <f t="shared" si="60"/>
        <v>2024</v>
      </c>
      <c r="D1423" s="11">
        <f t="shared" si="61"/>
        <v>136</v>
      </c>
      <c r="E1423" s="9" t="s">
        <v>38</v>
      </c>
      <c r="F1423">
        <v>117.6</v>
      </c>
      <c r="I1423" s="4">
        <f t="shared" si="62"/>
        <v>317</v>
      </c>
      <c r="M1423" s="2">
        <v>45242</v>
      </c>
    </row>
    <row r="1424" spans="1:13" hidden="1" x14ac:dyDescent="0.25">
      <c r="A1424" s="9" t="s">
        <v>39</v>
      </c>
      <c r="B1424" s="2">
        <v>45427</v>
      </c>
      <c r="C1424" s="9">
        <f t="shared" si="60"/>
        <v>2024</v>
      </c>
      <c r="D1424" s="11">
        <f t="shared" si="61"/>
        <v>136</v>
      </c>
      <c r="E1424" s="9" t="s">
        <v>38</v>
      </c>
      <c r="F1424">
        <v>94.9</v>
      </c>
      <c r="I1424" s="4">
        <f t="shared" si="62"/>
        <v>331</v>
      </c>
      <c r="M1424" s="2">
        <v>45256</v>
      </c>
    </row>
    <row r="1425" spans="1:13" hidden="1" x14ac:dyDescent="0.25">
      <c r="A1425" s="9" t="s">
        <v>39</v>
      </c>
      <c r="B1425" s="2">
        <v>45441</v>
      </c>
      <c r="C1425" s="9">
        <f t="shared" si="60"/>
        <v>2024</v>
      </c>
      <c r="D1425" s="11">
        <f t="shared" si="61"/>
        <v>150</v>
      </c>
      <c r="E1425" s="9" t="s">
        <v>38</v>
      </c>
      <c r="F1425">
        <v>118.5</v>
      </c>
      <c r="I1425" s="4">
        <f t="shared" si="62"/>
        <v>317</v>
      </c>
      <c r="M1425" s="2">
        <v>45242</v>
      </c>
    </row>
    <row r="1426" spans="1:13" hidden="1" x14ac:dyDescent="0.25">
      <c r="A1426" s="9" t="s">
        <v>39</v>
      </c>
      <c r="B1426" s="2">
        <v>45441</v>
      </c>
      <c r="C1426" s="9">
        <f t="shared" si="60"/>
        <v>2024</v>
      </c>
      <c r="D1426" s="11">
        <f t="shared" si="61"/>
        <v>150</v>
      </c>
      <c r="E1426" s="9" t="s">
        <v>38</v>
      </c>
      <c r="F1426">
        <v>96.3</v>
      </c>
      <c r="I1426" s="4">
        <f t="shared" si="62"/>
        <v>331</v>
      </c>
      <c r="M1426" s="2">
        <v>45256</v>
      </c>
    </row>
    <row r="1427" spans="1:13" hidden="1" x14ac:dyDescent="0.25">
      <c r="A1427" s="9" t="s">
        <v>39</v>
      </c>
      <c r="B1427" s="2">
        <v>45454</v>
      </c>
      <c r="C1427" s="9">
        <f t="shared" si="60"/>
        <v>2024</v>
      </c>
      <c r="D1427" s="11">
        <f t="shared" si="61"/>
        <v>163</v>
      </c>
      <c r="E1427" s="9" t="s">
        <v>38</v>
      </c>
      <c r="F1427">
        <v>118.3</v>
      </c>
      <c r="I1427" s="4">
        <f t="shared" si="62"/>
        <v>317</v>
      </c>
      <c r="M1427" s="2">
        <v>45242</v>
      </c>
    </row>
    <row r="1428" spans="1:13" hidden="1" x14ac:dyDescent="0.25">
      <c r="A1428" s="9" t="s">
        <v>39</v>
      </c>
      <c r="B1428" s="2">
        <v>45454</v>
      </c>
      <c r="C1428" s="9">
        <f t="shared" si="60"/>
        <v>2024</v>
      </c>
      <c r="D1428" s="11">
        <f t="shared" si="61"/>
        <v>163</v>
      </c>
      <c r="E1428" s="9" t="s">
        <v>38</v>
      </c>
      <c r="F1428">
        <v>93.1</v>
      </c>
      <c r="I1428" s="4">
        <f t="shared" si="62"/>
        <v>331</v>
      </c>
      <c r="M1428" s="2">
        <v>45256</v>
      </c>
    </row>
    <row r="1434" spans="1:13" x14ac:dyDescent="0.25">
      <c r="G1434" s="8"/>
    </row>
    <row r="1435" spans="1:13" x14ac:dyDescent="0.25">
      <c r="G1435" s="8"/>
    </row>
  </sheetData>
  <autoFilter ref="A1:A1428" xr:uid="{00000000-0001-0000-0000-000000000000}">
    <filterColumn colId="0">
      <filters>
        <filter val="TPHW2016"/>
        <filter val="TPHW2017"/>
        <filter val="TPHW2018"/>
        <filter val="TPHW2019"/>
        <filter val="TPHW2020"/>
        <filter val="TPHW2021"/>
        <filter val="TPHW2022"/>
        <filter val="TPHW2023"/>
        <filter val="TPHW2024"/>
      </filters>
    </filterColumn>
  </autoFilter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387D-0458-4499-B052-84055CDD2D26}">
  <sheetPr filterMode="1"/>
  <dimension ref="A1:P1440"/>
  <sheetViews>
    <sheetView zoomScale="60" zoomScaleNormal="60" workbookViewId="0">
      <pane ySplit="1" topLeftCell="A1298" activePane="bottomLeft" state="frozen"/>
      <selection pane="bottomLeft" activeCell="G1317" sqref="G1317"/>
    </sheetView>
  </sheetViews>
  <sheetFormatPr defaultRowHeight="15" x14ac:dyDescent="0.25"/>
  <cols>
    <col min="1" max="1" width="22.28515625" customWidth="1"/>
    <col min="2" max="2" width="17.7109375" customWidth="1"/>
    <col min="3" max="3" width="19.28515625" customWidth="1"/>
    <col min="4" max="4" width="12.28515625" customWidth="1"/>
    <col min="5" max="5" width="15.140625" customWidth="1"/>
    <col min="6" max="6" width="42.140625" customWidth="1"/>
    <col min="7" max="7" width="46.28515625" customWidth="1"/>
    <col min="8" max="8" width="59.85546875" customWidth="1"/>
    <col min="9" max="14" width="12" bestFit="1" customWidth="1"/>
    <col min="16" max="16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29</v>
      </c>
      <c r="H1" s="1" t="s">
        <v>5</v>
      </c>
    </row>
    <row r="2" spans="1:8" hidden="1" x14ac:dyDescent="0.25">
      <c r="A2" t="s">
        <v>7</v>
      </c>
      <c r="B2" s="2">
        <v>44603</v>
      </c>
      <c r="C2">
        <v>2022</v>
      </c>
      <c r="D2">
        <f t="shared" ref="D2:D65" si="0">B2-DATE(YEAR(B2),1,0)</f>
        <v>42</v>
      </c>
      <c r="E2" t="s">
        <v>6</v>
      </c>
      <c r="F2">
        <v>7.4897999999999998</v>
      </c>
    </row>
    <row r="3" spans="1:8" hidden="1" x14ac:dyDescent="0.25">
      <c r="A3" t="s">
        <v>7</v>
      </c>
      <c r="B3" s="2">
        <v>44608</v>
      </c>
      <c r="C3">
        <v>2022</v>
      </c>
      <c r="D3">
        <f t="shared" si="0"/>
        <v>47</v>
      </c>
      <c r="E3" t="s">
        <v>6</v>
      </c>
      <c r="F3">
        <v>10.318</v>
      </c>
    </row>
    <row r="4" spans="1:8" hidden="1" x14ac:dyDescent="0.25">
      <c r="A4" t="s">
        <v>7</v>
      </c>
      <c r="B4" s="2">
        <v>44622</v>
      </c>
      <c r="C4">
        <v>2022</v>
      </c>
      <c r="D4">
        <f t="shared" si="0"/>
        <v>61</v>
      </c>
      <c r="E4" t="s">
        <v>6</v>
      </c>
      <c r="F4">
        <v>12.741299999999999</v>
      </c>
    </row>
    <row r="5" spans="1:8" hidden="1" x14ac:dyDescent="0.25">
      <c r="A5" t="s">
        <v>7</v>
      </c>
      <c r="B5" s="2">
        <v>44636</v>
      </c>
      <c r="C5">
        <v>2022</v>
      </c>
      <c r="D5">
        <f t="shared" si="0"/>
        <v>75</v>
      </c>
      <c r="E5" t="s">
        <v>6</v>
      </c>
      <c r="F5">
        <v>10.8872</v>
      </c>
    </row>
    <row r="6" spans="1:8" hidden="1" x14ac:dyDescent="0.25">
      <c r="A6" t="s">
        <v>7</v>
      </c>
      <c r="B6" s="2">
        <v>44650</v>
      </c>
      <c r="C6">
        <v>2022</v>
      </c>
      <c r="D6">
        <f t="shared" si="0"/>
        <v>89</v>
      </c>
      <c r="E6" t="s">
        <v>6</v>
      </c>
      <c r="F6">
        <v>13.892000000000001</v>
      </c>
    </row>
    <row r="7" spans="1:8" hidden="1" x14ac:dyDescent="0.25">
      <c r="A7" t="s">
        <v>7</v>
      </c>
      <c r="B7" s="2">
        <v>44664</v>
      </c>
      <c r="C7">
        <v>2022</v>
      </c>
      <c r="D7">
        <f t="shared" si="0"/>
        <v>103</v>
      </c>
      <c r="E7" t="s">
        <v>6</v>
      </c>
      <c r="F7">
        <v>15.2</v>
      </c>
    </row>
    <row r="8" spans="1:8" hidden="1" x14ac:dyDescent="0.25">
      <c r="A8" t="s">
        <v>7</v>
      </c>
      <c r="B8" s="2">
        <v>44672</v>
      </c>
      <c r="C8">
        <v>2022</v>
      </c>
      <c r="D8">
        <f t="shared" si="0"/>
        <v>111</v>
      </c>
      <c r="E8" t="s">
        <v>6</v>
      </c>
      <c r="F8">
        <v>16.432000000000002</v>
      </c>
    </row>
    <row r="9" spans="1:8" hidden="1" x14ac:dyDescent="0.25">
      <c r="A9" t="s">
        <v>7</v>
      </c>
      <c r="B9" s="2">
        <v>44680</v>
      </c>
      <c r="C9">
        <v>2022</v>
      </c>
      <c r="D9">
        <f t="shared" si="0"/>
        <v>119</v>
      </c>
      <c r="E9" t="s">
        <v>6</v>
      </c>
      <c r="F9">
        <v>16.502500000000001</v>
      </c>
    </row>
    <row r="10" spans="1:8" hidden="1" x14ac:dyDescent="0.25">
      <c r="A10" t="s">
        <v>7</v>
      </c>
      <c r="B10" s="2">
        <v>44685</v>
      </c>
      <c r="C10">
        <v>2022</v>
      </c>
      <c r="D10">
        <f t="shared" si="0"/>
        <v>124</v>
      </c>
      <c r="E10" t="s">
        <v>6</v>
      </c>
      <c r="F10">
        <v>16.732200000000002</v>
      </c>
    </row>
    <row r="11" spans="1:8" hidden="1" x14ac:dyDescent="0.25">
      <c r="A11" t="s">
        <v>7</v>
      </c>
      <c r="B11" s="2">
        <v>44699</v>
      </c>
      <c r="C11">
        <v>2022</v>
      </c>
      <c r="D11">
        <f t="shared" si="0"/>
        <v>138</v>
      </c>
      <c r="E11" t="s">
        <v>6</v>
      </c>
      <c r="F11">
        <v>17.0655</v>
      </c>
    </row>
    <row r="12" spans="1:8" hidden="1" x14ac:dyDescent="0.25">
      <c r="A12" t="s">
        <v>7</v>
      </c>
      <c r="B12" s="2">
        <v>44713</v>
      </c>
      <c r="C12">
        <v>2022</v>
      </c>
      <c r="D12">
        <f t="shared" si="0"/>
        <v>152</v>
      </c>
      <c r="E12" t="s">
        <v>6</v>
      </c>
      <c r="F12">
        <v>17.685500000000001</v>
      </c>
    </row>
    <row r="13" spans="1:8" hidden="1" x14ac:dyDescent="0.25">
      <c r="A13" t="s">
        <v>7</v>
      </c>
      <c r="B13" s="2">
        <v>44952</v>
      </c>
      <c r="C13">
        <v>2023</v>
      </c>
      <c r="D13">
        <f t="shared" si="0"/>
        <v>26</v>
      </c>
      <c r="E13" t="s">
        <v>6</v>
      </c>
      <c r="F13">
        <v>6.3356000000000003</v>
      </c>
    </row>
    <row r="14" spans="1:8" hidden="1" x14ac:dyDescent="0.25">
      <c r="A14" t="s">
        <v>7</v>
      </c>
      <c r="B14" s="2">
        <v>44973</v>
      </c>
      <c r="C14">
        <v>2023</v>
      </c>
      <c r="D14">
        <f t="shared" si="0"/>
        <v>47</v>
      </c>
      <c r="E14" t="s">
        <v>6</v>
      </c>
      <c r="F14">
        <v>9.4124999999999996</v>
      </c>
    </row>
    <row r="15" spans="1:8" hidden="1" x14ac:dyDescent="0.25">
      <c r="A15" t="s">
        <v>7</v>
      </c>
      <c r="B15" s="2">
        <v>44984</v>
      </c>
      <c r="C15">
        <v>2023</v>
      </c>
      <c r="D15">
        <f t="shared" si="0"/>
        <v>58</v>
      </c>
      <c r="E15" t="s">
        <v>6</v>
      </c>
      <c r="F15">
        <v>11.8299</v>
      </c>
    </row>
    <row r="16" spans="1:8" hidden="1" x14ac:dyDescent="0.25">
      <c r="A16" t="s">
        <v>7</v>
      </c>
      <c r="B16" s="2">
        <v>45000</v>
      </c>
      <c r="C16">
        <v>2023</v>
      </c>
      <c r="D16">
        <f t="shared" si="0"/>
        <v>74</v>
      </c>
      <c r="E16" t="s">
        <v>6</v>
      </c>
      <c r="F16">
        <v>14.16</v>
      </c>
    </row>
    <row r="17" spans="1:6" hidden="1" x14ac:dyDescent="0.25">
      <c r="A17" t="s">
        <v>7</v>
      </c>
      <c r="B17" s="2">
        <v>45015</v>
      </c>
      <c r="C17">
        <v>2023</v>
      </c>
      <c r="D17">
        <f t="shared" si="0"/>
        <v>89</v>
      </c>
      <c r="E17" t="s">
        <v>6</v>
      </c>
      <c r="F17">
        <v>15.593</v>
      </c>
    </row>
    <row r="18" spans="1:6" hidden="1" x14ac:dyDescent="0.25">
      <c r="A18" t="s">
        <v>7</v>
      </c>
      <c r="B18" s="2">
        <v>45029</v>
      </c>
      <c r="C18">
        <v>2023</v>
      </c>
      <c r="D18">
        <f t="shared" si="0"/>
        <v>103</v>
      </c>
      <c r="E18" t="s">
        <v>6</v>
      </c>
      <c r="F18">
        <v>16.170999999999999</v>
      </c>
    </row>
    <row r="19" spans="1:6" hidden="1" x14ac:dyDescent="0.25">
      <c r="A19" t="s">
        <v>7</v>
      </c>
      <c r="B19" s="2">
        <v>45041</v>
      </c>
      <c r="C19">
        <v>2023</v>
      </c>
      <c r="D19">
        <f t="shared" si="0"/>
        <v>115</v>
      </c>
      <c r="E19" t="s">
        <v>6</v>
      </c>
      <c r="F19">
        <v>18.248999999999999</v>
      </c>
    </row>
    <row r="20" spans="1:6" hidden="1" x14ac:dyDescent="0.25">
      <c r="A20" t="s">
        <v>7</v>
      </c>
      <c r="B20" s="2">
        <v>45049</v>
      </c>
      <c r="C20">
        <v>2023</v>
      </c>
      <c r="D20">
        <f t="shared" si="0"/>
        <v>123</v>
      </c>
      <c r="E20" t="s">
        <v>6</v>
      </c>
      <c r="F20">
        <v>18.7944</v>
      </c>
    </row>
    <row r="21" spans="1:6" hidden="1" x14ac:dyDescent="0.25">
      <c r="A21" t="s">
        <v>7</v>
      </c>
      <c r="B21" s="2">
        <v>45062</v>
      </c>
      <c r="C21">
        <v>2023</v>
      </c>
      <c r="D21">
        <f t="shared" si="0"/>
        <v>136</v>
      </c>
      <c r="E21" t="s">
        <v>6</v>
      </c>
      <c r="F21">
        <v>19.488899999999997</v>
      </c>
    </row>
    <row r="22" spans="1:6" hidden="1" x14ac:dyDescent="0.25">
      <c r="A22" t="s">
        <v>7</v>
      </c>
      <c r="B22" s="2">
        <v>45076</v>
      </c>
      <c r="C22">
        <v>2023</v>
      </c>
      <c r="D22">
        <f t="shared" si="0"/>
        <v>150</v>
      </c>
      <c r="E22" t="s">
        <v>6</v>
      </c>
      <c r="F22">
        <v>20.195999999999998</v>
      </c>
    </row>
    <row r="23" spans="1:6" hidden="1" x14ac:dyDescent="0.25">
      <c r="A23" t="s">
        <v>7</v>
      </c>
      <c r="B23" s="2">
        <v>45083</v>
      </c>
      <c r="C23">
        <v>2023</v>
      </c>
      <c r="D23">
        <f t="shared" si="0"/>
        <v>157</v>
      </c>
      <c r="E23" t="s">
        <v>6</v>
      </c>
      <c r="F23">
        <v>19.545300000000001</v>
      </c>
    </row>
    <row r="24" spans="1:6" hidden="1" x14ac:dyDescent="0.25">
      <c r="A24" t="s">
        <v>7</v>
      </c>
      <c r="B24" s="2">
        <v>45316</v>
      </c>
      <c r="C24">
        <v>2024</v>
      </c>
      <c r="D24">
        <f t="shared" si="0"/>
        <v>25</v>
      </c>
      <c r="E24" t="s">
        <v>6</v>
      </c>
      <c r="F24">
        <v>5.22</v>
      </c>
    </row>
    <row r="25" spans="1:6" hidden="1" x14ac:dyDescent="0.25">
      <c r="A25" t="s">
        <v>7</v>
      </c>
      <c r="B25" s="2">
        <v>45337</v>
      </c>
      <c r="C25">
        <v>2024</v>
      </c>
      <c r="D25">
        <f t="shared" si="0"/>
        <v>46</v>
      </c>
      <c r="E25" t="s">
        <v>6</v>
      </c>
      <c r="F25">
        <v>8.4240000000000013</v>
      </c>
    </row>
    <row r="26" spans="1:6" hidden="1" x14ac:dyDescent="0.25">
      <c r="A26" t="s">
        <v>7</v>
      </c>
      <c r="B26" s="2">
        <v>45350</v>
      </c>
      <c r="C26">
        <v>2024</v>
      </c>
      <c r="D26">
        <f t="shared" si="0"/>
        <v>59</v>
      </c>
      <c r="E26" t="s">
        <v>6</v>
      </c>
      <c r="F26">
        <v>10.503</v>
      </c>
    </row>
    <row r="27" spans="1:6" hidden="1" x14ac:dyDescent="0.25">
      <c r="A27" t="s">
        <v>7</v>
      </c>
      <c r="B27" s="2">
        <v>45364</v>
      </c>
      <c r="C27">
        <v>2024</v>
      </c>
      <c r="D27">
        <f t="shared" si="0"/>
        <v>73</v>
      </c>
      <c r="E27" t="s">
        <v>6</v>
      </c>
      <c r="F27">
        <v>12.1472</v>
      </c>
    </row>
    <row r="28" spans="1:6" hidden="1" x14ac:dyDescent="0.25">
      <c r="A28" t="s">
        <v>7</v>
      </c>
      <c r="B28" s="2">
        <v>45378</v>
      </c>
      <c r="C28">
        <v>2024</v>
      </c>
      <c r="D28">
        <f t="shared" si="0"/>
        <v>87</v>
      </c>
      <c r="E28" t="s">
        <v>6</v>
      </c>
      <c r="F28">
        <v>13.311000000000002</v>
      </c>
    </row>
    <row r="29" spans="1:6" hidden="1" x14ac:dyDescent="0.25">
      <c r="A29" t="s">
        <v>7</v>
      </c>
      <c r="B29" s="2">
        <v>45390</v>
      </c>
      <c r="C29">
        <v>2024</v>
      </c>
      <c r="D29">
        <f t="shared" si="0"/>
        <v>99</v>
      </c>
      <c r="E29" t="s">
        <v>6</v>
      </c>
      <c r="F29">
        <v>12.973500000000001</v>
      </c>
    </row>
    <row r="30" spans="1:6" hidden="1" x14ac:dyDescent="0.25">
      <c r="A30" t="s">
        <v>7</v>
      </c>
      <c r="B30" s="2">
        <v>45404</v>
      </c>
      <c r="C30">
        <v>2024</v>
      </c>
      <c r="D30">
        <f t="shared" si="0"/>
        <v>113</v>
      </c>
      <c r="E30" t="s">
        <v>6</v>
      </c>
      <c r="F30">
        <v>14.267999999999999</v>
      </c>
    </row>
    <row r="31" spans="1:6" hidden="1" x14ac:dyDescent="0.25">
      <c r="A31" t="s">
        <v>7</v>
      </c>
      <c r="B31" s="2">
        <v>45414</v>
      </c>
      <c r="C31">
        <v>2024</v>
      </c>
      <c r="D31">
        <f t="shared" si="0"/>
        <v>123</v>
      </c>
      <c r="E31" t="s">
        <v>6</v>
      </c>
      <c r="F31">
        <v>15.624000000000001</v>
      </c>
    </row>
    <row r="32" spans="1:6" hidden="1" x14ac:dyDescent="0.25">
      <c r="A32" t="s">
        <v>7</v>
      </c>
      <c r="B32" s="2">
        <v>45425</v>
      </c>
      <c r="C32">
        <v>2024</v>
      </c>
      <c r="D32">
        <f t="shared" si="0"/>
        <v>134</v>
      </c>
      <c r="E32" t="s">
        <v>6</v>
      </c>
      <c r="F32">
        <v>15.652000000000001</v>
      </c>
    </row>
    <row r="33" spans="1:6" hidden="1" x14ac:dyDescent="0.25">
      <c r="A33" t="s">
        <v>7</v>
      </c>
      <c r="B33" s="2">
        <v>45439</v>
      </c>
      <c r="C33">
        <v>2024</v>
      </c>
      <c r="D33">
        <f t="shared" si="0"/>
        <v>148</v>
      </c>
      <c r="E33" t="s">
        <v>6</v>
      </c>
      <c r="F33">
        <v>14.858400000000001</v>
      </c>
    </row>
    <row r="34" spans="1:6" hidden="1" x14ac:dyDescent="0.25">
      <c r="A34" t="s">
        <v>7</v>
      </c>
      <c r="B34" s="2">
        <v>45454</v>
      </c>
      <c r="C34">
        <v>2024</v>
      </c>
      <c r="D34">
        <f t="shared" si="0"/>
        <v>163</v>
      </c>
      <c r="E34" t="s">
        <v>6</v>
      </c>
      <c r="F34">
        <v>14.500800000000002</v>
      </c>
    </row>
    <row r="35" spans="1:6" hidden="1" x14ac:dyDescent="0.25">
      <c r="A35" t="s">
        <v>7</v>
      </c>
      <c r="B35" s="2">
        <v>44595</v>
      </c>
      <c r="C35">
        <v>2022</v>
      </c>
      <c r="D35">
        <f t="shared" si="0"/>
        <v>34</v>
      </c>
      <c r="E35" t="s">
        <v>6</v>
      </c>
      <c r="F35">
        <v>9.6047999999999991</v>
      </c>
    </row>
    <row r="36" spans="1:6" hidden="1" x14ac:dyDescent="0.25">
      <c r="A36" t="s">
        <v>7</v>
      </c>
      <c r="B36" s="2">
        <v>44608</v>
      </c>
      <c r="C36">
        <v>2022</v>
      </c>
      <c r="D36">
        <f t="shared" si="0"/>
        <v>47</v>
      </c>
      <c r="E36" t="s">
        <v>6</v>
      </c>
      <c r="F36">
        <v>12.738</v>
      </c>
    </row>
    <row r="37" spans="1:6" hidden="1" x14ac:dyDescent="0.25">
      <c r="A37" t="s">
        <v>7</v>
      </c>
      <c r="B37" s="2">
        <v>44622</v>
      </c>
      <c r="C37">
        <v>2022</v>
      </c>
      <c r="D37">
        <f t="shared" si="0"/>
        <v>61</v>
      </c>
      <c r="E37" t="s">
        <v>6</v>
      </c>
      <c r="F37">
        <v>14.497</v>
      </c>
    </row>
    <row r="38" spans="1:6" hidden="1" x14ac:dyDescent="0.25">
      <c r="A38" t="s">
        <v>7</v>
      </c>
      <c r="B38" s="2">
        <v>44636</v>
      </c>
      <c r="C38">
        <v>2022</v>
      </c>
      <c r="D38">
        <f t="shared" si="0"/>
        <v>75</v>
      </c>
      <c r="E38" t="s">
        <v>6</v>
      </c>
      <c r="F38">
        <v>17.078399999999998</v>
      </c>
    </row>
    <row r="39" spans="1:6" hidden="1" x14ac:dyDescent="0.25">
      <c r="A39" t="s">
        <v>7</v>
      </c>
      <c r="B39" s="2">
        <v>44650</v>
      </c>
      <c r="C39">
        <v>2022</v>
      </c>
      <c r="D39">
        <f t="shared" si="0"/>
        <v>89</v>
      </c>
      <c r="E39" t="s">
        <v>6</v>
      </c>
      <c r="F39">
        <v>20.495999999999999</v>
      </c>
    </row>
    <row r="40" spans="1:6" hidden="1" x14ac:dyDescent="0.25">
      <c r="A40" t="s">
        <v>7</v>
      </c>
      <c r="B40" s="2">
        <v>44664</v>
      </c>
      <c r="C40">
        <v>2022</v>
      </c>
      <c r="D40">
        <f t="shared" si="0"/>
        <v>103</v>
      </c>
      <c r="E40" t="s">
        <v>6</v>
      </c>
      <c r="F40">
        <v>22.349699999999999</v>
      </c>
    </row>
    <row r="41" spans="1:6" hidden="1" x14ac:dyDescent="0.25">
      <c r="A41" t="s">
        <v>7</v>
      </c>
      <c r="B41" s="2">
        <v>44672</v>
      </c>
      <c r="C41">
        <v>2022</v>
      </c>
      <c r="D41">
        <f t="shared" si="0"/>
        <v>111</v>
      </c>
      <c r="E41" t="s">
        <v>6</v>
      </c>
      <c r="F41">
        <v>23.020800000000005</v>
      </c>
    </row>
    <row r="42" spans="1:6" hidden="1" x14ac:dyDescent="0.25">
      <c r="A42" t="s">
        <v>7</v>
      </c>
      <c r="B42" s="2">
        <v>44680</v>
      </c>
      <c r="C42">
        <v>2022</v>
      </c>
      <c r="D42">
        <f t="shared" si="0"/>
        <v>119</v>
      </c>
      <c r="E42" t="s">
        <v>6</v>
      </c>
      <c r="F42">
        <v>23.687999999999999</v>
      </c>
    </row>
    <row r="43" spans="1:6" hidden="1" x14ac:dyDescent="0.25">
      <c r="A43" t="s">
        <v>7</v>
      </c>
      <c r="B43" s="2">
        <v>44685</v>
      </c>
      <c r="C43">
        <v>2022</v>
      </c>
      <c r="D43">
        <f t="shared" si="0"/>
        <v>124</v>
      </c>
      <c r="E43" t="s">
        <v>6</v>
      </c>
      <c r="F43">
        <v>24.631799999999998</v>
      </c>
    </row>
    <row r="44" spans="1:6" hidden="1" x14ac:dyDescent="0.25">
      <c r="A44" t="s">
        <v>7</v>
      </c>
      <c r="B44" s="2">
        <v>44699</v>
      </c>
      <c r="C44">
        <v>2022</v>
      </c>
      <c r="D44">
        <f t="shared" si="0"/>
        <v>138</v>
      </c>
      <c r="E44" t="s">
        <v>6</v>
      </c>
      <c r="F44">
        <v>25.207600000000003</v>
      </c>
    </row>
    <row r="45" spans="1:6" hidden="1" x14ac:dyDescent="0.25">
      <c r="A45" t="s">
        <v>7</v>
      </c>
      <c r="B45" s="2">
        <v>44713</v>
      </c>
      <c r="C45">
        <v>2022</v>
      </c>
      <c r="D45">
        <f t="shared" si="0"/>
        <v>152</v>
      </c>
      <c r="E45" t="s">
        <v>6</v>
      </c>
      <c r="F45">
        <v>24.039699999999996</v>
      </c>
    </row>
    <row r="46" spans="1:6" hidden="1" x14ac:dyDescent="0.25">
      <c r="A46" t="s">
        <v>7</v>
      </c>
      <c r="B46" s="2">
        <v>44952</v>
      </c>
      <c r="C46">
        <v>2023</v>
      </c>
      <c r="D46">
        <f t="shared" si="0"/>
        <v>26</v>
      </c>
      <c r="E46" t="s">
        <v>6</v>
      </c>
      <c r="F46">
        <v>7.68</v>
      </c>
    </row>
    <row r="47" spans="1:6" hidden="1" x14ac:dyDescent="0.25">
      <c r="A47" t="s">
        <v>7</v>
      </c>
      <c r="B47" s="2">
        <v>44974</v>
      </c>
      <c r="C47">
        <v>2023</v>
      </c>
      <c r="D47">
        <f t="shared" si="0"/>
        <v>48</v>
      </c>
      <c r="E47" t="s">
        <v>6</v>
      </c>
      <c r="F47">
        <v>11.2468</v>
      </c>
    </row>
    <row r="48" spans="1:6" hidden="1" x14ac:dyDescent="0.25">
      <c r="A48" t="s">
        <v>7</v>
      </c>
      <c r="B48" s="2">
        <v>44984</v>
      </c>
      <c r="C48">
        <v>2023</v>
      </c>
      <c r="D48">
        <f t="shared" si="0"/>
        <v>58</v>
      </c>
      <c r="E48" t="s">
        <v>6</v>
      </c>
      <c r="F48">
        <v>14.643999999999998</v>
      </c>
    </row>
    <row r="49" spans="1:6" hidden="1" x14ac:dyDescent="0.25">
      <c r="A49" t="s">
        <v>7</v>
      </c>
      <c r="B49" s="2">
        <v>45000</v>
      </c>
      <c r="C49">
        <v>2023</v>
      </c>
      <c r="D49">
        <f t="shared" si="0"/>
        <v>74</v>
      </c>
      <c r="E49" t="s">
        <v>6</v>
      </c>
      <c r="F49">
        <v>18.2835</v>
      </c>
    </row>
    <row r="50" spans="1:6" hidden="1" x14ac:dyDescent="0.25">
      <c r="A50" t="s">
        <v>7</v>
      </c>
      <c r="B50" s="2">
        <v>45015</v>
      </c>
      <c r="C50">
        <v>2023</v>
      </c>
      <c r="D50">
        <f t="shared" si="0"/>
        <v>89</v>
      </c>
      <c r="E50" t="s">
        <v>6</v>
      </c>
      <c r="F50">
        <v>20.590500000000002</v>
      </c>
    </row>
    <row r="51" spans="1:6" hidden="1" x14ac:dyDescent="0.25">
      <c r="A51" t="s">
        <v>7</v>
      </c>
      <c r="B51" s="2">
        <v>45029</v>
      </c>
      <c r="C51">
        <v>2023</v>
      </c>
      <c r="D51">
        <f t="shared" si="0"/>
        <v>103</v>
      </c>
      <c r="E51" t="s">
        <v>6</v>
      </c>
      <c r="F51">
        <v>22.845600000000001</v>
      </c>
    </row>
    <row r="52" spans="1:6" hidden="1" x14ac:dyDescent="0.25">
      <c r="A52" t="s">
        <v>7</v>
      </c>
      <c r="B52" s="2">
        <v>45041</v>
      </c>
      <c r="C52">
        <v>2023</v>
      </c>
      <c r="D52">
        <f t="shared" si="0"/>
        <v>115</v>
      </c>
      <c r="E52" t="s">
        <v>6</v>
      </c>
      <c r="F52">
        <v>23.795200000000001</v>
      </c>
    </row>
    <row r="53" spans="1:6" hidden="1" x14ac:dyDescent="0.25">
      <c r="A53" t="s">
        <v>7</v>
      </c>
      <c r="B53" s="2">
        <v>45049</v>
      </c>
      <c r="C53">
        <v>2023</v>
      </c>
      <c r="D53">
        <f t="shared" si="0"/>
        <v>123</v>
      </c>
      <c r="E53" t="s">
        <v>6</v>
      </c>
      <c r="F53">
        <v>24.320799999999998</v>
      </c>
    </row>
    <row r="54" spans="1:6" hidden="1" x14ac:dyDescent="0.25">
      <c r="A54" t="s">
        <v>7</v>
      </c>
      <c r="B54" s="2">
        <v>45062</v>
      </c>
      <c r="C54">
        <v>2023</v>
      </c>
      <c r="D54">
        <f t="shared" si="0"/>
        <v>136</v>
      </c>
      <c r="E54" t="s">
        <v>6</v>
      </c>
      <c r="F54">
        <v>24.446999999999999</v>
      </c>
    </row>
    <row r="55" spans="1:6" hidden="1" x14ac:dyDescent="0.25">
      <c r="A55" t="s">
        <v>7</v>
      </c>
      <c r="B55" s="2">
        <v>45077</v>
      </c>
      <c r="C55">
        <v>2023</v>
      </c>
      <c r="D55">
        <f t="shared" si="0"/>
        <v>151</v>
      </c>
      <c r="E55" t="s">
        <v>6</v>
      </c>
      <c r="F55">
        <v>24.847199999999997</v>
      </c>
    </row>
    <row r="56" spans="1:6" hidden="1" x14ac:dyDescent="0.25">
      <c r="A56" t="s">
        <v>7</v>
      </c>
      <c r="B56" s="2">
        <v>45083</v>
      </c>
      <c r="C56">
        <v>2023</v>
      </c>
      <c r="D56">
        <f t="shared" si="0"/>
        <v>157</v>
      </c>
      <c r="E56" t="s">
        <v>6</v>
      </c>
      <c r="F56">
        <v>22.531999999999996</v>
      </c>
    </row>
    <row r="57" spans="1:6" hidden="1" x14ac:dyDescent="0.25">
      <c r="A57" t="s">
        <v>7</v>
      </c>
      <c r="B57" s="2">
        <v>44595</v>
      </c>
      <c r="C57">
        <v>2022</v>
      </c>
      <c r="D57">
        <f t="shared" si="0"/>
        <v>34</v>
      </c>
      <c r="E57" t="s">
        <v>6</v>
      </c>
      <c r="F57">
        <v>7.4561999999999991</v>
      </c>
    </row>
    <row r="58" spans="1:6" hidden="1" x14ac:dyDescent="0.25">
      <c r="A58" t="s">
        <v>7</v>
      </c>
      <c r="B58" s="2">
        <v>44608</v>
      </c>
      <c r="C58">
        <v>2022</v>
      </c>
      <c r="D58">
        <f t="shared" si="0"/>
        <v>47</v>
      </c>
      <c r="E58" t="s">
        <v>6</v>
      </c>
      <c r="F58">
        <v>11.081100000000001</v>
      </c>
    </row>
    <row r="59" spans="1:6" hidden="1" x14ac:dyDescent="0.25">
      <c r="A59" t="s">
        <v>7</v>
      </c>
      <c r="B59" s="2">
        <v>44622</v>
      </c>
      <c r="C59">
        <v>2022</v>
      </c>
      <c r="D59">
        <f t="shared" si="0"/>
        <v>61</v>
      </c>
      <c r="E59" t="s">
        <v>6</v>
      </c>
      <c r="F59">
        <v>12.922000000000001</v>
      </c>
    </row>
    <row r="60" spans="1:6" hidden="1" x14ac:dyDescent="0.25">
      <c r="A60" t="s">
        <v>7</v>
      </c>
      <c r="B60" s="2">
        <v>44636</v>
      </c>
      <c r="C60">
        <v>2022</v>
      </c>
      <c r="D60">
        <f t="shared" si="0"/>
        <v>75</v>
      </c>
      <c r="E60" t="s">
        <v>6</v>
      </c>
      <c r="F60">
        <v>16.5564</v>
      </c>
    </row>
    <row r="61" spans="1:6" hidden="1" x14ac:dyDescent="0.25">
      <c r="A61" t="s">
        <v>7</v>
      </c>
      <c r="B61" s="2">
        <v>44650</v>
      </c>
      <c r="C61">
        <v>2022</v>
      </c>
      <c r="D61">
        <f t="shared" si="0"/>
        <v>89</v>
      </c>
      <c r="E61" t="s">
        <v>6</v>
      </c>
      <c r="F61">
        <v>17.243100000000002</v>
      </c>
    </row>
    <row r="62" spans="1:6" hidden="1" x14ac:dyDescent="0.25">
      <c r="A62" t="s">
        <v>7</v>
      </c>
      <c r="B62" s="2">
        <v>44664</v>
      </c>
      <c r="C62">
        <v>2022</v>
      </c>
      <c r="D62">
        <f t="shared" si="0"/>
        <v>103</v>
      </c>
      <c r="E62" t="s">
        <v>6</v>
      </c>
      <c r="F62">
        <v>18.874200000000002</v>
      </c>
    </row>
    <row r="63" spans="1:6" hidden="1" x14ac:dyDescent="0.25">
      <c r="A63" t="s">
        <v>7</v>
      </c>
      <c r="B63" s="2">
        <v>44673</v>
      </c>
      <c r="C63">
        <v>2022</v>
      </c>
      <c r="D63">
        <f t="shared" si="0"/>
        <v>112</v>
      </c>
      <c r="E63" t="s">
        <v>6</v>
      </c>
      <c r="F63">
        <v>19.495000000000001</v>
      </c>
    </row>
    <row r="64" spans="1:6" hidden="1" x14ac:dyDescent="0.25">
      <c r="A64" t="s">
        <v>7</v>
      </c>
      <c r="B64" s="2">
        <v>44680</v>
      </c>
      <c r="C64">
        <v>2022</v>
      </c>
      <c r="D64">
        <f t="shared" si="0"/>
        <v>119</v>
      </c>
      <c r="E64" t="s">
        <v>6</v>
      </c>
      <c r="F64">
        <v>20.399199999999997</v>
      </c>
    </row>
    <row r="65" spans="1:6" hidden="1" x14ac:dyDescent="0.25">
      <c r="A65" t="s">
        <v>7</v>
      </c>
      <c r="B65" s="2">
        <v>44685</v>
      </c>
      <c r="C65">
        <v>2022</v>
      </c>
      <c r="D65">
        <f t="shared" si="0"/>
        <v>124</v>
      </c>
      <c r="E65" t="s">
        <v>6</v>
      </c>
      <c r="F65">
        <v>22.8123</v>
      </c>
    </row>
    <row r="66" spans="1:6" hidden="1" x14ac:dyDescent="0.25">
      <c r="A66" t="s">
        <v>7</v>
      </c>
      <c r="B66" s="2">
        <v>44699</v>
      </c>
      <c r="C66">
        <v>2022</v>
      </c>
      <c r="D66">
        <f t="shared" ref="D66:D129" si="1">B66-DATE(YEAR(B66),1,0)</f>
        <v>138</v>
      </c>
      <c r="E66" t="s">
        <v>6</v>
      </c>
      <c r="F66">
        <v>22.352000000000004</v>
      </c>
    </row>
    <row r="67" spans="1:6" hidden="1" x14ac:dyDescent="0.25">
      <c r="A67" t="s">
        <v>7</v>
      </c>
      <c r="B67" s="2">
        <v>44713</v>
      </c>
      <c r="C67">
        <v>2022</v>
      </c>
      <c r="D67">
        <f t="shared" si="1"/>
        <v>152</v>
      </c>
      <c r="E67" t="s">
        <v>6</v>
      </c>
      <c r="F67">
        <v>22.697199999999999</v>
      </c>
    </row>
    <row r="68" spans="1:6" hidden="1" x14ac:dyDescent="0.25">
      <c r="A68" t="s">
        <v>7</v>
      </c>
      <c r="B68" s="2">
        <v>44952</v>
      </c>
      <c r="C68">
        <v>2023</v>
      </c>
      <c r="D68">
        <f t="shared" si="1"/>
        <v>26</v>
      </c>
      <c r="E68" t="s">
        <v>6</v>
      </c>
      <c r="F68">
        <v>7.3137999999999996</v>
      </c>
    </row>
    <row r="69" spans="1:6" hidden="1" x14ac:dyDescent="0.25">
      <c r="A69" t="s">
        <v>7</v>
      </c>
      <c r="B69" s="2">
        <v>44973</v>
      </c>
      <c r="C69">
        <v>2023</v>
      </c>
      <c r="D69">
        <f t="shared" si="1"/>
        <v>47</v>
      </c>
      <c r="E69" t="s">
        <v>6</v>
      </c>
      <c r="F69">
        <v>11.023599999999998</v>
      </c>
    </row>
    <row r="70" spans="1:6" hidden="1" x14ac:dyDescent="0.25">
      <c r="A70" t="s">
        <v>7</v>
      </c>
      <c r="B70" s="2">
        <v>44987</v>
      </c>
      <c r="C70">
        <v>2023</v>
      </c>
      <c r="D70">
        <f t="shared" si="1"/>
        <v>61</v>
      </c>
      <c r="E70" t="s">
        <v>6</v>
      </c>
      <c r="F70">
        <v>13.492799999999999</v>
      </c>
    </row>
    <row r="71" spans="1:6" hidden="1" x14ac:dyDescent="0.25">
      <c r="A71" t="s">
        <v>7</v>
      </c>
      <c r="B71" s="2">
        <v>45001</v>
      </c>
      <c r="C71">
        <v>2023</v>
      </c>
      <c r="D71">
        <f t="shared" si="1"/>
        <v>75</v>
      </c>
      <c r="E71" t="s">
        <v>6</v>
      </c>
      <c r="F71">
        <v>16.840599999999998</v>
      </c>
    </row>
    <row r="72" spans="1:6" hidden="1" x14ac:dyDescent="0.25">
      <c r="A72" t="s">
        <v>7</v>
      </c>
      <c r="B72" s="2">
        <v>45014</v>
      </c>
      <c r="C72">
        <v>2023</v>
      </c>
      <c r="D72">
        <f t="shared" si="1"/>
        <v>88</v>
      </c>
      <c r="E72" t="s">
        <v>6</v>
      </c>
      <c r="F72">
        <v>19.481999999999999</v>
      </c>
    </row>
    <row r="73" spans="1:6" hidden="1" x14ac:dyDescent="0.25">
      <c r="A73" t="s">
        <v>7</v>
      </c>
      <c r="B73" s="2">
        <v>45029</v>
      </c>
      <c r="C73">
        <v>2023</v>
      </c>
      <c r="D73">
        <f t="shared" si="1"/>
        <v>103</v>
      </c>
      <c r="E73" t="s">
        <v>6</v>
      </c>
      <c r="F73">
        <v>22.633600000000001</v>
      </c>
    </row>
    <row r="74" spans="1:6" hidden="1" x14ac:dyDescent="0.25">
      <c r="A74" t="s">
        <v>7</v>
      </c>
      <c r="B74" s="2">
        <v>45041</v>
      </c>
      <c r="C74">
        <v>2023</v>
      </c>
      <c r="D74">
        <f t="shared" si="1"/>
        <v>115</v>
      </c>
      <c r="E74" t="s">
        <v>6</v>
      </c>
      <c r="F74">
        <v>24.105599999999999</v>
      </c>
    </row>
    <row r="75" spans="1:6" hidden="1" x14ac:dyDescent="0.25">
      <c r="A75" t="s">
        <v>7</v>
      </c>
      <c r="B75" s="2">
        <v>45049</v>
      </c>
      <c r="C75">
        <v>2023</v>
      </c>
      <c r="D75">
        <f t="shared" si="1"/>
        <v>123</v>
      </c>
      <c r="E75" t="s">
        <v>6</v>
      </c>
      <c r="F75">
        <v>25.936899999999994</v>
      </c>
    </row>
    <row r="76" spans="1:6" hidden="1" x14ac:dyDescent="0.25">
      <c r="A76" t="s">
        <v>7</v>
      </c>
      <c r="B76" s="2">
        <v>45062</v>
      </c>
      <c r="C76">
        <v>2023</v>
      </c>
      <c r="D76">
        <f t="shared" si="1"/>
        <v>136</v>
      </c>
      <c r="E76" t="s">
        <v>6</v>
      </c>
      <c r="F76">
        <v>24.915800000000001</v>
      </c>
    </row>
    <row r="77" spans="1:6" hidden="1" x14ac:dyDescent="0.25">
      <c r="A77" t="s">
        <v>7</v>
      </c>
      <c r="B77" s="2">
        <v>45076</v>
      </c>
      <c r="C77">
        <v>2023</v>
      </c>
      <c r="D77">
        <f t="shared" si="1"/>
        <v>150</v>
      </c>
      <c r="E77" t="s">
        <v>6</v>
      </c>
      <c r="F77">
        <v>24.590499999999999</v>
      </c>
    </row>
    <row r="78" spans="1:6" hidden="1" x14ac:dyDescent="0.25">
      <c r="A78" t="s">
        <v>7</v>
      </c>
      <c r="B78" s="2">
        <v>45083</v>
      </c>
      <c r="C78">
        <v>2023</v>
      </c>
      <c r="D78">
        <f t="shared" si="1"/>
        <v>157</v>
      </c>
      <c r="E78" t="s">
        <v>6</v>
      </c>
      <c r="F78">
        <v>25.136999999999997</v>
      </c>
    </row>
    <row r="79" spans="1:6" hidden="1" x14ac:dyDescent="0.25">
      <c r="A79" t="s">
        <v>7</v>
      </c>
      <c r="B79" s="2">
        <v>45314</v>
      </c>
      <c r="C79">
        <v>2024</v>
      </c>
      <c r="D79">
        <f t="shared" si="1"/>
        <v>23</v>
      </c>
      <c r="E79" t="s">
        <v>6</v>
      </c>
      <c r="F79">
        <v>5.7376000000000014</v>
      </c>
    </row>
    <row r="80" spans="1:6" hidden="1" x14ac:dyDescent="0.25">
      <c r="A80" t="s">
        <v>7</v>
      </c>
      <c r="B80" s="2">
        <v>45337</v>
      </c>
      <c r="C80">
        <v>2024</v>
      </c>
      <c r="D80">
        <f t="shared" si="1"/>
        <v>46</v>
      </c>
      <c r="E80" t="s">
        <v>6</v>
      </c>
      <c r="F80">
        <v>10.566399999999998</v>
      </c>
    </row>
    <row r="81" spans="1:6" hidden="1" x14ac:dyDescent="0.25">
      <c r="A81" t="s">
        <v>7</v>
      </c>
      <c r="B81" s="2">
        <v>45348</v>
      </c>
      <c r="C81">
        <v>2024</v>
      </c>
      <c r="D81">
        <f t="shared" si="1"/>
        <v>57</v>
      </c>
      <c r="E81" t="s">
        <v>6</v>
      </c>
      <c r="F81">
        <v>11.4376</v>
      </c>
    </row>
    <row r="82" spans="1:6" hidden="1" x14ac:dyDescent="0.25">
      <c r="A82" t="s">
        <v>7</v>
      </c>
      <c r="B82" s="2">
        <v>45365</v>
      </c>
      <c r="C82">
        <v>2024</v>
      </c>
      <c r="D82">
        <f t="shared" si="1"/>
        <v>74</v>
      </c>
      <c r="E82" t="s">
        <v>6</v>
      </c>
      <c r="F82">
        <v>14.351400000000002</v>
      </c>
    </row>
    <row r="83" spans="1:6" hidden="1" x14ac:dyDescent="0.25">
      <c r="A83" t="s">
        <v>7</v>
      </c>
      <c r="B83" s="2">
        <v>45379</v>
      </c>
      <c r="C83">
        <v>2024</v>
      </c>
      <c r="D83">
        <f t="shared" si="1"/>
        <v>88</v>
      </c>
      <c r="E83" t="s">
        <v>6</v>
      </c>
      <c r="F83">
        <v>16.467200000000002</v>
      </c>
    </row>
    <row r="84" spans="1:6" hidden="1" x14ac:dyDescent="0.25">
      <c r="A84" t="s">
        <v>7</v>
      </c>
      <c r="B84" s="2">
        <v>45393</v>
      </c>
      <c r="C84">
        <v>2024</v>
      </c>
      <c r="D84">
        <f t="shared" si="1"/>
        <v>102</v>
      </c>
      <c r="E84" t="s">
        <v>6</v>
      </c>
      <c r="F84">
        <v>17.629000000000001</v>
      </c>
    </row>
    <row r="85" spans="1:6" hidden="1" x14ac:dyDescent="0.25">
      <c r="A85" t="s">
        <v>7</v>
      </c>
      <c r="B85" s="2">
        <v>45407</v>
      </c>
      <c r="C85">
        <v>2024</v>
      </c>
      <c r="D85">
        <f t="shared" si="1"/>
        <v>116</v>
      </c>
      <c r="E85" t="s">
        <v>6</v>
      </c>
      <c r="F85">
        <v>18.948599999999999</v>
      </c>
    </row>
    <row r="86" spans="1:6" hidden="1" x14ac:dyDescent="0.25">
      <c r="A86" t="s">
        <v>7</v>
      </c>
      <c r="B86" s="2">
        <v>45414</v>
      </c>
      <c r="C86">
        <v>2024</v>
      </c>
      <c r="D86">
        <f t="shared" si="1"/>
        <v>123</v>
      </c>
      <c r="E86" t="s">
        <v>6</v>
      </c>
      <c r="F86">
        <v>20.6096</v>
      </c>
    </row>
    <row r="87" spans="1:6" hidden="1" x14ac:dyDescent="0.25">
      <c r="A87" t="s">
        <v>7</v>
      </c>
      <c r="B87" s="2">
        <v>45425</v>
      </c>
      <c r="C87">
        <v>2024</v>
      </c>
      <c r="D87">
        <f t="shared" si="1"/>
        <v>134</v>
      </c>
      <c r="E87" t="s">
        <v>6</v>
      </c>
      <c r="F87">
        <v>20.810399999999994</v>
      </c>
    </row>
    <row r="88" spans="1:6" hidden="1" x14ac:dyDescent="0.25">
      <c r="A88" t="s">
        <v>7</v>
      </c>
      <c r="B88" s="2">
        <v>45441</v>
      </c>
      <c r="C88">
        <v>2024</v>
      </c>
      <c r="D88">
        <f t="shared" si="1"/>
        <v>150</v>
      </c>
      <c r="E88" t="s">
        <v>6</v>
      </c>
      <c r="F88">
        <v>20.833099999999998</v>
      </c>
    </row>
    <row r="89" spans="1:6" hidden="1" x14ac:dyDescent="0.25">
      <c r="A89" t="s">
        <v>7</v>
      </c>
      <c r="B89" s="2">
        <v>45453</v>
      </c>
      <c r="C89">
        <v>2024</v>
      </c>
      <c r="D89">
        <f t="shared" si="1"/>
        <v>162</v>
      </c>
      <c r="E89" t="s">
        <v>6</v>
      </c>
      <c r="F89">
        <v>20.495499999999996</v>
      </c>
    </row>
    <row r="90" spans="1:6" hidden="1" x14ac:dyDescent="0.25">
      <c r="A90" t="s">
        <v>7</v>
      </c>
      <c r="B90" s="2">
        <v>44595</v>
      </c>
      <c r="C90">
        <f>YEAR((B90))</f>
        <v>2022</v>
      </c>
      <c r="D90">
        <f t="shared" si="1"/>
        <v>34</v>
      </c>
      <c r="E90" t="s">
        <v>6</v>
      </c>
      <c r="F90">
        <v>6.96</v>
      </c>
    </row>
    <row r="91" spans="1:6" hidden="1" x14ac:dyDescent="0.25">
      <c r="A91" t="s">
        <v>7</v>
      </c>
      <c r="B91" s="2">
        <v>44608</v>
      </c>
      <c r="C91">
        <f t="shared" ref="C91:C122" si="2">YEAR((B91))</f>
        <v>2022</v>
      </c>
      <c r="D91">
        <f t="shared" si="1"/>
        <v>47</v>
      </c>
      <c r="E91" t="s">
        <v>6</v>
      </c>
      <c r="F91">
        <v>9.7843999999999998</v>
      </c>
    </row>
    <row r="92" spans="1:6" hidden="1" x14ac:dyDescent="0.25">
      <c r="A92" t="s">
        <v>7</v>
      </c>
      <c r="B92" s="2">
        <v>44622</v>
      </c>
      <c r="C92">
        <f t="shared" si="2"/>
        <v>2022</v>
      </c>
      <c r="D92">
        <f t="shared" si="1"/>
        <v>61</v>
      </c>
      <c r="E92" t="s">
        <v>6</v>
      </c>
      <c r="F92">
        <v>12.097799999999999</v>
      </c>
    </row>
    <row r="93" spans="1:6" hidden="1" x14ac:dyDescent="0.25">
      <c r="A93" t="s">
        <v>7</v>
      </c>
      <c r="B93" s="2">
        <v>44636</v>
      </c>
      <c r="C93">
        <f t="shared" si="2"/>
        <v>2022</v>
      </c>
      <c r="D93">
        <f t="shared" si="1"/>
        <v>75</v>
      </c>
      <c r="E93" t="s">
        <v>6</v>
      </c>
      <c r="F93">
        <v>13.3996</v>
      </c>
    </row>
    <row r="94" spans="1:6" hidden="1" x14ac:dyDescent="0.25">
      <c r="A94" t="s">
        <v>7</v>
      </c>
      <c r="B94" s="2">
        <v>44650</v>
      </c>
      <c r="C94">
        <f t="shared" si="2"/>
        <v>2022</v>
      </c>
      <c r="D94">
        <f t="shared" si="1"/>
        <v>89</v>
      </c>
      <c r="E94" t="s">
        <v>6</v>
      </c>
      <c r="F94">
        <v>18.352399999999999</v>
      </c>
    </row>
    <row r="95" spans="1:6" hidden="1" x14ac:dyDescent="0.25">
      <c r="A95" t="s">
        <v>7</v>
      </c>
      <c r="B95" s="2">
        <v>44664</v>
      </c>
      <c r="C95">
        <f t="shared" si="2"/>
        <v>2022</v>
      </c>
      <c r="D95">
        <f t="shared" si="1"/>
        <v>103</v>
      </c>
      <c r="E95" t="s">
        <v>6</v>
      </c>
      <c r="F95">
        <v>17.783999999999999</v>
      </c>
    </row>
    <row r="96" spans="1:6" hidden="1" x14ac:dyDescent="0.25">
      <c r="A96" t="s">
        <v>7</v>
      </c>
      <c r="B96" s="2">
        <v>44673</v>
      </c>
      <c r="C96">
        <f t="shared" si="2"/>
        <v>2022</v>
      </c>
      <c r="D96">
        <f t="shared" si="1"/>
        <v>112</v>
      </c>
      <c r="E96" t="s">
        <v>6</v>
      </c>
      <c r="F96">
        <v>17.6967</v>
      </c>
    </row>
    <row r="97" spans="1:6" hidden="1" x14ac:dyDescent="0.25">
      <c r="A97" t="s">
        <v>7</v>
      </c>
      <c r="B97" s="2">
        <v>44680</v>
      </c>
      <c r="C97">
        <f t="shared" si="2"/>
        <v>2022</v>
      </c>
      <c r="D97">
        <f t="shared" si="1"/>
        <v>119</v>
      </c>
      <c r="E97" t="s">
        <v>6</v>
      </c>
      <c r="F97">
        <v>19.3248</v>
      </c>
    </row>
    <row r="98" spans="1:6" hidden="1" x14ac:dyDescent="0.25">
      <c r="A98" t="s">
        <v>7</v>
      </c>
      <c r="B98" s="2">
        <v>44685</v>
      </c>
      <c r="C98">
        <f>YEAR((B98))</f>
        <v>2022</v>
      </c>
      <c r="D98">
        <f t="shared" si="1"/>
        <v>124</v>
      </c>
      <c r="E98" t="s">
        <v>6</v>
      </c>
      <c r="F98">
        <v>20.511399999999998</v>
      </c>
    </row>
    <row r="99" spans="1:6" hidden="1" x14ac:dyDescent="0.25">
      <c r="A99" t="s">
        <v>7</v>
      </c>
      <c r="B99" s="2">
        <v>44699</v>
      </c>
      <c r="C99">
        <f t="shared" si="2"/>
        <v>2022</v>
      </c>
      <c r="D99">
        <f t="shared" si="1"/>
        <v>138</v>
      </c>
      <c r="E99" t="s">
        <v>6</v>
      </c>
      <c r="F99">
        <v>20.461199999999998</v>
      </c>
    </row>
    <row r="100" spans="1:6" hidden="1" x14ac:dyDescent="0.25">
      <c r="A100" t="s">
        <v>7</v>
      </c>
      <c r="B100" s="2">
        <v>44713</v>
      </c>
      <c r="C100">
        <f t="shared" si="2"/>
        <v>2022</v>
      </c>
      <c r="D100">
        <f t="shared" si="1"/>
        <v>152</v>
      </c>
      <c r="E100" t="s">
        <v>6</v>
      </c>
      <c r="F100">
        <v>21.339900000000004</v>
      </c>
    </row>
    <row r="101" spans="1:6" hidden="1" x14ac:dyDescent="0.25">
      <c r="A101" t="s">
        <v>7</v>
      </c>
      <c r="B101" s="2">
        <v>44950</v>
      </c>
      <c r="C101">
        <f t="shared" si="2"/>
        <v>2023</v>
      </c>
      <c r="D101">
        <f t="shared" si="1"/>
        <v>24</v>
      </c>
      <c r="E101" t="s">
        <v>6</v>
      </c>
      <c r="F101">
        <v>5.7330000000000005</v>
      </c>
    </row>
    <row r="102" spans="1:6" hidden="1" x14ac:dyDescent="0.25">
      <c r="A102" t="s">
        <v>7</v>
      </c>
      <c r="B102" s="2">
        <v>44974</v>
      </c>
      <c r="C102">
        <f t="shared" si="2"/>
        <v>2023</v>
      </c>
      <c r="D102">
        <f t="shared" si="1"/>
        <v>48</v>
      </c>
      <c r="E102" t="s">
        <v>6</v>
      </c>
      <c r="F102">
        <v>8.2151000000000014</v>
      </c>
    </row>
    <row r="103" spans="1:6" hidden="1" x14ac:dyDescent="0.25">
      <c r="A103" t="s">
        <v>7</v>
      </c>
      <c r="B103" s="2">
        <v>44987</v>
      </c>
      <c r="C103">
        <f t="shared" si="2"/>
        <v>2023</v>
      </c>
      <c r="D103">
        <f t="shared" si="1"/>
        <v>61</v>
      </c>
      <c r="E103" t="s">
        <v>6</v>
      </c>
      <c r="F103">
        <v>10.610999999999999</v>
      </c>
    </row>
    <row r="104" spans="1:6" hidden="1" x14ac:dyDescent="0.25">
      <c r="A104" t="s">
        <v>7</v>
      </c>
      <c r="B104" s="2">
        <v>45001</v>
      </c>
      <c r="C104">
        <f t="shared" si="2"/>
        <v>2023</v>
      </c>
      <c r="D104">
        <f t="shared" si="1"/>
        <v>75</v>
      </c>
      <c r="E104" t="s">
        <v>6</v>
      </c>
      <c r="F104">
        <v>13.234500000000001</v>
      </c>
    </row>
    <row r="105" spans="1:6" hidden="1" x14ac:dyDescent="0.25">
      <c r="A105" t="s">
        <v>7</v>
      </c>
      <c r="B105" s="2">
        <v>45014</v>
      </c>
      <c r="C105">
        <f t="shared" si="2"/>
        <v>2023</v>
      </c>
      <c r="D105">
        <f t="shared" si="1"/>
        <v>88</v>
      </c>
      <c r="E105" t="s">
        <v>6</v>
      </c>
      <c r="F105">
        <v>15.264000000000001</v>
      </c>
    </row>
    <row r="106" spans="1:6" hidden="1" x14ac:dyDescent="0.25">
      <c r="A106" t="s">
        <v>7</v>
      </c>
      <c r="B106" s="2">
        <v>45031</v>
      </c>
      <c r="C106">
        <f t="shared" si="2"/>
        <v>2023</v>
      </c>
      <c r="D106">
        <f t="shared" si="1"/>
        <v>105</v>
      </c>
      <c r="E106" t="s">
        <v>6</v>
      </c>
      <c r="F106">
        <v>16.933800000000002</v>
      </c>
    </row>
    <row r="107" spans="1:6" hidden="1" x14ac:dyDescent="0.25">
      <c r="A107" t="s">
        <v>7</v>
      </c>
      <c r="B107" s="2">
        <v>45041</v>
      </c>
      <c r="C107">
        <f t="shared" si="2"/>
        <v>2023</v>
      </c>
      <c r="D107">
        <f t="shared" si="1"/>
        <v>115</v>
      </c>
      <c r="E107" t="s">
        <v>6</v>
      </c>
      <c r="F107">
        <v>18.791999999999998</v>
      </c>
    </row>
    <row r="108" spans="1:6" hidden="1" x14ac:dyDescent="0.25">
      <c r="A108" t="s">
        <v>7</v>
      </c>
      <c r="B108" s="2">
        <v>45049</v>
      </c>
      <c r="C108">
        <f t="shared" si="2"/>
        <v>2023</v>
      </c>
      <c r="D108">
        <f t="shared" si="1"/>
        <v>123</v>
      </c>
      <c r="E108" t="s">
        <v>6</v>
      </c>
      <c r="F108">
        <v>19.670000000000002</v>
      </c>
    </row>
    <row r="109" spans="1:6" hidden="1" x14ac:dyDescent="0.25">
      <c r="A109" t="s">
        <v>7</v>
      </c>
      <c r="B109" s="2">
        <v>45062</v>
      </c>
      <c r="C109">
        <f t="shared" si="2"/>
        <v>2023</v>
      </c>
      <c r="D109">
        <f t="shared" si="1"/>
        <v>136</v>
      </c>
      <c r="E109" t="s">
        <v>6</v>
      </c>
      <c r="F109">
        <v>20.914999999999999</v>
      </c>
    </row>
    <row r="110" spans="1:6" hidden="1" x14ac:dyDescent="0.25">
      <c r="A110" t="s">
        <v>7</v>
      </c>
      <c r="B110" s="2">
        <v>45077</v>
      </c>
      <c r="C110">
        <f t="shared" si="2"/>
        <v>2023</v>
      </c>
      <c r="D110">
        <f t="shared" si="1"/>
        <v>151</v>
      </c>
      <c r="E110" t="s">
        <v>6</v>
      </c>
      <c r="F110">
        <v>20.790399999999998</v>
      </c>
    </row>
    <row r="111" spans="1:6" hidden="1" x14ac:dyDescent="0.25">
      <c r="A111" t="s">
        <v>7</v>
      </c>
      <c r="B111" s="2">
        <v>45083</v>
      </c>
      <c r="C111">
        <f t="shared" si="2"/>
        <v>2023</v>
      </c>
      <c r="D111">
        <f t="shared" si="1"/>
        <v>157</v>
      </c>
      <c r="E111" t="s">
        <v>6</v>
      </c>
      <c r="F111">
        <v>20.262799999999999</v>
      </c>
    </row>
    <row r="112" spans="1:6" hidden="1" x14ac:dyDescent="0.25">
      <c r="A112" t="s">
        <v>7</v>
      </c>
      <c r="B112" s="2">
        <v>45314</v>
      </c>
      <c r="C112">
        <f t="shared" si="2"/>
        <v>2024</v>
      </c>
      <c r="D112">
        <f t="shared" si="1"/>
        <v>23</v>
      </c>
      <c r="E112" t="s">
        <v>6</v>
      </c>
      <c r="F112">
        <v>4.9717000000000002</v>
      </c>
    </row>
    <row r="113" spans="1:6" hidden="1" x14ac:dyDescent="0.25">
      <c r="A113" t="s">
        <v>7</v>
      </c>
      <c r="B113" s="2">
        <v>45336</v>
      </c>
      <c r="C113">
        <f t="shared" si="2"/>
        <v>2024</v>
      </c>
      <c r="D113">
        <f t="shared" si="1"/>
        <v>45</v>
      </c>
      <c r="E113" t="s">
        <v>6</v>
      </c>
      <c r="F113">
        <v>7.9373000000000005</v>
      </c>
    </row>
    <row r="114" spans="1:6" hidden="1" x14ac:dyDescent="0.25">
      <c r="A114" t="s">
        <v>7</v>
      </c>
      <c r="B114" s="2">
        <v>45348</v>
      </c>
      <c r="C114">
        <f t="shared" si="2"/>
        <v>2024</v>
      </c>
      <c r="D114">
        <f t="shared" si="1"/>
        <v>57</v>
      </c>
      <c r="E114" t="s">
        <v>6</v>
      </c>
      <c r="F114">
        <v>10.111500000000001</v>
      </c>
    </row>
    <row r="115" spans="1:6" hidden="1" x14ac:dyDescent="0.25">
      <c r="A115" t="s">
        <v>7</v>
      </c>
      <c r="B115" s="2">
        <v>45365</v>
      </c>
      <c r="C115">
        <f t="shared" si="2"/>
        <v>2024</v>
      </c>
      <c r="D115">
        <f t="shared" si="1"/>
        <v>74</v>
      </c>
      <c r="E115" t="s">
        <v>6</v>
      </c>
      <c r="F115">
        <v>12.935199999999998</v>
      </c>
    </row>
    <row r="116" spans="1:6" hidden="1" x14ac:dyDescent="0.25">
      <c r="A116" t="s">
        <v>7</v>
      </c>
      <c r="B116" s="2">
        <v>45379</v>
      </c>
      <c r="C116">
        <f t="shared" si="2"/>
        <v>2024</v>
      </c>
      <c r="D116">
        <f t="shared" si="1"/>
        <v>88</v>
      </c>
      <c r="E116" t="s">
        <v>6</v>
      </c>
      <c r="F116">
        <v>14.8748</v>
      </c>
    </row>
    <row r="117" spans="1:6" hidden="1" x14ac:dyDescent="0.25">
      <c r="A117" t="s">
        <v>7</v>
      </c>
      <c r="B117" s="2">
        <v>45390</v>
      </c>
      <c r="C117">
        <f t="shared" si="2"/>
        <v>2024</v>
      </c>
      <c r="D117">
        <f t="shared" si="1"/>
        <v>99</v>
      </c>
      <c r="E117" t="s">
        <v>6</v>
      </c>
      <c r="F117">
        <v>15.4224</v>
      </c>
    </row>
    <row r="118" spans="1:6" hidden="1" x14ac:dyDescent="0.25">
      <c r="A118" t="s">
        <v>7</v>
      </c>
      <c r="B118" s="2">
        <v>45404</v>
      </c>
      <c r="C118">
        <f t="shared" si="2"/>
        <v>2024</v>
      </c>
      <c r="D118">
        <f t="shared" si="1"/>
        <v>113</v>
      </c>
      <c r="E118" t="s">
        <v>6</v>
      </c>
      <c r="F118">
        <v>16.8904</v>
      </c>
    </row>
    <row r="119" spans="1:6" hidden="1" x14ac:dyDescent="0.25">
      <c r="A119" t="s">
        <v>7</v>
      </c>
      <c r="B119" s="2">
        <v>45413</v>
      </c>
      <c r="C119">
        <f t="shared" si="2"/>
        <v>2024</v>
      </c>
      <c r="D119">
        <f t="shared" si="1"/>
        <v>122</v>
      </c>
      <c r="E119" t="s">
        <v>6</v>
      </c>
      <c r="F119">
        <v>18.000899999999998</v>
      </c>
    </row>
    <row r="120" spans="1:6" hidden="1" x14ac:dyDescent="0.25">
      <c r="A120" t="s">
        <v>7</v>
      </c>
      <c r="B120" s="2">
        <v>45425</v>
      </c>
      <c r="C120">
        <f t="shared" si="2"/>
        <v>2024</v>
      </c>
      <c r="D120">
        <f t="shared" si="1"/>
        <v>134</v>
      </c>
      <c r="E120" t="s">
        <v>6</v>
      </c>
      <c r="F120">
        <v>19.007199999999997</v>
      </c>
    </row>
    <row r="121" spans="1:6" hidden="1" x14ac:dyDescent="0.25">
      <c r="A121" t="s">
        <v>7</v>
      </c>
      <c r="B121" s="2">
        <v>45441</v>
      </c>
      <c r="C121">
        <f t="shared" si="2"/>
        <v>2024</v>
      </c>
      <c r="D121">
        <f t="shared" si="1"/>
        <v>150</v>
      </c>
      <c r="E121" t="s">
        <v>6</v>
      </c>
      <c r="F121">
        <v>17.756799999999998</v>
      </c>
    </row>
    <row r="122" spans="1:6" hidden="1" x14ac:dyDescent="0.25">
      <c r="A122" t="s">
        <v>7</v>
      </c>
      <c r="B122" s="2">
        <v>45453</v>
      </c>
      <c r="C122">
        <f t="shared" si="2"/>
        <v>2024</v>
      </c>
      <c r="D122">
        <f t="shared" si="1"/>
        <v>162</v>
      </c>
      <c r="E122" t="s">
        <v>6</v>
      </c>
      <c r="F122">
        <v>17.963999999999999</v>
      </c>
    </row>
    <row r="123" spans="1:6" hidden="1" x14ac:dyDescent="0.25">
      <c r="A123" t="s">
        <v>7</v>
      </c>
      <c r="B123" s="2">
        <v>44595</v>
      </c>
      <c r="C123">
        <f>YEAR(B123)</f>
        <v>2022</v>
      </c>
      <c r="D123">
        <f t="shared" si="1"/>
        <v>34</v>
      </c>
      <c r="E123" t="s">
        <v>6</v>
      </c>
      <c r="F123">
        <v>8.0898000000000003</v>
      </c>
    </row>
    <row r="124" spans="1:6" hidden="1" x14ac:dyDescent="0.25">
      <c r="A124" t="s">
        <v>7</v>
      </c>
      <c r="B124" s="2">
        <v>44608</v>
      </c>
      <c r="C124">
        <f t="shared" ref="C124:C187" si="3">YEAR(B124)</f>
        <v>2022</v>
      </c>
      <c r="D124">
        <f t="shared" si="1"/>
        <v>47</v>
      </c>
      <c r="E124" t="s">
        <v>6</v>
      </c>
      <c r="F124">
        <v>10.7502</v>
      </c>
    </row>
    <row r="125" spans="1:6" hidden="1" x14ac:dyDescent="0.25">
      <c r="A125" t="s">
        <v>7</v>
      </c>
      <c r="B125" s="2">
        <v>44622</v>
      </c>
      <c r="C125">
        <f t="shared" si="3"/>
        <v>2022</v>
      </c>
      <c r="D125">
        <f t="shared" si="1"/>
        <v>61</v>
      </c>
      <c r="E125" t="s">
        <v>6</v>
      </c>
      <c r="F125">
        <v>13.171200000000001</v>
      </c>
    </row>
    <row r="126" spans="1:6" hidden="1" x14ac:dyDescent="0.25">
      <c r="A126" t="s">
        <v>7</v>
      </c>
      <c r="B126" s="2">
        <v>44636</v>
      </c>
      <c r="C126">
        <f t="shared" si="3"/>
        <v>2022</v>
      </c>
      <c r="D126">
        <f t="shared" si="1"/>
        <v>75</v>
      </c>
      <c r="E126" t="s">
        <v>6</v>
      </c>
      <c r="F126">
        <v>12.583999999999998</v>
      </c>
    </row>
    <row r="127" spans="1:6" hidden="1" x14ac:dyDescent="0.25">
      <c r="A127" t="s">
        <v>7</v>
      </c>
      <c r="B127" s="2">
        <v>44650</v>
      </c>
      <c r="C127">
        <f t="shared" si="3"/>
        <v>2022</v>
      </c>
      <c r="D127">
        <f t="shared" si="1"/>
        <v>89</v>
      </c>
      <c r="E127" t="s">
        <v>6</v>
      </c>
      <c r="F127">
        <v>16.5564</v>
      </c>
    </row>
    <row r="128" spans="1:6" hidden="1" x14ac:dyDescent="0.25">
      <c r="A128" t="s">
        <v>7</v>
      </c>
      <c r="B128" s="2">
        <v>44664</v>
      </c>
      <c r="C128">
        <f t="shared" si="3"/>
        <v>2022</v>
      </c>
      <c r="D128">
        <f t="shared" si="1"/>
        <v>103</v>
      </c>
      <c r="E128" t="s">
        <v>6</v>
      </c>
      <c r="F128">
        <v>18.115200000000002</v>
      </c>
    </row>
    <row r="129" spans="1:6" hidden="1" x14ac:dyDescent="0.25">
      <c r="A129" t="s">
        <v>7</v>
      </c>
      <c r="B129" s="2">
        <v>44672</v>
      </c>
      <c r="C129">
        <f t="shared" si="3"/>
        <v>2022</v>
      </c>
      <c r="D129">
        <f t="shared" si="1"/>
        <v>111</v>
      </c>
      <c r="E129" t="s">
        <v>6</v>
      </c>
      <c r="F129">
        <v>19.6692</v>
      </c>
    </row>
    <row r="130" spans="1:6" hidden="1" x14ac:dyDescent="0.25">
      <c r="A130" t="s">
        <v>7</v>
      </c>
      <c r="B130" s="2">
        <v>44680</v>
      </c>
      <c r="C130">
        <f t="shared" si="3"/>
        <v>2022</v>
      </c>
      <c r="D130">
        <f t="shared" ref="D130:D193" si="4">B130-DATE(YEAR(B130),1,0)</f>
        <v>119</v>
      </c>
      <c r="E130" t="s">
        <v>6</v>
      </c>
      <c r="F130">
        <v>20.550599999999999</v>
      </c>
    </row>
    <row r="131" spans="1:6" hidden="1" x14ac:dyDescent="0.25">
      <c r="A131" t="s">
        <v>7</v>
      </c>
      <c r="B131" s="2">
        <v>44685</v>
      </c>
      <c r="C131">
        <f t="shared" si="3"/>
        <v>2022</v>
      </c>
      <c r="D131">
        <f t="shared" si="4"/>
        <v>124</v>
      </c>
      <c r="E131" t="s">
        <v>6</v>
      </c>
      <c r="F131">
        <v>19.724599999999999</v>
      </c>
    </row>
    <row r="132" spans="1:6" hidden="1" x14ac:dyDescent="0.25">
      <c r="A132" t="s">
        <v>7</v>
      </c>
      <c r="B132" s="2">
        <v>44699</v>
      </c>
      <c r="C132">
        <f t="shared" si="3"/>
        <v>2022</v>
      </c>
      <c r="D132">
        <f t="shared" si="4"/>
        <v>138</v>
      </c>
      <c r="E132" t="s">
        <v>6</v>
      </c>
      <c r="F132">
        <v>21.819800000000001</v>
      </c>
    </row>
    <row r="133" spans="1:6" hidden="1" x14ac:dyDescent="0.25">
      <c r="A133" t="s">
        <v>7</v>
      </c>
      <c r="B133" s="2">
        <v>44713</v>
      </c>
      <c r="C133">
        <f t="shared" si="3"/>
        <v>2022</v>
      </c>
      <c r="D133">
        <f t="shared" si="4"/>
        <v>152</v>
      </c>
      <c r="E133" t="s">
        <v>6</v>
      </c>
      <c r="F133">
        <v>22.72</v>
      </c>
    </row>
    <row r="134" spans="1:6" hidden="1" x14ac:dyDescent="0.25">
      <c r="A134" t="s">
        <v>7</v>
      </c>
      <c r="B134" s="2">
        <v>44952</v>
      </c>
      <c r="C134">
        <f t="shared" si="3"/>
        <v>2023</v>
      </c>
      <c r="D134">
        <f t="shared" si="4"/>
        <v>26</v>
      </c>
      <c r="E134" t="s">
        <v>6</v>
      </c>
      <c r="F134">
        <v>5.0961999999999996</v>
      </c>
    </row>
    <row r="135" spans="1:6" hidden="1" x14ac:dyDescent="0.25">
      <c r="A135" t="s">
        <v>7</v>
      </c>
      <c r="B135" s="2">
        <v>44974</v>
      </c>
      <c r="C135">
        <f t="shared" si="3"/>
        <v>2023</v>
      </c>
      <c r="D135">
        <f t="shared" si="4"/>
        <v>48</v>
      </c>
      <c r="E135" t="s">
        <v>6</v>
      </c>
      <c r="F135">
        <v>7.1189999999999998</v>
      </c>
    </row>
    <row r="136" spans="1:6" hidden="1" x14ac:dyDescent="0.25">
      <c r="A136" t="s">
        <v>7</v>
      </c>
      <c r="B136" s="2">
        <v>44984</v>
      </c>
      <c r="C136">
        <f t="shared" si="3"/>
        <v>2023</v>
      </c>
      <c r="D136">
        <f t="shared" si="4"/>
        <v>58</v>
      </c>
      <c r="E136" t="s">
        <v>6</v>
      </c>
      <c r="F136">
        <v>9.0643999999999991</v>
      </c>
    </row>
    <row r="137" spans="1:6" hidden="1" x14ac:dyDescent="0.25">
      <c r="A137" t="s">
        <v>7</v>
      </c>
      <c r="B137" s="2">
        <v>45000</v>
      </c>
      <c r="C137">
        <f t="shared" si="3"/>
        <v>2023</v>
      </c>
      <c r="D137">
        <f t="shared" si="4"/>
        <v>74</v>
      </c>
      <c r="E137" t="s">
        <v>6</v>
      </c>
      <c r="F137">
        <v>11.168299999999999</v>
      </c>
    </row>
    <row r="138" spans="1:6" hidden="1" x14ac:dyDescent="0.25">
      <c r="A138" t="s">
        <v>7</v>
      </c>
      <c r="B138" s="2">
        <v>45015</v>
      </c>
      <c r="C138">
        <f t="shared" si="3"/>
        <v>2023</v>
      </c>
      <c r="D138">
        <f t="shared" si="4"/>
        <v>89</v>
      </c>
      <c r="E138" t="s">
        <v>6</v>
      </c>
      <c r="F138">
        <v>12.615</v>
      </c>
    </row>
    <row r="139" spans="1:6" hidden="1" x14ac:dyDescent="0.25">
      <c r="A139" t="s">
        <v>7</v>
      </c>
      <c r="B139" s="2">
        <v>45029</v>
      </c>
      <c r="C139">
        <f t="shared" si="3"/>
        <v>2023</v>
      </c>
      <c r="D139">
        <f t="shared" si="4"/>
        <v>103</v>
      </c>
      <c r="E139" t="s">
        <v>6</v>
      </c>
      <c r="F139">
        <v>13.9345</v>
      </c>
    </row>
    <row r="140" spans="1:6" hidden="1" x14ac:dyDescent="0.25">
      <c r="A140" t="s">
        <v>7</v>
      </c>
      <c r="B140" s="2">
        <v>45041</v>
      </c>
      <c r="C140">
        <f t="shared" si="3"/>
        <v>2023</v>
      </c>
      <c r="D140">
        <f t="shared" si="4"/>
        <v>115</v>
      </c>
      <c r="E140" t="s">
        <v>6</v>
      </c>
      <c r="F140">
        <v>15.344000000000001</v>
      </c>
    </row>
    <row r="141" spans="1:6" hidden="1" x14ac:dyDescent="0.25">
      <c r="A141" t="s">
        <v>7</v>
      </c>
      <c r="B141" s="2">
        <v>45049</v>
      </c>
      <c r="C141">
        <f t="shared" si="3"/>
        <v>2023</v>
      </c>
      <c r="D141">
        <f t="shared" si="4"/>
        <v>123</v>
      </c>
      <c r="E141" t="s">
        <v>6</v>
      </c>
      <c r="F141">
        <v>15.1944</v>
      </c>
    </row>
    <row r="142" spans="1:6" hidden="1" x14ac:dyDescent="0.25">
      <c r="A142" t="s">
        <v>7</v>
      </c>
      <c r="B142" s="2">
        <v>45062</v>
      </c>
      <c r="C142">
        <f t="shared" si="3"/>
        <v>2023</v>
      </c>
      <c r="D142">
        <f t="shared" si="4"/>
        <v>136</v>
      </c>
      <c r="E142" t="s">
        <v>6</v>
      </c>
      <c r="F142">
        <v>15.061199999999999</v>
      </c>
    </row>
    <row r="143" spans="1:6" hidden="1" x14ac:dyDescent="0.25">
      <c r="A143" t="s">
        <v>7</v>
      </c>
      <c r="B143" s="2">
        <v>45076</v>
      </c>
      <c r="C143">
        <f t="shared" si="3"/>
        <v>2023</v>
      </c>
      <c r="D143">
        <f t="shared" si="4"/>
        <v>150</v>
      </c>
      <c r="E143" t="s">
        <v>6</v>
      </c>
      <c r="F143">
        <v>15.968</v>
      </c>
    </row>
    <row r="144" spans="1:6" hidden="1" x14ac:dyDescent="0.25">
      <c r="A144" t="s">
        <v>7</v>
      </c>
      <c r="B144" s="2">
        <v>45083</v>
      </c>
      <c r="C144">
        <f t="shared" si="3"/>
        <v>2023</v>
      </c>
      <c r="D144">
        <f t="shared" si="4"/>
        <v>157</v>
      </c>
      <c r="E144" t="s">
        <v>6</v>
      </c>
      <c r="F144">
        <v>18.631999999999998</v>
      </c>
    </row>
    <row r="145" spans="1:6" hidden="1" x14ac:dyDescent="0.25">
      <c r="A145" t="s">
        <v>7</v>
      </c>
      <c r="B145" s="2">
        <v>45316</v>
      </c>
      <c r="C145">
        <f t="shared" si="3"/>
        <v>2024</v>
      </c>
      <c r="D145">
        <f t="shared" si="4"/>
        <v>25</v>
      </c>
      <c r="E145" t="s">
        <v>6</v>
      </c>
      <c r="F145">
        <v>4.739300000000001</v>
      </c>
    </row>
    <row r="146" spans="1:6" hidden="1" x14ac:dyDescent="0.25">
      <c r="A146" t="s">
        <v>7</v>
      </c>
      <c r="B146" s="2">
        <v>45337</v>
      </c>
      <c r="C146">
        <f t="shared" si="3"/>
        <v>2024</v>
      </c>
      <c r="D146">
        <f t="shared" si="4"/>
        <v>46</v>
      </c>
      <c r="E146" t="s">
        <v>6</v>
      </c>
      <c r="F146">
        <v>8.3186999999999998</v>
      </c>
    </row>
    <row r="147" spans="1:6" hidden="1" x14ac:dyDescent="0.25">
      <c r="A147" t="s">
        <v>7</v>
      </c>
      <c r="B147" s="2">
        <v>45350</v>
      </c>
      <c r="C147">
        <f t="shared" si="3"/>
        <v>2024</v>
      </c>
      <c r="D147">
        <f t="shared" si="4"/>
        <v>59</v>
      </c>
      <c r="E147" t="s">
        <v>6</v>
      </c>
      <c r="F147">
        <v>10.472000000000001</v>
      </c>
    </row>
    <row r="148" spans="1:6" hidden="1" x14ac:dyDescent="0.25">
      <c r="A148" t="s">
        <v>7</v>
      </c>
      <c r="B148" s="2">
        <v>45364</v>
      </c>
      <c r="C148">
        <f t="shared" si="3"/>
        <v>2024</v>
      </c>
      <c r="D148">
        <f t="shared" si="4"/>
        <v>73</v>
      </c>
      <c r="E148" t="s">
        <v>6</v>
      </c>
      <c r="F148">
        <v>12.465</v>
      </c>
    </row>
    <row r="149" spans="1:6" hidden="1" x14ac:dyDescent="0.25">
      <c r="A149" t="s">
        <v>7</v>
      </c>
      <c r="B149" s="2">
        <v>45378</v>
      </c>
      <c r="C149">
        <f t="shared" si="3"/>
        <v>2024</v>
      </c>
      <c r="D149">
        <f t="shared" si="4"/>
        <v>87</v>
      </c>
      <c r="E149" t="s">
        <v>6</v>
      </c>
      <c r="F149">
        <v>13.880699999999999</v>
      </c>
    </row>
    <row r="150" spans="1:6" hidden="1" x14ac:dyDescent="0.25">
      <c r="A150" t="s">
        <v>7</v>
      </c>
      <c r="B150" s="2">
        <v>45393</v>
      </c>
      <c r="C150">
        <f t="shared" si="3"/>
        <v>2024</v>
      </c>
      <c r="D150">
        <f t="shared" si="4"/>
        <v>102</v>
      </c>
      <c r="E150" t="s">
        <v>6</v>
      </c>
      <c r="F150">
        <v>14.1158</v>
      </c>
    </row>
    <row r="151" spans="1:6" hidden="1" x14ac:dyDescent="0.25">
      <c r="A151" t="s">
        <v>7</v>
      </c>
      <c r="B151" s="2">
        <v>45404</v>
      </c>
      <c r="C151">
        <f t="shared" si="3"/>
        <v>2024</v>
      </c>
      <c r="D151">
        <f t="shared" si="4"/>
        <v>113</v>
      </c>
      <c r="E151" t="s">
        <v>6</v>
      </c>
      <c r="F151">
        <v>14.5962</v>
      </c>
    </row>
    <row r="152" spans="1:6" hidden="1" x14ac:dyDescent="0.25">
      <c r="A152" t="s">
        <v>7</v>
      </c>
      <c r="B152" s="2">
        <v>45414</v>
      </c>
      <c r="C152">
        <f t="shared" si="3"/>
        <v>2024</v>
      </c>
      <c r="D152">
        <f t="shared" si="4"/>
        <v>123</v>
      </c>
      <c r="E152" t="s">
        <v>6</v>
      </c>
      <c r="F152">
        <v>17.0487</v>
      </c>
    </row>
    <row r="153" spans="1:6" hidden="1" x14ac:dyDescent="0.25">
      <c r="A153" t="s">
        <v>7</v>
      </c>
      <c r="B153" s="2">
        <v>45425</v>
      </c>
      <c r="C153">
        <f t="shared" si="3"/>
        <v>2024</v>
      </c>
      <c r="D153">
        <f t="shared" si="4"/>
        <v>134</v>
      </c>
      <c r="E153" t="s">
        <v>6</v>
      </c>
      <c r="F153">
        <v>17.490300000000001</v>
      </c>
    </row>
    <row r="154" spans="1:6" hidden="1" x14ac:dyDescent="0.25">
      <c r="A154" t="s">
        <v>7</v>
      </c>
      <c r="B154" s="2">
        <v>45441</v>
      </c>
      <c r="C154">
        <f t="shared" si="3"/>
        <v>2024</v>
      </c>
      <c r="D154">
        <f t="shared" si="4"/>
        <v>150</v>
      </c>
      <c r="E154" t="s">
        <v>6</v>
      </c>
      <c r="F154">
        <v>17.7531</v>
      </c>
    </row>
    <row r="155" spans="1:6" hidden="1" x14ac:dyDescent="0.25">
      <c r="A155" t="s">
        <v>7</v>
      </c>
      <c r="B155" s="2">
        <v>45453</v>
      </c>
      <c r="C155">
        <f t="shared" si="3"/>
        <v>2024</v>
      </c>
      <c r="D155">
        <f t="shared" si="4"/>
        <v>162</v>
      </c>
      <c r="E155" t="s">
        <v>6</v>
      </c>
      <c r="F155">
        <v>17.337200000000003</v>
      </c>
    </row>
    <row r="156" spans="1:6" hidden="1" x14ac:dyDescent="0.25">
      <c r="A156" t="s">
        <v>7</v>
      </c>
      <c r="B156" s="2">
        <v>45316</v>
      </c>
      <c r="C156">
        <f t="shared" si="3"/>
        <v>2024</v>
      </c>
      <c r="D156">
        <f t="shared" si="4"/>
        <v>25</v>
      </c>
      <c r="E156" t="s">
        <v>6</v>
      </c>
      <c r="F156">
        <v>5.6027999999999993</v>
      </c>
    </row>
    <row r="157" spans="1:6" hidden="1" x14ac:dyDescent="0.25">
      <c r="A157" t="s">
        <v>7</v>
      </c>
      <c r="B157" s="2">
        <v>45337</v>
      </c>
      <c r="C157">
        <f t="shared" si="3"/>
        <v>2024</v>
      </c>
      <c r="D157">
        <f t="shared" si="4"/>
        <v>46</v>
      </c>
      <c r="E157" t="s">
        <v>6</v>
      </c>
      <c r="F157">
        <v>8.3005999999999993</v>
      </c>
    </row>
    <row r="158" spans="1:6" hidden="1" x14ac:dyDescent="0.25">
      <c r="A158" t="s">
        <v>7</v>
      </c>
      <c r="B158" s="2">
        <v>45350</v>
      </c>
      <c r="C158">
        <f t="shared" si="3"/>
        <v>2024</v>
      </c>
      <c r="D158">
        <f t="shared" si="4"/>
        <v>59</v>
      </c>
      <c r="E158" t="s">
        <v>6</v>
      </c>
      <c r="F158">
        <v>11.6775</v>
      </c>
    </row>
    <row r="159" spans="1:6" hidden="1" x14ac:dyDescent="0.25">
      <c r="A159" t="s">
        <v>7</v>
      </c>
      <c r="B159" s="2">
        <v>45364</v>
      </c>
      <c r="C159">
        <f t="shared" si="3"/>
        <v>2024</v>
      </c>
      <c r="D159">
        <f t="shared" si="4"/>
        <v>73</v>
      </c>
      <c r="E159" t="s">
        <v>6</v>
      </c>
      <c r="F159">
        <v>13.23</v>
      </c>
    </row>
    <row r="160" spans="1:6" hidden="1" x14ac:dyDescent="0.25">
      <c r="A160" t="s">
        <v>7</v>
      </c>
      <c r="B160" s="2">
        <v>45378</v>
      </c>
      <c r="C160">
        <f t="shared" si="3"/>
        <v>2024</v>
      </c>
      <c r="D160">
        <f t="shared" si="4"/>
        <v>87</v>
      </c>
      <c r="E160" t="s">
        <v>6</v>
      </c>
      <c r="F160">
        <v>15.4488</v>
      </c>
    </row>
    <row r="161" spans="1:6" hidden="1" x14ac:dyDescent="0.25">
      <c r="A161" t="s">
        <v>7</v>
      </c>
      <c r="B161" s="2">
        <v>45390</v>
      </c>
      <c r="C161">
        <f t="shared" si="3"/>
        <v>2024</v>
      </c>
      <c r="D161">
        <f t="shared" si="4"/>
        <v>99</v>
      </c>
      <c r="E161" t="s">
        <v>6</v>
      </c>
      <c r="F161">
        <v>16.945499999999999</v>
      </c>
    </row>
    <row r="162" spans="1:6" hidden="1" x14ac:dyDescent="0.25">
      <c r="A162" t="s">
        <v>7</v>
      </c>
      <c r="B162" s="2">
        <v>45407</v>
      </c>
      <c r="C162">
        <f t="shared" si="3"/>
        <v>2024</v>
      </c>
      <c r="D162">
        <f t="shared" si="4"/>
        <v>116</v>
      </c>
      <c r="E162" t="s">
        <v>6</v>
      </c>
      <c r="F162">
        <v>16.8795</v>
      </c>
    </row>
    <row r="163" spans="1:6" hidden="1" x14ac:dyDescent="0.25">
      <c r="A163" t="s">
        <v>7</v>
      </c>
      <c r="B163" s="2">
        <v>45413</v>
      </c>
      <c r="C163">
        <f t="shared" si="3"/>
        <v>2024</v>
      </c>
      <c r="D163">
        <f t="shared" si="4"/>
        <v>122</v>
      </c>
      <c r="E163" t="s">
        <v>6</v>
      </c>
      <c r="F163">
        <v>17.455200000000001</v>
      </c>
    </row>
    <row r="164" spans="1:6" hidden="1" x14ac:dyDescent="0.25">
      <c r="A164" t="s">
        <v>7</v>
      </c>
      <c r="B164" s="2">
        <v>45425</v>
      </c>
      <c r="C164">
        <f t="shared" si="3"/>
        <v>2024</v>
      </c>
      <c r="D164">
        <f t="shared" si="4"/>
        <v>134</v>
      </c>
      <c r="E164" t="s">
        <v>6</v>
      </c>
      <c r="F164">
        <v>17.835600000000003</v>
      </c>
    </row>
    <row r="165" spans="1:6" hidden="1" x14ac:dyDescent="0.25">
      <c r="A165" t="s">
        <v>7</v>
      </c>
      <c r="B165" s="2">
        <v>45439</v>
      </c>
      <c r="C165">
        <f t="shared" si="3"/>
        <v>2024</v>
      </c>
      <c r="D165">
        <f t="shared" si="4"/>
        <v>148</v>
      </c>
      <c r="E165" t="s">
        <v>6</v>
      </c>
      <c r="F165">
        <v>15.45</v>
      </c>
    </row>
    <row r="166" spans="1:6" hidden="1" x14ac:dyDescent="0.25">
      <c r="A166" t="s">
        <v>7</v>
      </c>
      <c r="B166" s="2">
        <v>45454</v>
      </c>
      <c r="C166">
        <f t="shared" si="3"/>
        <v>2024</v>
      </c>
      <c r="D166">
        <f t="shared" si="4"/>
        <v>163</v>
      </c>
      <c r="E166" t="s">
        <v>6</v>
      </c>
      <c r="F166">
        <v>17.71</v>
      </c>
    </row>
    <row r="167" spans="1:6" hidden="1" x14ac:dyDescent="0.25">
      <c r="A167" t="s">
        <v>7</v>
      </c>
      <c r="B167" s="2">
        <v>42387</v>
      </c>
      <c r="C167">
        <f t="shared" si="3"/>
        <v>2016</v>
      </c>
      <c r="D167">
        <f t="shared" si="4"/>
        <v>18</v>
      </c>
      <c r="E167" t="s">
        <v>6</v>
      </c>
      <c r="F167">
        <v>4.4104000000000001</v>
      </c>
    </row>
    <row r="168" spans="1:6" hidden="1" x14ac:dyDescent="0.25">
      <c r="A168" t="s">
        <v>7</v>
      </c>
      <c r="B168" s="2">
        <v>42387</v>
      </c>
      <c r="C168">
        <f t="shared" si="3"/>
        <v>2016</v>
      </c>
      <c r="D168">
        <f t="shared" si="4"/>
        <v>18</v>
      </c>
      <c r="E168" t="s">
        <v>6</v>
      </c>
      <c r="F168">
        <v>4.0226999999999995</v>
      </c>
    </row>
    <row r="169" spans="1:6" hidden="1" x14ac:dyDescent="0.25">
      <c r="A169" t="s">
        <v>7</v>
      </c>
      <c r="B169" s="2">
        <v>42423</v>
      </c>
      <c r="C169">
        <f t="shared" si="3"/>
        <v>2016</v>
      </c>
      <c r="D169">
        <f t="shared" si="4"/>
        <v>54</v>
      </c>
      <c r="E169" t="s">
        <v>6</v>
      </c>
      <c r="F169">
        <v>8.7792000000000012</v>
      </c>
    </row>
    <row r="170" spans="1:6" hidden="1" x14ac:dyDescent="0.25">
      <c r="A170" t="s">
        <v>7</v>
      </c>
      <c r="B170" s="2">
        <v>42423</v>
      </c>
      <c r="C170">
        <f t="shared" si="3"/>
        <v>2016</v>
      </c>
      <c r="D170">
        <f t="shared" si="4"/>
        <v>54</v>
      </c>
      <c r="E170" t="s">
        <v>6</v>
      </c>
      <c r="F170">
        <v>10.1983</v>
      </c>
    </row>
    <row r="171" spans="1:6" hidden="1" x14ac:dyDescent="0.25">
      <c r="A171" t="s">
        <v>7</v>
      </c>
      <c r="B171" s="2">
        <v>42437</v>
      </c>
      <c r="C171">
        <f t="shared" si="3"/>
        <v>2016</v>
      </c>
      <c r="D171">
        <f t="shared" si="4"/>
        <v>68</v>
      </c>
      <c r="E171" t="s">
        <v>6</v>
      </c>
      <c r="F171">
        <v>10.6396</v>
      </c>
    </row>
    <row r="172" spans="1:6" hidden="1" x14ac:dyDescent="0.25">
      <c r="A172" t="s">
        <v>7</v>
      </c>
      <c r="B172" s="2">
        <v>42437</v>
      </c>
      <c r="C172">
        <f t="shared" si="3"/>
        <v>2016</v>
      </c>
      <c r="D172">
        <f t="shared" si="4"/>
        <v>68</v>
      </c>
      <c r="E172" t="s">
        <v>6</v>
      </c>
      <c r="F172">
        <v>12.566400000000002</v>
      </c>
    </row>
    <row r="173" spans="1:6" hidden="1" x14ac:dyDescent="0.25">
      <c r="A173" t="s">
        <v>7</v>
      </c>
      <c r="B173" s="2">
        <v>42451</v>
      </c>
      <c r="C173">
        <f t="shared" si="3"/>
        <v>2016</v>
      </c>
      <c r="D173">
        <f t="shared" si="4"/>
        <v>82</v>
      </c>
      <c r="E173" t="s">
        <v>6</v>
      </c>
      <c r="F173">
        <v>13.1417</v>
      </c>
    </row>
    <row r="174" spans="1:6" hidden="1" x14ac:dyDescent="0.25">
      <c r="A174" t="s">
        <v>7</v>
      </c>
      <c r="B174" s="2">
        <v>42451</v>
      </c>
      <c r="C174">
        <f t="shared" si="3"/>
        <v>2016</v>
      </c>
      <c r="D174">
        <f t="shared" si="4"/>
        <v>82</v>
      </c>
      <c r="E174" t="s">
        <v>6</v>
      </c>
      <c r="F174">
        <v>15.063899999999999</v>
      </c>
    </row>
    <row r="175" spans="1:6" hidden="1" x14ac:dyDescent="0.25">
      <c r="A175" t="s">
        <v>7</v>
      </c>
      <c r="B175" s="2">
        <v>42466</v>
      </c>
      <c r="C175">
        <f t="shared" si="3"/>
        <v>2016</v>
      </c>
      <c r="D175">
        <f t="shared" si="4"/>
        <v>97</v>
      </c>
      <c r="E175" t="s">
        <v>6</v>
      </c>
      <c r="F175">
        <v>13.760500000000002</v>
      </c>
    </row>
    <row r="176" spans="1:6" hidden="1" x14ac:dyDescent="0.25">
      <c r="A176" t="s">
        <v>7</v>
      </c>
      <c r="B176" s="2">
        <v>42467</v>
      </c>
      <c r="C176">
        <f t="shared" si="3"/>
        <v>2016</v>
      </c>
      <c r="D176">
        <f t="shared" si="4"/>
        <v>98</v>
      </c>
      <c r="E176" t="s">
        <v>6</v>
      </c>
      <c r="F176">
        <v>17.350200000000001</v>
      </c>
    </row>
    <row r="177" spans="1:6" hidden="1" x14ac:dyDescent="0.25">
      <c r="A177" t="s">
        <v>7</v>
      </c>
      <c r="B177" s="2">
        <v>42474</v>
      </c>
      <c r="C177">
        <f t="shared" si="3"/>
        <v>2016</v>
      </c>
      <c r="D177">
        <f t="shared" si="4"/>
        <v>105</v>
      </c>
      <c r="E177" t="s">
        <v>6</v>
      </c>
      <c r="F177">
        <v>17.640900000000002</v>
      </c>
    </row>
    <row r="178" spans="1:6" hidden="1" x14ac:dyDescent="0.25">
      <c r="A178" t="s">
        <v>7</v>
      </c>
      <c r="B178" s="2">
        <v>42475</v>
      </c>
      <c r="C178">
        <f t="shared" si="3"/>
        <v>2016</v>
      </c>
      <c r="D178">
        <f t="shared" si="4"/>
        <v>106</v>
      </c>
      <c r="E178" t="s">
        <v>6</v>
      </c>
      <c r="F178">
        <v>15.382400000000001</v>
      </c>
    </row>
    <row r="179" spans="1:6" hidden="1" x14ac:dyDescent="0.25">
      <c r="A179" t="s">
        <v>7</v>
      </c>
      <c r="B179" s="2">
        <v>42482</v>
      </c>
      <c r="C179">
        <f t="shared" si="3"/>
        <v>2016</v>
      </c>
      <c r="D179">
        <f t="shared" si="4"/>
        <v>113</v>
      </c>
      <c r="E179" t="s">
        <v>6</v>
      </c>
      <c r="F179">
        <v>15.494999999999999</v>
      </c>
    </row>
    <row r="180" spans="1:6" hidden="1" x14ac:dyDescent="0.25">
      <c r="A180" t="s">
        <v>7</v>
      </c>
      <c r="B180" s="2">
        <v>42482</v>
      </c>
      <c r="C180">
        <f t="shared" si="3"/>
        <v>2016</v>
      </c>
      <c r="D180">
        <f t="shared" si="4"/>
        <v>113</v>
      </c>
      <c r="E180" t="s">
        <v>6</v>
      </c>
      <c r="F180">
        <v>18.595199999999998</v>
      </c>
    </row>
    <row r="181" spans="1:6" hidden="1" x14ac:dyDescent="0.25">
      <c r="A181" t="s">
        <v>7</v>
      </c>
      <c r="B181" s="2">
        <v>42486</v>
      </c>
      <c r="C181">
        <f t="shared" si="3"/>
        <v>2016</v>
      </c>
      <c r="D181">
        <f t="shared" si="4"/>
        <v>117</v>
      </c>
      <c r="E181" t="s">
        <v>6</v>
      </c>
      <c r="F181">
        <v>16.027000000000001</v>
      </c>
    </row>
    <row r="182" spans="1:6" hidden="1" x14ac:dyDescent="0.25">
      <c r="A182" t="s">
        <v>7</v>
      </c>
      <c r="B182" s="2">
        <v>42486</v>
      </c>
      <c r="C182">
        <f t="shared" si="3"/>
        <v>2016</v>
      </c>
      <c r="D182">
        <f t="shared" si="4"/>
        <v>117</v>
      </c>
      <c r="E182" t="s">
        <v>6</v>
      </c>
      <c r="F182">
        <v>17.986799999999999</v>
      </c>
    </row>
    <row r="183" spans="1:6" hidden="1" x14ac:dyDescent="0.25">
      <c r="A183" t="s">
        <v>7</v>
      </c>
      <c r="B183" s="2">
        <v>42493</v>
      </c>
      <c r="C183">
        <f t="shared" si="3"/>
        <v>2016</v>
      </c>
      <c r="D183">
        <f t="shared" si="4"/>
        <v>124</v>
      </c>
      <c r="E183" t="s">
        <v>6</v>
      </c>
      <c r="F183">
        <v>16.594899999999999</v>
      </c>
    </row>
    <row r="184" spans="1:6" hidden="1" x14ac:dyDescent="0.25">
      <c r="A184" t="s">
        <v>7</v>
      </c>
      <c r="B184" s="2">
        <v>42493</v>
      </c>
      <c r="C184">
        <f t="shared" si="3"/>
        <v>2016</v>
      </c>
      <c r="D184">
        <f t="shared" si="4"/>
        <v>124</v>
      </c>
      <c r="E184" t="s">
        <v>6</v>
      </c>
      <c r="F184">
        <v>20.163</v>
      </c>
    </row>
    <row r="185" spans="1:6" hidden="1" x14ac:dyDescent="0.25">
      <c r="A185" t="s">
        <v>7</v>
      </c>
      <c r="B185" s="2">
        <v>42510</v>
      </c>
      <c r="C185">
        <f t="shared" si="3"/>
        <v>2016</v>
      </c>
      <c r="D185">
        <f t="shared" si="4"/>
        <v>141</v>
      </c>
      <c r="E185" t="s">
        <v>6</v>
      </c>
      <c r="F185">
        <v>16.858600000000003</v>
      </c>
    </row>
    <row r="186" spans="1:6" hidden="1" x14ac:dyDescent="0.25">
      <c r="A186" t="s">
        <v>7</v>
      </c>
      <c r="B186" s="2">
        <v>42510</v>
      </c>
      <c r="C186">
        <f t="shared" si="3"/>
        <v>2016</v>
      </c>
      <c r="D186">
        <f t="shared" si="4"/>
        <v>141</v>
      </c>
      <c r="E186" t="s">
        <v>6</v>
      </c>
      <c r="F186">
        <v>20.4678</v>
      </c>
    </row>
    <row r="187" spans="1:6" hidden="1" x14ac:dyDescent="0.25">
      <c r="A187" t="s">
        <v>7</v>
      </c>
      <c r="B187" s="2">
        <v>42521</v>
      </c>
      <c r="C187">
        <f t="shared" si="3"/>
        <v>2016</v>
      </c>
      <c r="D187">
        <f t="shared" si="4"/>
        <v>152</v>
      </c>
      <c r="E187" t="s">
        <v>6</v>
      </c>
      <c r="F187">
        <v>16.424700000000001</v>
      </c>
    </row>
    <row r="188" spans="1:6" hidden="1" x14ac:dyDescent="0.25">
      <c r="A188" t="s">
        <v>7</v>
      </c>
      <c r="B188" s="2">
        <v>42521</v>
      </c>
      <c r="C188">
        <f t="shared" ref="C188:C251" si="5">YEAR(B188)</f>
        <v>2016</v>
      </c>
      <c r="D188">
        <f t="shared" si="4"/>
        <v>152</v>
      </c>
      <c r="E188" t="s">
        <v>6</v>
      </c>
      <c r="F188">
        <v>20.351600000000001</v>
      </c>
    </row>
    <row r="189" spans="1:6" hidden="1" x14ac:dyDescent="0.25">
      <c r="A189" t="s">
        <v>7</v>
      </c>
      <c r="B189" s="2">
        <v>42535</v>
      </c>
      <c r="C189">
        <f t="shared" si="5"/>
        <v>2016</v>
      </c>
      <c r="D189">
        <f t="shared" si="4"/>
        <v>166</v>
      </c>
      <c r="E189" t="s">
        <v>6</v>
      </c>
      <c r="F189">
        <v>18.032299999999999</v>
      </c>
    </row>
    <row r="190" spans="1:6" hidden="1" x14ac:dyDescent="0.25">
      <c r="A190" t="s">
        <v>7</v>
      </c>
      <c r="B190" s="2">
        <v>42535</v>
      </c>
      <c r="C190">
        <f t="shared" si="5"/>
        <v>2016</v>
      </c>
      <c r="D190">
        <f t="shared" si="4"/>
        <v>166</v>
      </c>
      <c r="E190" t="s">
        <v>6</v>
      </c>
      <c r="F190">
        <v>20.246400000000005</v>
      </c>
    </row>
    <row r="191" spans="1:6" hidden="1" x14ac:dyDescent="0.25">
      <c r="A191" t="s">
        <v>7</v>
      </c>
      <c r="B191" s="2">
        <v>42752</v>
      </c>
      <c r="C191">
        <f t="shared" si="5"/>
        <v>2017</v>
      </c>
      <c r="D191">
        <f t="shared" si="4"/>
        <v>17</v>
      </c>
      <c r="E191" t="s">
        <v>6</v>
      </c>
      <c r="F191">
        <v>5.5297999999999989</v>
      </c>
    </row>
    <row r="192" spans="1:6" hidden="1" x14ac:dyDescent="0.25">
      <c r="A192" t="s">
        <v>7</v>
      </c>
      <c r="B192" s="2">
        <v>42752</v>
      </c>
      <c r="C192">
        <f t="shared" si="5"/>
        <v>2017</v>
      </c>
      <c r="D192">
        <f t="shared" si="4"/>
        <v>17</v>
      </c>
      <c r="E192" t="s">
        <v>6</v>
      </c>
      <c r="F192">
        <v>3.9312</v>
      </c>
    </row>
    <row r="193" spans="1:6" hidden="1" x14ac:dyDescent="0.25">
      <c r="A193" t="s">
        <v>7</v>
      </c>
      <c r="B193" s="2">
        <v>42787</v>
      </c>
      <c r="C193">
        <f t="shared" si="5"/>
        <v>2017</v>
      </c>
      <c r="D193">
        <f t="shared" si="4"/>
        <v>52</v>
      </c>
      <c r="E193" t="s">
        <v>6</v>
      </c>
      <c r="F193">
        <v>11.007999999999999</v>
      </c>
    </row>
    <row r="194" spans="1:6" hidden="1" x14ac:dyDescent="0.25">
      <c r="A194" t="s">
        <v>7</v>
      </c>
      <c r="B194" s="2">
        <v>42787</v>
      </c>
      <c r="C194">
        <f t="shared" si="5"/>
        <v>2017</v>
      </c>
      <c r="D194">
        <f t="shared" ref="D194:D257" si="6">B194-DATE(YEAR(B194),1,0)</f>
        <v>52</v>
      </c>
      <c r="E194" t="s">
        <v>6</v>
      </c>
      <c r="F194">
        <v>9.4163999999999994</v>
      </c>
    </row>
    <row r="195" spans="1:6" hidden="1" x14ac:dyDescent="0.25">
      <c r="A195" t="s">
        <v>7</v>
      </c>
      <c r="B195" s="2">
        <v>42801</v>
      </c>
      <c r="C195">
        <f t="shared" si="5"/>
        <v>2017</v>
      </c>
      <c r="D195">
        <f t="shared" si="6"/>
        <v>66</v>
      </c>
      <c r="E195" t="s">
        <v>6</v>
      </c>
      <c r="F195">
        <v>13.7995</v>
      </c>
    </row>
    <row r="196" spans="1:6" hidden="1" x14ac:dyDescent="0.25">
      <c r="A196" t="s">
        <v>7</v>
      </c>
      <c r="B196" s="2">
        <v>42801</v>
      </c>
      <c r="C196">
        <f t="shared" si="5"/>
        <v>2017</v>
      </c>
      <c r="D196">
        <f t="shared" si="6"/>
        <v>66</v>
      </c>
      <c r="E196" t="s">
        <v>6</v>
      </c>
      <c r="F196">
        <v>11.226800000000001</v>
      </c>
    </row>
    <row r="197" spans="1:6" hidden="1" x14ac:dyDescent="0.25">
      <c r="A197" t="s">
        <v>7</v>
      </c>
      <c r="B197" s="2">
        <v>42815</v>
      </c>
      <c r="C197">
        <f t="shared" si="5"/>
        <v>2017</v>
      </c>
      <c r="D197">
        <f t="shared" si="6"/>
        <v>80</v>
      </c>
      <c r="E197" t="s">
        <v>6</v>
      </c>
      <c r="F197">
        <v>15.111599999999999</v>
      </c>
    </row>
    <row r="198" spans="1:6" hidden="1" x14ac:dyDescent="0.25">
      <c r="A198" t="s">
        <v>7</v>
      </c>
      <c r="B198" s="2">
        <v>42815</v>
      </c>
      <c r="C198">
        <f t="shared" si="5"/>
        <v>2017</v>
      </c>
      <c r="D198">
        <f t="shared" si="6"/>
        <v>80</v>
      </c>
      <c r="E198" t="s">
        <v>6</v>
      </c>
      <c r="F198">
        <v>12.8232</v>
      </c>
    </row>
    <row r="199" spans="1:6" hidden="1" x14ac:dyDescent="0.25">
      <c r="A199" t="s">
        <v>7</v>
      </c>
      <c r="B199" s="2">
        <v>42829</v>
      </c>
      <c r="C199">
        <f t="shared" si="5"/>
        <v>2017</v>
      </c>
      <c r="D199">
        <f t="shared" si="6"/>
        <v>94</v>
      </c>
      <c r="E199" t="s">
        <v>6</v>
      </c>
      <c r="F199">
        <v>17.962200000000003</v>
      </c>
    </row>
    <row r="200" spans="1:6" hidden="1" x14ac:dyDescent="0.25">
      <c r="A200" t="s">
        <v>7</v>
      </c>
      <c r="B200" s="2">
        <v>42829</v>
      </c>
      <c r="C200">
        <f t="shared" si="5"/>
        <v>2017</v>
      </c>
      <c r="D200">
        <f t="shared" si="6"/>
        <v>94</v>
      </c>
      <c r="E200" t="s">
        <v>6</v>
      </c>
      <c r="F200">
        <v>14.860800000000001</v>
      </c>
    </row>
    <row r="201" spans="1:6" hidden="1" x14ac:dyDescent="0.25">
      <c r="A201" t="s">
        <v>7</v>
      </c>
      <c r="B201" s="2">
        <v>42839</v>
      </c>
      <c r="C201">
        <f t="shared" si="5"/>
        <v>2017</v>
      </c>
      <c r="D201">
        <f t="shared" si="6"/>
        <v>104</v>
      </c>
      <c r="E201" t="s">
        <v>6</v>
      </c>
      <c r="F201">
        <v>17.060500000000001</v>
      </c>
    </row>
    <row r="202" spans="1:6" hidden="1" x14ac:dyDescent="0.25">
      <c r="A202" t="s">
        <v>7</v>
      </c>
      <c r="B202" s="2">
        <v>42839</v>
      </c>
      <c r="C202">
        <f t="shared" si="5"/>
        <v>2017</v>
      </c>
      <c r="D202">
        <f t="shared" si="6"/>
        <v>104</v>
      </c>
      <c r="E202" t="s">
        <v>6</v>
      </c>
      <c r="F202">
        <v>15.463800000000001</v>
      </c>
    </row>
    <row r="203" spans="1:6" hidden="1" x14ac:dyDescent="0.25">
      <c r="A203" t="s">
        <v>7</v>
      </c>
      <c r="B203" s="2">
        <v>42844</v>
      </c>
      <c r="C203">
        <f t="shared" si="5"/>
        <v>2017</v>
      </c>
      <c r="D203">
        <f t="shared" si="6"/>
        <v>109</v>
      </c>
      <c r="E203" t="s">
        <v>6</v>
      </c>
      <c r="F203">
        <v>18.667300000000001</v>
      </c>
    </row>
    <row r="204" spans="1:6" hidden="1" x14ac:dyDescent="0.25">
      <c r="A204" t="s">
        <v>7</v>
      </c>
      <c r="B204" s="2">
        <v>42844</v>
      </c>
      <c r="C204">
        <f t="shared" si="5"/>
        <v>2017</v>
      </c>
      <c r="D204">
        <f t="shared" si="6"/>
        <v>109</v>
      </c>
      <c r="E204" t="s">
        <v>6</v>
      </c>
      <c r="F204">
        <v>16.658200000000001</v>
      </c>
    </row>
    <row r="205" spans="1:6" hidden="1" x14ac:dyDescent="0.25">
      <c r="A205" t="s">
        <v>7</v>
      </c>
      <c r="B205" s="2">
        <v>42850</v>
      </c>
      <c r="C205">
        <f t="shared" si="5"/>
        <v>2017</v>
      </c>
      <c r="D205">
        <f t="shared" si="6"/>
        <v>115</v>
      </c>
      <c r="E205" t="s">
        <v>6</v>
      </c>
      <c r="F205">
        <v>16.6402</v>
      </c>
    </row>
    <row r="206" spans="1:6" hidden="1" x14ac:dyDescent="0.25">
      <c r="A206" t="s">
        <v>7</v>
      </c>
      <c r="B206" s="2">
        <v>42853</v>
      </c>
      <c r="C206">
        <f t="shared" si="5"/>
        <v>2017</v>
      </c>
      <c r="D206">
        <f t="shared" si="6"/>
        <v>118</v>
      </c>
      <c r="E206" t="s">
        <v>6</v>
      </c>
      <c r="F206">
        <v>19.811399999999999</v>
      </c>
    </row>
    <row r="207" spans="1:6" hidden="1" x14ac:dyDescent="0.25">
      <c r="A207" t="s">
        <v>7</v>
      </c>
      <c r="B207" s="2">
        <v>42858</v>
      </c>
      <c r="C207">
        <f t="shared" si="5"/>
        <v>2017</v>
      </c>
      <c r="D207">
        <f t="shared" si="6"/>
        <v>123</v>
      </c>
      <c r="E207" t="s">
        <v>6</v>
      </c>
      <c r="F207">
        <v>19.400500000000001</v>
      </c>
    </row>
    <row r="208" spans="1:6" hidden="1" x14ac:dyDescent="0.25">
      <c r="A208" t="s">
        <v>7</v>
      </c>
      <c r="B208" s="2">
        <v>42858</v>
      </c>
      <c r="C208">
        <f t="shared" si="5"/>
        <v>2017</v>
      </c>
      <c r="D208">
        <f t="shared" si="6"/>
        <v>123</v>
      </c>
      <c r="E208" t="s">
        <v>6</v>
      </c>
      <c r="F208">
        <v>16.364999999999998</v>
      </c>
    </row>
    <row r="209" spans="1:6" hidden="1" x14ac:dyDescent="0.25">
      <c r="A209" t="s">
        <v>7</v>
      </c>
      <c r="B209" s="2">
        <v>42871</v>
      </c>
      <c r="C209">
        <f t="shared" si="5"/>
        <v>2017</v>
      </c>
      <c r="D209">
        <f t="shared" si="6"/>
        <v>136</v>
      </c>
      <c r="E209" t="s">
        <v>6</v>
      </c>
      <c r="F209">
        <v>20.764800000000001</v>
      </c>
    </row>
    <row r="210" spans="1:6" hidden="1" x14ac:dyDescent="0.25">
      <c r="A210" t="s">
        <v>7</v>
      </c>
      <c r="B210" s="2">
        <v>42871</v>
      </c>
      <c r="C210">
        <f t="shared" si="5"/>
        <v>2017</v>
      </c>
      <c r="D210">
        <f t="shared" si="6"/>
        <v>136</v>
      </c>
      <c r="E210" t="s">
        <v>6</v>
      </c>
      <c r="F210">
        <v>19.067399999999999</v>
      </c>
    </row>
    <row r="211" spans="1:6" hidden="1" x14ac:dyDescent="0.25">
      <c r="A211" t="s">
        <v>7</v>
      </c>
      <c r="B211" s="2">
        <v>42885</v>
      </c>
      <c r="C211">
        <f t="shared" si="5"/>
        <v>2017</v>
      </c>
      <c r="D211">
        <f t="shared" si="6"/>
        <v>150</v>
      </c>
      <c r="E211" t="s">
        <v>6</v>
      </c>
      <c r="F211">
        <v>20.5335</v>
      </c>
    </row>
    <row r="212" spans="1:6" hidden="1" x14ac:dyDescent="0.25">
      <c r="A212" t="s">
        <v>7</v>
      </c>
      <c r="B212" s="2">
        <v>42885</v>
      </c>
      <c r="C212">
        <f t="shared" si="5"/>
        <v>2017</v>
      </c>
      <c r="D212">
        <f t="shared" si="6"/>
        <v>150</v>
      </c>
      <c r="E212" t="s">
        <v>6</v>
      </c>
      <c r="F212">
        <v>19.3644</v>
      </c>
    </row>
    <row r="213" spans="1:6" hidden="1" x14ac:dyDescent="0.25">
      <c r="A213" t="s">
        <v>7</v>
      </c>
      <c r="B213" s="2">
        <v>42893</v>
      </c>
      <c r="C213">
        <f t="shared" si="5"/>
        <v>2017</v>
      </c>
      <c r="D213">
        <f t="shared" si="6"/>
        <v>158</v>
      </c>
      <c r="E213" t="s">
        <v>6</v>
      </c>
      <c r="F213">
        <v>20.930400000000006</v>
      </c>
    </row>
    <row r="214" spans="1:6" hidden="1" x14ac:dyDescent="0.25">
      <c r="A214" t="s">
        <v>7</v>
      </c>
      <c r="B214" s="2">
        <v>42893</v>
      </c>
      <c r="C214">
        <f t="shared" si="5"/>
        <v>2017</v>
      </c>
      <c r="D214">
        <f t="shared" si="6"/>
        <v>158</v>
      </c>
      <c r="E214" t="s">
        <v>6</v>
      </c>
      <c r="F214">
        <v>18.645</v>
      </c>
    </row>
    <row r="215" spans="1:6" hidden="1" x14ac:dyDescent="0.25">
      <c r="A215" t="s">
        <v>7</v>
      </c>
      <c r="B215" s="2">
        <v>42907</v>
      </c>
      <c r="C215">
        <f t="shared" si="5"/>
        <v>2017</v>
      </c>
      <c r="D215">
        <f t="shared" si="6"/>
        <v>172</v>
      </c>
      <c r="E215" t="s">
        <v>6</v>
      </c>
      <c r="F215">
        <v>20.050700000000003</v>
      </c>
    </row>
    <row r="216" spans="1:6" hidden="1" x14ac:dyDescent="0.25">
      <c r="A216" t="s">
        <v>7</v>
      </c>
      <c r="B216" s="2">
        <v>42907</v>
      </c>
      <c r="C216">
        <f t="shared" si="5"/>
        <v>2017</v>
      </c>
      <c r="D216">
        <f t="shared" si="6"/>
        <v>172</v>
      </c>
      <c r="E216" t="s">
        <v>6</v>
      </c>
      <c r="F216">
        <v>19.302800000000001</v>
      </c>
    </row>
    <row r="217" spans="1:6" hidden="1" x14ac:dyDescent="0.25">
      <c r="A217" t="s">
        <v>7</v>
      </c>
      <c r="B217" s="2">
        <v>43116</v>
      </c>
      <c r="C217">
        <f t="shared" si="5"/>
        <v>2018</v>
      </c>
      <c r="D217">
        <f t="shared" si="6"/>
        <v>16</v>
      </c>
      <c r="E217" t="s">
        <v>6</v>
      </c>
      <c r="F217">
        <v>4.8048000000000002</v>
      </c>
    </row>
    <row r="218" spans="1:6" hidden="1" x14ac:dyDescent="0.25">
      <c r="A218" t="s">
        <v>7</v>
      </c>
      <c r="B218" s="2">
        <v>43116</v>
      </c>
      <c r="C218">
        <f t="shared" si="5"/>
        <v>2018</v>
      </c>
      <c r="D218">
        <f t="shared" si="6"/>
        <v>16</v>
      </c>
      <c r="E218" t="s">
        <v>6</v>
      </c>
      <c r="F218">
        <v>3.8827999999999996</v>
      </c>
    </row>
    <row r="219" spans="1:6" hidden="1" x14ac:dyDescent="0.25">
      <c r="A219" t="s">
        <v>7</v>
      </c>
      <c r="B219" s="2">
        <v>43151</v>
      </c>
      <c r="C219">
        <f t="shared" si="5"/>
        <v>2018</v>
      </c>
      <c r="D219">
        <f t="shared" si="6"/>
        <v>51</v>
      </c>
      <c r="E219" t="s">
        <v>6</v>
      </c>
      <c r="F219">
        <v>10.344599999999998</v>
      </c>
    </row>
    <row r="220" spans="1:6" hidden="1" x14ac:dyDescent="0.25">
      <c r="A220" t="s">
        <v>7</v>
      </c>
      <c r="B220" s="2">
        <v>43151</v>
      </c>
      <c r="C220">
        <f t="shared" si="5"/>
        <v>2018</v>
      </c>
      <c r="D220">
        <f t="shared" si="6"/>
        <v>51</v>
      </c>
      <c r="E220" t="s">
        <v>6</v>
      </c>
      <c r="F220">
        <v>9.0858000000000008</v>
      </c>
    </row>
    <row r="221" spans="1:6" hidden="1" x14ac:dyDescent="0.25">
      <c r="A221" t="s">
        <v>7</v>
      </c>
      <c r="B221" s="2">
        <v>43165</v>
      </c>
      <c r="C221">
        <f t="shared" si="5"/>
        <v>2018</v>
      </c>
      <c r="D221">
        <f t="shared" si="6"/>
        <v>65</v>
      </c>
      <c r="E221" t="s">
        <v>6</v>
      </c>
      <c r="F221">
        <v>12.855700000000002</v>
      </c>
    </row>
    <row r="222" spans="1:6" hidden="1" x14ac:dyDescent="0.25">
      <c r="A222" t="s">
        <v>7</v>
      </c>
      <c r="B222" s="2">
        <v>43165</v>
      </c>
      <c r="C222">
        <f t="shared" si="5"/>
        <v>2018</v>
      </c>
      <c r="D222">
        <f t="shared" si="6"/>
        <v>65</v>
      </c>
      <c r="E222" t="s">
        <v>6</v>
      </c>
      <c r="F222">
        <v>11.650799999999998</v>
      </c>
    </row>
    <row r="223" spans="1:6" hidden="1" x14ac:dyDescent="0.25">
      <c r="A223" t="s">
        <v>7</v>
      </c>
      <c r="B223" s="2">
        <v>43179</v>
      </c>
      <c r="C223">
        <f t="shared" si="5"/>
        <v>2018</v>
      </c>
      <c r="D223">
        <f t="shared" si="6"/>
        <v>79</v>
      </c>
      <c r="E223" t="s">
        <v>6</v>
      </c>
      <c r="F223">
        <v>14.632400000000001</v>
      </c>
    </row>
    <row r="224" spans="1:6" hidden="1" x14ac:dyDescent="0.25">
      <c r="A224" t="s">
        <v>7</v>
      </c>
      <c r="B224" s="2">
        <v>43179</v>
      </c>
      <c r="C224">
        <f t="shared" si="5"/>
        <v>2018</v>
      </c>
      <c r="D224">
        <f t="shared" si="6"/>
        <v>79</v>
      </c>
      <c r="E224" t="s">
        <v>6</v>
      </c>
      <c r="F224">
        <v>13.244699999999998</v>
      </c>
    </row>
    <row r="225" spans="1:6" hidden="1" x14ac:dyDescent="0.25">
      <c r="A225" t="s">
        <v>7</v>
      </c>
      <c r="B225" s="2">
        <v>43195</v>
      </c>
      <c r="C225">
        <f t="shared" si="5"/>
        <v>2018</v>
      </c>
      <c r="D225">
        <f t="shared" si="6"/>
        <v>95</v>
      </c>
      <c r="E225" t="s">
        <v>6</v>
      </c>
      <c r="F225">
        <v>16.777199999999997</v>
      </c>
    </row>
    <row r="226" spans="1:6" hidden="1" x14ac:dyDescent="0.25">
      <c r="A226" t="s">
        <v>7</v>
      </c>
      <c r="B226" s="2">
        <v>43195</v>
      </c>
      <c r="C226">
        <f t="shared" si="5"/>
        <v>2018</v>
      </c>
      <c r="D226">
        <f t="shared" si="6"/>
        <v>95</v>
      </c>
      <c r="E226" t="s">
        <v>6</v>
      </c>
      <c r="F226">
        <v>15.1228</v>
      </c>
    </row>
    <row r="227" spans="1:6" hidden="1" x14ac:dyDescent="0.25">
      <c r="A227" t="s">
        <v>7</v>
      </c>
      <c r="B227" s="2">
        <v>43201</v>
      </c>
      <c r="C227">
        <f t="shared" si="5"/>
        <v>2018</v>
      </c>
      <c r="D227">
        <f t="shared" si="6"/>
        <v>101</v>
      </c>
      <c r="E227" t="s">
        <v>6</v>
      </c>
      <c r="F227">
        <v>17.513000000000002</v>
      </c>
    </row>
    <row r="228" spans="1:6" hidden="1" x14ac:dyDescent="0.25">
      <c r="A228" t="s">
        <v>7</v>
      </c>
      <c r="B228" s="2">
        <v>43201</v>
      </c>
      <c r="C228">
        <f t="shared" si="5"/>
        <v>2018</v>
      </c>
      <c r="D228">
        <f t="shared" si="6"/>
        <v>101</v>
      </c>
      <c r="E228" t="s">
        <v>6</v>
      </c>
      <c r="F228">
        <v>15.6104</v>
      </c>
    </row>
    <row r="229" spans="1:6" hidden="1" x14ac:dyDescent="0.25">
      <c r="A229" t="s">
        <v>7</v>
      </c>
      <c r="B229" s="2">
        <v>43209</v>
      </c>
      <c r="C229">
        <f t="shared" si="5"/>
        <v>2018</v>
      </c>
      <c r="D229">
        <f t="shared" si="6"/>
        <v>109</v>
      </c>
      <c r="E229" t="s">
        <v>6</v>
      </c>
      <c r="F229">
        <v>18.920000000000002</v>
      </c>
    </row>
    <row r="230" spans="1:6" hidden="1" x14ac:dyDescent="0.25">
      <c r="A230" t="s">
        <v>7</v>
      </c>
      <c r="B230" s="2">
        <v>43209</v>
      </c>
      <c r="C230">
        <f t="shared" si="5"/>
        <v>2018</v>
      </c>
      <c r="D230">
        <f t="shared" si="6"/>
        <v>109</v>
      </c>
      <c r="E230" t="s">
        <v>6</v>
      </c>
      <c r="F230">
        <v>15.888</v>
      </c>
    </row>
    <row r="231" spans="1:6" hidden="1" x14ac:dyDescent="0.25">
      <c r="A231" t="s">
        <v>7</v>
      </c>
      <c r="B231" s="2">
        <v>43215</v>
      </c>
      <c r="C231">
        <f t="shared" si="5"/>
        <v>2018</v>
      </c>
      <c r="D231">
        <f t="shared" si="6"/>
        <v>115</v>
      </c>
      <c r="E231" t="s">
        <v>6</v>
      </c>
      <c r="F231">
        <v>19.357200000000002</v>
      </c>
    </row>
    <row r="232" spans="1:6" hidden="1" x14ac:dyDescent="0.25">
      <c r="A232" t="s">
        <v>7</v>
      </c>
      <c r="B232" s="2">
        <v>43215</v>
      </c>
      <c r="C232">
        <f t="shared" si="5"/>
        <v>2018</v>
      </c>
      <c r="D232">
        <f t="shared" si="6"/>
        <v>115</v>
      </c>
      <c r="E232" t="s">
        <v>6</v>
      </c>
      <c r="F232">
        <v>17.024000000000001</v>
      </c>
    </row>
    <row r="233" spans="1:6" hidden="1" x14ac:dyDescent="0.25">
      <c r="A233" t="s">
        <v>7</v>
      </c>
      <c r="B233" s="2">
        <v>43221</v>
      </c>
      <c r="C233">
        <f t="shared" si="5"/>
        <v>2018</v>
      </c>
      <c r="D233">
        <f t="shared" si="6"/>
        <v>121</v>
      </c>
      <c r="E233" t="s">
        <v>6</v>
      </c>
      <c r="F233">
        <v>20.462399999999999</v>
      </c>
    </row>
    <row r="234" spans="1:6" hidden="1" x14ac:dyDescent="0.25">
      <c r="A234" t="s">
        <v>7</v>
      </c>
      <c r="B234" s="2">
        <v>43221</v>
      </c>
      <c r="C234">
        <f t="shared" si="5"/>
        <v>2018</v>
      </c>
      <c r="D234">
        <f t="shared" si="6"/>
        <v>121</v>
      </c>
      <c r="E234" t="s">
        <v>6</v>
      </c>
      <c r="F234">
        <v>18.094000000000001</v>
      </c>
    </row>
    <row r="235" spans="1:6" hidden="1" x14ac:dyDescent="0.25">
      <c r="A235" t="s">
        <v>7</v>
      </c>
      <c r="B235" s="2">
        <v>43235</v>
      </c>
      <c r="C235">
        <f t="shared" si="5"/>
        <v>2018</v>
      </c>
      <c r="D235">
        <f t="shared" si="6"/>
        <v>135</v>
      </c>
      <c r="E235" t="s">
        <v>6</v>
      </c>
      <c r="F235">
        <v>20.833099999999998</v>
      </c>
    </row>
    <row r="236" spans="1:6" hidden="1" x14ac:dyDescent="0.25">
      <c r="A236" t="s">
        <v>7</v>
      </c>
      <c r="B236" s="2">
        <v>43235</v>
      </c>
      <c r="C236">
        <f t="shared" si="5"/>
        <v>2018</v>
      </c>
      <c r="D236">
        <f t="shared" si="6"/>
        <v>135</v>
      </c>
      <c r="E236" t="s">
        <v>6</v>
      </c>
      <c r="F236">
        <v>17.977800000000002</v>
      </c>
    </row>
    <row r="237" spans="1:6" hidden="1" x14ac:dyDescent="0.25">
      <c r="A237" t="s">
        <v>7</v>
      </c>
      <c r="B237" s="2">
        <v>43249</v>
      </c>
      <c r="C237">
        <f t="shared" si="5"/>
        <v>2018</v>
      </c>
      <c r="D237">
        <f t="shared" si="6"/>
        <v>149</v>
      </c>
      <c r="E237" t="s">
        <v>6</v>
      </c>
      <c r="F237">
        <v>20.935199999999998</v>
      </c>
    </row>
    <row r="238" spans="1:6" hidden="1" x14ac:dyDescent="0.25">
      <c r="A238" t="s">
        <v>7</v>
      </c>
      <c r="B238" s="2">
        <v>43249</v>
      </c>
      <c r="C238">
        <f t="shared" si="5"/>
        <v>2018</v>
      </c>
      <c r="D238">
        <f t="shared" si="6"/>
        <v>149</v>
      </c>
      <c r="E238" t="s">
        <v>6</v>
      </c>
      <c r="F238">
        <v>18.2515</v>
      </c>
    </row>
    <row r="239" spans="1:6" hidden="1" x14ac:dyDescent="0.25">
      <c r="A239" t="s">
        <v>7</v>
      </c>
      <c r="B239" s="2">
        <v>43479</v>
      </c>
      <c r="C239">
        <f t="shared" si="5"/>
        <v>2019</v>
      </c>
      <c r="D239">
        <f t="shared" si="6"/>
        <v>14</v>
      </c>
      <c r="E239" t="s">
        <v>6</v>
      </c>
      <c r="F239">
        <v>3.7132999999999998</v>
      </c>
    </row>
    <row r="240" spans="1:6" hidden="1" x14ac:dyDescent="0.25">
      <c r="A240" t="s">
        <v>7</v>
      </c>
      <c r="B240" s="2">
        <v>43515</v>
      </c>
      <c r="C240">
        <f t="shared" si="5"/>
        <v>2019</v>
      </c>
      <c r="D240">
        <f t="shared" si="6"/>
        <v>50</v>
      </c>
      <c r="E240" t="s">
        <v>6</v>
      </c>
      <c r="F240">
        <v>9.0846</v>
      </c>
    </row>
    <row r="241" spans="1:6" hidden="1" x14ac:dyDescent="0.25">
      <c r="A241" t="s">
        <v>7</v>
      </c>
      <c r="B241" s="2">
        <v>43529</v>
      </c>
      <c r="C241">
        <f t="shared" si="5"/>
        <v>2019</v>
      </c>
      <c r="D241">
        <f t="shared" si="6"/>
        <v>64</v>
      </c>
      <c r="E241" t="s">
        <v>6</v>
      </c>
      <c r="F241">
        <v>11.282700000000002</v>
      </c>
    </row>
    <row r="242" spans="1:6" hidden="1" x14ac:dyDescent="0.25">
      <c r="A242" t="s">
        <v>7</v>
      </c>
      <c r="B242" s="2">
        <v>43543</v>
      </c>
      <c r="C242">
        <f t="shared" si="5"/>
        <v>2019</v>
      </c>
      <c r="D242">
        <f t="shared" si="6"/>
        <v>78</v>
      </c>
      <c r="E242" t="s">
        <v>6</v>
      </c>
      <c r="F242">
        <v>14.1492</v>
      </c>
    </row>
    <row r="243" spans="1:6" hidden="1" x14ac:dyDescent="0.25">
      <c r="A243" t="s">
        <v>7</v>
      </c>
      <c r="B243" s="2">
        <v>43557</v>
      </c>
      <c r="C243">
        <f t="shared" si="5"/>
        <v>2019</v>
      </c>
      <c r="D243">
        <f t="shared" si="6"/>
        <v>92</v>
      </c>
      <c r="E243" t="s">
        <v>6</v>
      </c>
      <c r="F243">
        <v>15.68</v>
      </c>
    </row>
    <row r="244" spans="1:6" hidden="1" x14ac:dyDescent="0.25">
      <c r="A244" t="s">
        <v>7</v>
      </c>
      <c r="B244" s="2">
        <v>43564</v>
      </c>
      <c r="C244">
        <f t="shared" si="5"/>
        <v>2019</v>
      </c>
      <c r="D244">
        <f t="shared" si="6"/>
        <v>99</v>
      </c>
      <c r="E244" t="s">
        <v>6</v>
      </c>
      <c r="F244">
        <v>16.533000000000001</v>
      </c>
    </row>
    <row r="245" spans="1:6" hidden="1" x14ac:dyDescent="0.25">
      <c r="A245" t="s">
        <v>7</v>
      </c>
      <c r="B245" s="2">
        <v>43570</v>
      </c>
      <c r="C245">
        <f t="shared" si="5"/>
        <v>2019</v>
      </c>
      <c r="D245">
        <f t="shared" si="6"/>
        <v>105</v>
      </c>
      <c r="E245" t="s">
        <v>6</v>
      </c>
      <c r="F245">
        <v>17.297200000000004</v>
      </c>
    </row>
    <row r="246" spans="1:6" hidden="1" x14ac:dyDescent="0.25">
      <c r="A246" t="s">
        <v>7</v>
      </c>
      <c r="B246" s="2">
        <v>43577</v>
      </c>
      <c r="C246">
        <f t="shared" si="5"/>
        <v>2019</v>
      </c>
      <c r="D246">
        <f t="shared" si="6"/>
        <v>112</v>
      </c>
      <c r="E246" t="s">
        <v>6</v>
      </c>
      <c r="F246">
        <v>16.7501</v>
      </c>
    </row>
    <row r="247" spans="1:6" hidden="1" x14ac:dyDescent="0.25">
      <c r="A247" t="s">
        <v>7</v>
      </c>
      <c r="B247" s="2">
        <v>43584</v>
      </c>
      <c r="C247">
        <f t="shared" si="5"/>
        <v>2019</v>
      </c>
      <c r="D247">
        <f t="shared" si="6"/>
        <v>119</v>
      </c>
      <c r="E247" t="s">
        <v>6</v>
      </c>
      <c r="F247">
        <v>16.0398</v>
      </c>
    </row>
    <row r="248" spans="1:6" hidden="1" x14ac:dyDescent="0.25">
      <c r="A248" t="s">
        <v>7</v>
      </c>
      <c r="B248" s="2">
        <v>43613</v>
      </c>
      <c r="C248">
        <f t="shared" si="5"/>
        <v>2019</v>
      </c>
      <c r="D248">
        <f t="shared" si="6"/>
        <v>148</v>
      </c>
      <c r="E248" t="s">
        <v>6</v>
      </c>
      <c r="F248">
        <v>18.956099999999999</v>
      </c>
    </row>
    <row r="249" spans="1:6" hidden="1" x14ac:dyDescent="0.25">
      <c r="A249" t="s">
        <v>7</v>
      </c>
      <c r="B249" s="2">
        <v>43850</v>
      </c>
      <c r="C249">
        <f t="shared" si="5"/>
        <v>2020</v>
      </c>
      <c r="D249">
        <f t="shared" si="6"/>
        <v>20</v>
      </c>
      <c r="E249" t="s">
        <v>6</v>
      </c>
      <c r="F249">
        <v>4.7547000000000006</v>
      </c>
    </row>
    <row r="250" spans="1:6" hidden="1" x14ac:dyDescent="0.25">
      <c r="A250" t="s">
        <v>7</v>
      </c>
      <c r="B250" s="2">
        <v>43880</v>
      </c>
      <c r="C250">
        <f t="shared" si="5"/>
        <v>2020</v>
      </c>
      <c r="D250">
        <f t="shared" si="6"/>
        <v>50</v>
      </c>
      <c r="E250" t="s">
        <v>6</v>
      </c>
      <c r="F250">
        <v>9.8704000000000001</v>
      </c>
    </row>
    <row r="251" spans="1:6" hidden="1" x14ac:dyDescent="0.25">
      <c r="A251" t="s">
        <v>7</v>
      </c>
      <c r="B251" s="2">
        <v>43892</v>
      </c>
      <c r="C251">
        <f t="shared" si="5"/>
        <v>2020</v>
      </c>
      <c r="D251">
        <f t="shared" si="6"/>
        <v>62</v>
      </c>
      <c r="E251" t="s">
        <v>6</v>
      </c>
      <c r="F251">
        <v>10.906000000000001</v>
      </c>
    </row>
    <row r="252" spans="1:6" hidden="1" x14ac:dyDescent="0.25">
      <c r="A252" t="s">
        <v>7</v>
      </c>
      <c r="B252" s="2">
        <v>43906</v>
      </c>
      <c r="C252">
        <f t="shared" ref="C252:C314" si="7">YEAR(B252)</f>
        <v>2020</v>
      </c>
      <c r="D252">
        <f t="shared" si="6"/>
        <v>76</v>
      </c>
      <c r="E252" t="s">
        <v>6</v>
      </c>
      <c r="F252">
        <v>13.64</v>
      </c>
    </row>
    <row r="253" spans="1:6" hidden="1" x14ac:dyDescent="0.25">
      <c r="A253" t="s">
        <v>7</v>
      </c>
      <c r="B253" s="2">
        <v>43950</v>
      </c>
      <c r="C253">
        <f t="shared" si="7"/>
        <v>2020</v>
      </c>
      <c r="D253">
        <f t="shared" si="6"/>
        <v>120</v>
      </c>
      <c r="E253" t="s">
        <v>6</v>
      </c>
      <c r="F253">
        <v>18.305</v>
      </c>
    </row>
    <row r="254" spans="1:6" hidden="1" x14ac:dyDescent="0.25">
      <c r="A254" t="s">
        <v>7</v>
      </c>
      <c r="B254" s="2">
        <v>43963</v>
      </c>
      <c r="C254">
        <f t="shared" si="7"/>
        <v>2020</v>
      </c>
      <c r="D254">
        <f t="shared" si="6"/>
        <v>133</v>
      </c>
      <c r="E254" t="s">
        <v>6</v>
      </c>
      <c r="F254">
        <v>18.266399999999997</v>
      </c>
    </row>
    <row r="255" spans="1:6" hidden="1" x14ac:dyDescent="0.25">
      <c r="A255" t="s">
        <v>7</v>
      </c>
      <c r="B255" s="2">
        <v>43977</v>
      </c>
      <c r="C255">
        <f t="shared" si="7"/>
        <v>2020</v>
      </c>
      <c r="D255">
        <f t="shared" si="6"/>
        <v>147</v>
      </c>
      <c r="E255" t="s">
        <v>6</v>
      </c>
      <c r="F255">
        <v>17.912400000000002</v>
      </c>
    </row>
    <row r="256" spans="1:6" hidden="1" x14ac:dyDescent="0.25">
      <c r="A256" t="s">
        <v>7</v>
      </c>
      <c r="B256" s="2">
        <v>44223</v>
      </c>
      <c r="C256">
        <f t="shared" si="7"/>
        <v>2021</v>
      </c>
      <c r="D256">
        <f t="shared" si="6"/>
        <v>27</v>
      </c>
      <c r="E256" t="s">
        <v>6</v>
      </c>
      <c r="F256">
        <v>6.2172349019108983</v>
      </c>
    </row>
    <row r="257" spans="1:6" hidden="1" x14ac:dyDescent="0.25">
      <c r="A257" t="s">
        <v>7</v>
      </c>
      <c r="B257" s="2">
        <v>44244</v>
      </c>
      <c r="C257">
        <f t="shared" si="7"/>
        <v>2021</v>
      </c>
      <c r="D257">
        <f t="shared" si="6"/>
        <v>48</v>
      </c>
      <c r="E257" t="s">
        <v>6</v>
      </c>
      <c r="F257">
        <v>8.8543295541579354</v>
      </c>
    </row>
    <row r="258" spans="1:6" hidden="1" x14ac:dyDescent="0.25">
      <c r="A258" t="s">
        <v>7</v>
      </c>
      <c r="B258" s="2">
        <v>44258</v>
      </c>
      <c r="C258">
        <f t="shared" si="7"/>
        <v>2021</v>
      </c>
      <c r="D258">
        <f t="shared" ref="D258:D321" si="8">B258-DATE(YEAR(B258),1,0)</f>
        <v>62</v>
      </c>
      <c r="E258" t="s">
        <v>6</v>
      </c>
      <c r="F258">
        <v>11.907888730774177</v>
      </c>
    </row>
    <row r="259" spans="1:6" hidden="1" x14ac:dyDescent="0.25">
      <c r="A259" t="s">
        <v>7</v>
      </c>
      <c r="B259" s="2">
        <v>44272</v>
      </c>
      <c r="C259">
        <f t="shared" si="7"/>
        <v>2021</v>
      </c>
      <c r="D259">
        <f t="shared" si="8"/>
        <v>76</v>
      </c>
      <c r="E259" t="s">
        <v>6</v>
      </c>
      <c r="F259">
        <v>13.959946145677179</v>
      </c>
    </row>
    <row r="260" spans="1:6" hidden="1" x14ac:dyDescent="0.25">
      <c r="A260" t="s">
        <v>7</v>
      </c>
      <c r="B260" s="2">
        <v>44286</v>
      </c>
      <c r="C260">
        <f t="shared" si="7"/>
        <v>2021</v>
      </c>
      <c r="D260">
        <f t="shared" si="8"/>
        <v>90</v>
      </c>
      <c r="E260" t="s">
        <v>6</v>
      </c>
      <c r="F260">
        <v>15.94766682715896</v>
      </c>
    </row>
    <row r="261" spans="1:6" hidden="1" x14ac:dyDescent="0.25">
      <c r="A261" t="s">
        <v>7</v>
      </c>
      <c r="B261" s="2">
        <v>44300</v>
      </c>
      <c r="C261">
        <f t="shared" si="7"/>
        <v>2021</v>
      </c>
      <c r="D261">
        <f t="shared" si="8"/>
        <v>104</v>
      </c>
      <c r="E261" t="s">
        <v>6</v>
      </c>
      <c r="F261">
        <v>16.847079172988892</v>
      </c>
    </row>
    <row r="262" spans="1:6" hidden="1" x14ac:dyDescent="0.25">
      <c r="A262" t="s">
        <v>7</v>
      </c>
      <c r="B262" s="2">
        <v>44307</v>
      </c>
      <c r="C262">
        <f t="shared" si="7"/>
        <v>2021</v>
      </c>
      <c r="D262">
        <f t="shared" si="8"/>
        <v>111</v>
      </c>
      <c r="E262" t="s">
        <v>6</v>
      </c>
      <c r="F262">
        <v>17.673615128971232</v>
      </c>
    </row>
    <row r="263" spans="1:6" hidden="1" x14ac:dyDescent="0.25">
      <c r="A263" t="s">
        <v>7</v>
      </c>
      <c r="B263" s="2">
        <v>44315</v>
      </c>
      <c r="C263">
        <f t="shared" si="7"/>
        <v>2021</v>
      </c>
      <c r="D263">
        <f t="shared" si="8"/>
        <v>119</v>
      </c>
      <c r="E263" t="s">
        <v>6</v>
      </c>
      <c r="F263">
        <v>17.494817081223879</v>
      </c>
    </row>
    <row r="264" spans="1:6" hidden="1" x14ac:dyDescent="0.25">
      <c r="A264" t="s">
        <v>7</v>
      </c>
      <c r="B264" s="2">
        <v>44321</v>
      </c>
      <c r="C264">
        <f t="shared" si="7"/>
        <v>2021</v>
      </c>
      <c r="D264">
        <f t="shared" si="8"/>
        <v>125</v>
      </c>
      <c r="E264" t="s">
        <v>6</v>
      </c>
      <c r="F264">
        <v>19.714894814967227</v>
      </c>
    </row>
    <row r="265" spans="1:6" hidden="1" x14ac:dyDescent="0.25">
      <c r="A265" t="s">
        <v>7</v>
      </c>
      <c r="B265" s="2">
        <v>44335</v>
      </c>
      <c r="C265">
        <f t="shared" si="7"/>
        <v>2021</v>
      </c>
      <c r="D265">
        <f t="shared" si="8"/>
        <v>139</v>
      </c>
      <c r="E265" t="s">
        <v>6</v>
      </c>
      <c r="F265">
        <v>19.764897653038307</v>
      </c>
    </row>
    <row r="266" spans="1:6" hidden="1" x14ac:dyDescent="0.25">
      <c r="A266" t="s">
        <v>7</v>
      </c>
      <c r="B266" s="2">
        <v>44348</v>
      </c>
      <c r="C266">
        <f t="shared" si="7"/>
        <v>2021</v>
      </c>
      <c r="D266">
        <f t="shared" si="8"/>
        <v>152</v>
      </c>
      <c r="E266" t="s">
        <v>6</v>
      </c>
      <c r="F266">
        <v>20.837102416927618</v>
      </c>
    </row>
    <row r="267" spans="1:6" hidden="1" x14ac:dyDescent="0.25">
      <c r="A267" t="s">
        <v>7</v>
      </c>
      <c r="B267" s="2">
        <v>42386</v>
      </c>
      <c r="C267">
        <f t="shared" si="7"/>
        <v>2016</v>
      </c>
      <c r="D267">
        <f t="shared" si="8"/>
        <v>17</v>
      </c>
      <c r="E267" t="s">
        <v>6</v>
      </c>
      <c r="F267">
        <v>4.0968</v>
      </c>
    </row>
    <row r="268" spans="1:6" hidden="1" x14ac:dyDescent="0.25">
      <c r="A268" t="s">
        <v>7</v>
      </c>
      <c r="B268" s="2">
        <v>42424</v>
      </c>
      <c r="C268">
        <f t="shared" si="7"/>
        <v>2016</v>
      </c>
      <c r="D268">
        <f t="shared" si="8"/>
        <v>55</v>
      </c>
      <c r="E268" t="s">
        <v>6</v>
      </c>
      <c r="F268">
        <v>10.3124</v>
      </c>
    </row>
    <row r="269" spans="1:6" hidden="1" x14ac:dyDescent="0.25">
      <c r="A269" t="s">
        <v>7</v>
      </c>
      <c r="B269" s="2">
        <v>42439</v>
      </c>
      <c r="C269">
        <f t="shared" si="7"/>
        <v>2016</v>
      </c>
      <c r="D269">
        <f t="shared" si="8"/>
        <v>70</v>
      </c>
      <c r="E269" t="s">
        <v>6</v>
      </c>
      <c r="F269">
        <v>13.636800000000001</v>
      </c>
    </row>
    <row r="270" spans="1:6" hidden="1" x14ac:dyDescent="0.25">
      <c r="A270" t="s">
        <v>7</v>
      </c>
      <c r="B270" s="2">
        <v>42452</v>
      </c>
      <c r="C270">
        <f t="shared" si="7"/>
        <v>2016</v>
      </c>
      <c r="D270">
        <f t="shared" si="8"/>
        <v>83</v>
      </c>
      <c r="E270" t="s">
        <v>6</v>
      </c>
      <c r="F270">
        <v>15.061199999999999</v>
      </c>
    </row>
    <row r="271" spans="1:6" hidden="1" x14ac:dyDescent="0.25">
      <c r="A271" t="s">
        <v>7</v>
      </c>
      <c r="B271" s="2">
        <v>42467</v>
      </c>
      <c r="C271">
        <f t="shared" si="7"/>
        <v>2016</v>
      </c>
      <c r="D271">
        <f t="shared" si="8"/>
        <v>98</v>
      </c>
      <c r="E271" t="s">
        <v>6</v>
      </c>
      <c r="F271">
        <v>17.472000000000001</v>
      </c>
    </row>
    <row r="272" spans="1:6" hidden="1" x14ac:dyDescent="0.25">
      <c r="A272" t="s">
        <v>7</v>
      </c>
      <c r="B272" s="2">
        <v>42474</v>
      </c>
      <c r="C272">
        <f t="shared" si="7"/>
        <v>2016</v>
      </c>
      <c r="D272">
        <f t="shared" si="8"/>
        <v>105</v>
      </c>
      <c r="E272" t="s">
        <v>6</v>
      </c>
      <c r="F272">
        <v>17.167999999999999</v>
      </c>
    </row>
    <row r="273" spans="1:6" hidden="1" x14ac:dyDescent="0.25">
      <c r="A273" t="s">
        <v>7</v>
      </c>
      <c r="B273" s="2">
        <v>42482</v>
      </c>
      <c r="C273">
        <f t="shared" si="7"/>
        <v>2016</v>
      </c>
      <c r="D273">
        <f t="shared" si="8"/>
        <v>113</v>
      </c>
      <c r="E273" t="s">
        <v>6</v>
      </c>
      <c r="F273">
        <v>18.612000000000002</v>
      </c>
    </row>
    <row r="274" spans="1:6" hidden="1" x14ac:dyDescent="0.25">
      <c r="A274" t="s">
        <v>7</v>
      </c>
      <c r="B274" s="2">
        <v>42489</v>
      </c>
      <c r="C274">
        <f t="shared" si="7"/>
        <v>2016</v>
      </c>
      <c r="D274">
        <f t="shared" si="8"/>
        <v>120</v>
      </c>
      <c r="E274" t="s">
        <v>6</v>
      </c>
      <c r="F274">
        <v>18.392800000000001</v>
      </c>
    </row>
    <row r="275" spans="1:6" hidden="1" x14ac:dyDescent="0.25">
      <c r="A275" t="s">
        <v>7</v>
      </c>
      <c r="B275" s="2">
        <v>42496</v>
      </c>
      <c r="C275">
        <f t="shared" si="7"/>
        <v>2016</v>
      </c>
      <c r="D275">
        <f t="shared" si="8"/>
        <v>127</v>
      </c>
      <c r="E275" t="s">
        <v>6</v>
      </c>
      <c r="F275">
        <v>19.4208</v>
      </c>
    </row>
    <row r="276" spans="1:6" hidden="1" x14ac:dyDescent="0.25">
      <c r="A276" t="s">
        <v>7</v>
      </c>
      <c r="B276" s="2">
        <v>42510</v>
      </c>
      <c r="C276">
        <f t="shared" si="7"/>
        <v>2016</v>
      </c>
      <c r="D276">
        <f t="shared" si="8"/>
        <v>141</v>
      </c>
      <c r="E276" t="s">
        <v>6</v>
      </c>
      <c r="F276">
        <v>20.248800000000003</v>
      </c>
    </row>
    <row r="277" spans="1:6" hidden="1" x14ac:dyDescent="0.25">
      <c r="A277" t="s">
        <v>7</v>
      </c>
      <c r="B277" s="2">
        <v>42523</v>
      </c>
      <c r="C277">
        <f t="shared" si="7"/>
        <v>2016</v>
      </c>
      <c r="D277">
        <f t="shared" si="8"/>
        <v>154</v>
      </c>
      <c r="E277" t="s">
        <v>6</v>
      </c>
      <c r="F277">
        <v>20.370199999999997</v>
      </c>
    </row>
    <row r="278" spans="1:6" hidden="1" x14ac:dyDescent="0.25">
      <c r="A278" t="s">
        <v>7</v>
      </c>
      <c r="B278" s="2">
        <v>42535</v>
      </c>
      <c r="C278">
        <f t="shared" si="7"/>
        <v>2016</v>
      </c>
      <c r="D278">
        <f t="shared" si="8"/>
        <v>166</v>
      </c>
      <c r="E278" t="s">
        <v>6</v>
      </c>
      <c r="F278">
        <v>21.318899999999999</v>
      </c>
    </row>
    <row r="279" spans="1:6" hidden="1" x14ac:dyDescent="0.25">
      <c r="A279" t="s">
        <v>7</v>
      </c>
      <c r="B279" s="2">
        <v>42753</v>
      </c>
      <c r="C279">
        <f t="shared" si="7"/>
        <v>2017</v>
      </c>
      <c r="D279">
        <f t="shared" si="8"/>
        <v>18</v>
      </c>
      <c r="E279" t="s">
        <v>6</v>
      </c>
      <c r="F279">
        <v>5.1040000000000001</v>
      </c>
    </row>
    <row r="280" spans="1:6" hidden="1" x14ac:dyDescent="0.25">
      <c r="A280" t="s">
        <v>7</v>
      </c>
      <c r="B280" s="2">
        <v>42789</v>
      </c>
      <c r="C280">
        <f t="shared" si="7"/>
        <v>2017</v>
      </c>
      <c r="D280">
        <f t="shared" si="8"/>
        <v>54</v>
      </c>
      <c r="E280" t="s">
        <v>6</v>
      </c>
      <c r="F280">
        <v>11.519600000000001</v>
      </c>
    </row>
    <row r="281" spans="1:6" hidden="1" x14ac:dyDescent="0.25">
      <c r="A281" t="s">
        <v>7</v>
      </c>
      <c r="B281" s="2">
        <v>42804</v>
      </c>
      <c r="C281">
        <f t="shared" si="7"/>
        <v>2017</v>
      </c>
      <c r="D281">
        <f t="shared" si="8"/>
        <v>69</v>
      </c>
      <c r="E281" t="s">
        <v>6</v>
      </c>
      <c r="F281">
        <v>15.008799999999999</v>
      </c>
    </row>
    <row r="282" spans="1:6" hidden="1" x14ac:dyDescent="0.25">
      <c r="A282" t="s">
        <v>7</v>
      </c>
      <c r="B282" s="2">
        <v>42817</v>
      </c>
      <c r="C282">
        <f t="shared" si="7"/>
        <v>2017</v>
      </c>
      <c r="D282">
        <f t="shared" si="8"/>
        <v>82</v>
      </c>
      <c r="E282" t="s">
        <v>6</v>
      </c>
      <c r="F282">
        <v>17.391000000000002</v>
      </c>
    </row>
    <row r="283" spans="1:6" hidden="1" x14ac:dyDescent="0.25">
      <c r="A283" t="s">
        <v>7</v>
      </c>
      <c r="B283" s="2">
        <v>42832</v>
      </c>
      <c r="C283">
        <f t="shared" si="7"/>
        <v>2017</v>
      </c>
      <c r="D283">
        <f t="shared" si="8"/>
        <v>97</v>
      </c>
      <c r="E283" t="s">
        <v>6</v>
      </c>
      <c r="F283">
        <v>19.684200000000001</v>
      </c>
    </row>
    <row r="284" spans="1:6" hidden="1" x14ac:dyDescent="0.25">
      <c r="A284" t="s">
        <v>7</v>
      </c>
      <c r="B284" s="2">
        <v>42838</v>
      </c>
      <c r="C284">
        <f t="shared" si="7"/>
        <v>2017</v>
      </c>
      <c r="D284">
        <f t="shared" si="8"/>
        <v>103</v>
      </c>
      <c r="E284" t="s">
        <v>6</v>
      </c>
      <c r="F284">
        <v>20.144000000000002</v>
      </c>
    </row>
    <row r="285" spans="1:6" hidden="1" x14ac:dyDescent="0.25">
      <c r="A285" t="s">
        <v>7</v>
      </c>
      <c r="B285" s="2">
        <v>42845</v>
      </c>
      <c r="C285">
        <f t="shared" si="7"/>
        <v>2017</v>
      </c>
      <c r="D285">
        <f t="shared" si="8"/>
        <v>110</v>
      </c>
      <c r="E285" t="s">
        <v>6</v>
      </c>
      <c r="F285">
        <v>21.559699999999999</v>
      </c>
    </row>
    <row r="286" spans="1:6" hidden="1" x14ac:dyDescent="0.25">
      <c r="A286" t="s">
        <v>7</v>
      </c>
      <c r="B286" s="2">
        <v>42853</v>
      </c>
      <c r="C286">
        <f t="shared" si="7"/>
        <v>2017</v>
      </c>
      <c r="D286">
        <f t="shared" si="8"/>
        <v>118</v>
      </c>
      <c r="E286" t="s">
        <v>6</v>
      </c>
      <c r="F286">
        <v>22.3249</v>
      </c>
    </row>
    <row r="287" spans="1:6" hidden="1" x14ac:dyDescent="0.25">
      <c r="A287" t="s">
        <v>7</v>
      </c>
      <c r="B287" s="2">
        <v>42859</v>
      </c>
      <c r="C287">
        <f t="shared" si="7"/>
        <v>2017</v>
      </c>
      <c r="D287">
        <f t="shared" si="8"/>
        <v>124</v>
      </c>
      <c r="E287" t="s">
        <v>6</v>
      </c>
      <c r="F287">
        <v>22.423000000000002</v>
      </c>
    </row>
    <row r="288" spans="1:6" hidden="1" x14ac:dyDescent="0.25">
      <c r="A288" t="s">
        <v>7</v>
      </c>
      <c r="B288" s="2">
        <v>42873</v>
      </c>
      <c r="C288">
        <f t="shared" si="7"/>
        <v>2017</v>
      </c>
      <c r="D288">
        <f t="shared" si="8"/>
        <v>138</v>
      </c>
      <c r="E288" t="s">
        <v>6</v>
      </c>
      <c r="F288">
        <v>23.824199999999998</v>
      </c>
    </row>
    <row r="289" spans="1:6" hidden="1" x14ac:dyDescent="0.25">
      <c r="A289" t="s">
        <v>7</v>
      </c>
      <c r="B289" s="2">
        <v>42887</v>
      </c>
      <c r="C289">
        <f t="shared" si="7"/>
        <v>2017</v>
      </c>
      <c r="D289">
        <f t="shared" si="8"/>
        <v>152</v>
      </c>
      <c r="E289" t="s">
        <v>6</v>
      </c>
      <c r="F289">
        <v>23.8596</v>
      </c>
    </row>
    <row r="290" spans="1:6" hidden="1" x14ac:dyDescent="0.25">
      <c r="A290" t="s">
        <v>7</v>
      </c>
      <c r="B290" s="2">
        <v>42894</v>
      </c>
      <c r="C290">
        <f t="shared" si="7"/>
        <v>2017</v>
      </c>
      <c r="D290">
        <f t="shared" si="8"/>
        <v>159</v>
      </c>
      <c r="E290" t="s">
        <v>6</v>
      </c>
      <c r="F290">
        <v>23.692900000000005</v>
      </c>
    </row>
    <row r="291" spans="1:6" hidden="1" x14ac:dyDescent="0.25">
      <c r="A291" t="s">
        <v>7</v>
      </c>
      <c r="B291" s="2">
        <v>42908</v>
      </c>
      <c r="C291">
        <f t="shared" si="7"/>
        <v>2017</v>
      </c>
      <c r="D291">
        <f t="shared" si="8"/>
        <v>173</v>
      </c>
      <c r="E291" t="s">
        <v>6</v>
      </c>
      <c r="F291">
        <v>22.8583</v>
      </c>
    </row>
    <row r="292" spans="1:6" hidden="1" x14ac:dyDescent="0.25">
      <c r="A292" t="s">
        <v>7</v>
      </c>
      <c r="B292" s="2">
        <v>43116</v>
      </c>
      <c r="C292">
        <f t="shared" si="7"/>
        <v>2018</v>
      </c>
      <c r="D292">
        <f t="shared" si="8"/>
        <v>16</v>
      </c>
      <c r="E292" t="s">
        <v>6</v>
      </c>
      <c r="F292">
        <v>4.3664999999999994</v>
      </c>
    </row>
    <row r="293" spans="1:6" hidden="1" x14ac:dyDescent="0.25">
      <c r="A293" t="s">
        <v>7</v>
      </c>
      <c r="B293" s="2">
        <v>43151</v>
      </c>
      <c r="C293">
        <f t="shared" si="7"/>
        <v>2018</v>
      </c>
      <c r="D293">
        <f t="shared" si="8"/>
        <v>51</v>
      </c>
      <c r="E293" t="s">
        <v>6</v>
      </c>
      <c r="F293">
        <v>9.3225000000000016</v>
      </c>
    </row>
    <row r="294" spans="1:6" hidden="1" x14ac:dyDescent="0.25">
      <c r="A294" t="s">
        <v>7</v>
      </c>
      <c r="B294" s="2">
        <v>43165</v>
      </c>
      <c r="C294">
        <f t="shared" si="7"/>
        <v>2018</v>
      </c>
      <c r="D294">
        <f t="shared" si="8"/>
        <v>65</v>
      </c>
      <c r="E294" t="s">
        <v>6</v>
      </c>
      <c r="F294">
        <v>12.8369</v>
      </c>
    </row>
    <row r="295" spans="1:6" hidden="1" x14ac:dyDescent="0.25">
      <c r="A295" t="s">
        <v>7</v>
      </c>
      <c r="B295" s="2">
        <v>43179</v>
      </c>
      <c r="C295">
        <f t="shared" si="7"/>
        <v>2018</v>
      </c>
      <c r="D295">
        <f t="shared" si="8"/>
        <v>79</v>
      </c>
      <c r="E295" t="s">
        <v>6</v>
      </c>
      <c r="F295">
        <v>14.657400000000001</v>
      </c>
    </row>
    <row r="296" spans="1:6" hidden="1" x14ac:dyDescent="0.25">
      <c r="A296" t="s">
        <v>7</v>
      </c>
      <c r="B296" s="2">
        <v>43194</v>
      </c>
      <c r="C296">
        <f t="shared" si="7"/>
        <v>2018</v>
      </c>
      <c r="D296">
        <f t="shared" si="8"/>
        <v>94</v>
      </c>
      <c r="E296" t="s">
        <v>6</v>
      </c>
      <c r="F296">
        <v>16.758600000000001</v>
      </c>
    </row>
    <row r="297" spans="1:6" hidden="1" x14ac:dyDescent="0.25">
      <c r="A297" t="s">
        <v>7</v>
      </c>
      <c r="B297" s="2">
        <v>43201</v>
      </c>
      <c r="C297">
        <f t="shared" si="7"/>
        <v>2018</v>
      </c>
      <c r="D297">
        <f t="shared" si="8"/>
        <v>101</v>
      </c>
      <c r="E297" t="s">
        <v>6</v>
      </c>
      <c r="F297">
        <v>17.236800000000002</v>
      </c>
    </row>
    <row r="298" spans="1:6" hidden="1" x14ac:dyDescent="0.25">
      <c r="A298" t="s">
        <v>7</v>
      </c>
      <c r="B298" s="2">
        <v>43209</v>
      </c>
      <c r="C298">
        <f t="shared" si="7"/>
        <v>2018</v>
      </c>
      <c r="D298">
        <f t="shared" si="8"/>
        <v>109</v>
      </c>
      <c r="E298" t="s">
        <v>6</v>
      </c>
      <c r="F298">
        <v>17.750700000000002</v>
      </c>
    </row>
    <row r="299" spans="1:6" hidden="1" x14ac:dyDescent="0.25">
      <c r="A299" t="s">
        <v>7</v>
      </c>
      <c r="B299" s="2">
        <v>43215</v>
      </c>
      <c r="C299">
        <f t="shared" si="7"/>
        <v>2018</v>
      </c>
      <c r="D299">
        <f t="shared" si="8"/>
        <v>115</v>
      </c>
      <c r="E299" t="s">
        <v>6</v>
      </c>
      <c r="F299">
        <v>18.916800000000002</v>
      </c>
    </row>
    <row r="300" spans="1:6" hidden="1" x14ac:dyDescent="0.25">
      <c r="A300" t="s">
        <v>7</v>
      </c>
      <c r="B300" s="2">
        <v>43221</v>
      </c>
      <c r="C300">
        <f t="shared" si="7"/>
        <v>2018</v>
      </c>
      <c r="D300">
        <f t="shared" si="8"/>
        <v>121</v>
      </c>
      <c r="E300" t="s">
        <v>6</v>
      </c>
      <c r="F300">
        <v>19.771000000000001</v>
      </c>
    </row>
    <row r="301" spans="1:6" hidden="1" x14ac:dyDescent="0.25">
      <c r="A301" t="s">
        <v>7</v>
      </c>
      <c r="B301" s="2">
        <v>43235</v>
      </c>
      <c r="C301">
        <f t="shared" si="7"/>
        <v>2018</v>
      </c>
      <c r="D301">
        <f t="shared" si="8"/>
        <v>135</v>
      </c>
      <c r="E301" t="s">
        <v>6</v>
      </c>
      <c r="F301">
        <v>19.929600000000001</v>
      </c>
    </row>
    <row r="302" spans="1:6" hidden="1" x14ac:dyDescent="0.25">
      <c r="A302" t="s">
        <v>7</v>
      </c>
      <c r="B302" s="2">
        <v>43249</v>
      </c>
      <c r="C302">
        <f t="shared" si="7"/>
        <v>2018</v>
      </c>
      <c r="D302">
        <f t="shared" si="8"/>
        <v>149</v>
      </c>
      <c r="E302" t="s">
        <v>6</v>
      </c>
      <c r="F302">
        <v>20.310400000000001</v>
      </c>
    </row>
    <row r="303" spans="1:6" hidden="1" x14ac:dyDescent="0.25">
      <c r="A303" t="s">
        <v>7</v>
      </c>
      <c r="B303" s="2">
        <v>43479</v>
      </c>
      <c r="C303">
        <f t="shared" si="7"/>
        <v>2019</v>
      </c>
      <c r="D303">
        <f t="shared" si="8"/>
        <v>14</v>
      </c>
      <c r="E303" t="s">
        <v>6</v>
      </c>
      <c r="F303">
        <v>4.1318000000000001</v>
      </c>
    </row>
    <row r="304" spans="1:6" hidden="1" x14ac:dyDescent="0.25">
      <c r="A304" t="s">
        <v>7</v>
      </c>
      <c r="B304" s="2">
        <v>43515</v>
      </c>
      <c r="C304">
        <f t="shared" si="7"/>
        <v>2019</v>
      </c>
      <c r="D304">
        <f t="shared" si="8"/>
        <v>50</v>
      </c>
      <c r="E304" t="s">
        <v>6</v>
      </c>
      <c r="F304">
        <v>9.7136999999999993</v>
      </c>
    </row>
    <row r="305" spans="1:6" hidden="1" x14ac:dyDescent="0.25">
      <c r="A305" t="s">
        <v>7</v>
      </c>
      <c r="B305" s="2">
        <v>43529</v>
      </c>
      <c r="C305">
        <f t="shared" si="7"/>
        <v>2019</v>
      </c>
      <c r="D305">
        <f t="shared" si="8"/>
        <v>64</v>
      </c>
      <c r="E305" t="s">
        <v>6</v>
      </c>
      <c r="F305">
        <v>12.059599999999998</v>
      </c>
    </row>
    <row r="306" spans="1:6" hidden="1" x14ac:dyDescent="0.25">
      <c r="A306" t="s">
        <v>7</v>
      </c>
      <c r="B306" s="2">
        <v>43543</v>
      </c>
      <c r="C306">
        <f t="shared" si="7"/>
        <v>2019</v>
      </c>
      <c r="D306">
        <f t="shared" si="8"/>
        <v>78</v>
      </c>
      <c r="E306" t="s">
        <v>6</v>
      </c>
      <c r="F306">
        <v>14.828099999999999</v>
      </c>
    </row>
    <row r="307" spans="1:6" hidden="1" x14ac:dyDescent="0.25">
      <c r="A307" t="s">
        <v>7</v>
      </c>
      <c r="B307" s="2">
        <v>43557</v>
      </c>
      <c r="C307">
        <f t="shared" si="7"/>
        <v>2019</v>
      </c>
      <c r="D307">
        <f t="shared" si="8"/>
        <v>92</v>
      </c>
      <c r="E307" t="s">
        <v>6</v>
      </c>
      <c r="F307">
        <v>17.16</v>
      </c>
    </row>
    <row r="308" spans="1:6" hidden="1" x14ac:dyDescent="0.25">
      <c r="A308" t="s">
        <v>7</v>
      </c>
      <c r="B308" s="2">
        <v>43564</v>
      </c>
      <c r="C308">
        <f t="shared" si="7"/>
        <v>2019</v>
      </c>
      <c r="D308">
        <f t="shared" si="8"/>
        <v>99</v>
      </c>
      <c r="E308" t="s">
        <v>6</v>
      </c>
      <c r="F308">
        <v>17.0183</v>
      </c>
    </row>
    <row r="309" spans="1:6" hidden="1" x14ac:dyDescent="0.25">
      <c r="A309" t="s">
        <v>7</v>
      </c>
      <c r="B309" s="2">
        <v>43570</v>
      </c>
      <c r="C309">
        <f t="shared" si="7"/>
        <v>2019</v>
      </c>
      <c r="D309">
        <f t="shared" si="8"/>
        <v>105</v>
      </c>
      <c r="E309" t="s">
        <v>6</v>
      </c>
      <c r="F309">
        <v>17.153000000000002</v>
      </c>
    </row>
    <row r="310" spans="1:6" hidden="1" x14ac:dyDescent="0.25">
      <c r="A310" t="s">
        <v>7</v>
      </c>
      <c r="B310" s="2">
        <v>43577</v>
      </c>
      <c r="C310">
        <f t="shared" si="7"/>
        <v>2019</v>
      </c>
      <c r="D310">
        <f t="shared" si="8"/>
        <v>112</v>
      </c>
      <c r="E310" t="s">
        <v>6</v>
      </c>
      <c r="F310">
        <v>18.1996</v>
      </c>
    </row>
    <row r="311" spans="1:6" hidden="1" x14ac:dyDescent="0.25">
      <c r="A311" t="s">
        <v>7</v>
      </c>
      <c r="B311" s="2">
        <v>43584</v>
      </c>
      <c r="C311">
        <f t="shared" si="7"/>
        <v>2019</v>
      </c>
      <c r="D311">
        <f t="shared" si="8"/>
        <v>119</v>
      </c>
      <c r="E311" t="s">
        <v>6</v>
      </c>
      <c r="F311">
        <v>16.344999999999999</v>
      </c>
    </row>
    <row r="312" spans="1:6" hidden="1" x14ac:dyDescent="0.25">
      <c r="A312" t="s">
        <v>7</v>
      </c>
      <c r="B312" s="2">
        <v>43613</v>
      </c>
      <c r="C312">
        <f t="shared" si="7"/>
        <v>2019</v>
      </c>
      <c r="D312">
        <f t="shared" si="8"/>
        <v>148</v>
      </c>
      <c r="E312" t="s">
        <v>6</v>
      </c>
      <c r="F312">
        <v>20.093399999999999</v>
      </c>
    </row>
    <row r="313" spans="1:6" hidden="1" x14ac:dyDescent="0.25">
      <c r="A313" t="s">
        <v>7</v>
      </c>
      <c r="B313" s="2">
        <v>43851</v>
      </c>
      <c r="C313">
        <f t="shared" si="7"/>
        <v>2020</v>
      </c>
      <c r="D313">
        <f t="shared" si="8"/>
        <v>21</v>
      </c>
      <c r="E313" t="s">
        <v>6</v>
      </c>
      <c r="F313">
        <v>5.3330999999999991</v>
      </c>
    </row>
    <row r="314" spans="1:6" hidden="1" x14ac:dyDescent="0.25">
      <c r="A314" t="s">
        <v>7</v>
      </c>
      <c r="B314" s="2">
        <v>43880</v>
      </c>
      <c r="C314">
        <f t="shared" si="7"/>
        <v>2020</v>
      </c>
      <c r="D314">
        <f t="shared" si="8"/>
        <v>50</v>
      </c>
      <c r="E314" t="s">
        <v>6</v>
      </c>
      <c r="F314">
        <v>11.4168</v>
      </c>
    </row>
    <row r="315" spans="1:6" hidden="1" x14ac:dyDescent="0.25">
      <c r="A315" t="s">
        <v>7</v>
      </c>
      <c r="B315" s="2">
        <v>43894</v>
      </c>
      <c r="C315">
        <f t="shared" ref="C315:C378" si="9">YEAR(B315)</f>
        <v>2020</v>
      </c>
      <c r="D315">
        <f t="shared" si="8"/>
        <v>64</v>
      </c>
      <c r="E315" t="s">
        <v>6</v>
      </c>
      <c r="F315">
        <v>12.3223</v>
      </c>
    </row>
    <row r="316" spans="1:6" hidden="1" x14ac:dyDescent="0.25">
      <c r="A316" t="s">
        <v>7</v>
      </c>
      <c r="B316" s="2">
        <v>43907</v>
      </c>
      <c r="C316">
        <f t="shared" si="9"/>
        <v>2020</v>
      </c>
      <c r="D316">
        <f t="shared" si="8"/>
        <v>77</v>
      </c>
      <c r="E316" t="s">
        <v>6</v>
      </c>
      <c r="F316">
        <v>15.345000000000001</v>
      </c>
    </row>
    <row r="317" spans="1:6" hidden="1" x14ac:dyDescent="0.25">
      <c r="A317" t="s">
        <v>7</v>
      </c>
      <c r="B317" s="2">
        <v>43951</v>
      </c>
      <c r="C317">
        <f t="shared" si="9"/>
        <v>2020</v>
      </c>
      <c r="D317">
        <f t="shared" si="8"/>
        <v>121</v>
      </c>
      <c r="E317" t="s">
        <v>6</v>
      </c>
      <c r="F317">
        <v>20.304000000000002</v>
      </c>
    </row>
    <row r="318" spans="1:6" hidden="1" x14ac:dyDescent="0.25">
      <c r="A318" t="s">
        <v>7</v>
      </c>
      <c r="B318" s="2">
        <v>43963</v>
      </c>
      <c r="C318">
        <f t="shared" si="9"/>
        <v>2020</v>
      </c>
      <c r="D318">
        <f t="shared" si="8"/>
        <v>133</v>
      </c>
      <c r="E318" t="s">
        <v>6</v>
      </c>
      <c r="F318">
        <v>20.374199999999998</v>
      </c>
    </row>
    <row r="319" spans="1:6" hidden="1" x14ac:dyDescent="0.25">
      <c r="A319" t="s">
        <v>7</v>
      </c>
      <c r="B319" s="2">
        <v>43979</v>
      </c>
      <c r="C319">
        <f t="shared" si="9"/>
        <v>2020</v>
      </c>
      <c r="D319">
        <f t="shared" si="8"/>
        <v>149</v>
      </c>
      <c r="E319" t="s">
        <v>6</v>
      </c>
      <c r="F319">
        <v>21.040500000000002</v>
      </c>
    </row>
    <row r="320" spans="1:6" hidden="1" x14ac:dyDescent="0.25">
      <c r="A320" t="s">
        <v>7</v>
      </c>
      <c r="B320" s="2">
        <v>44223</v>
      </c>
      <c r="C320">
        <f t="shared" si="9"/>
        <v>2021</v>
      </c>
      <c r="D320">
        <f t="shared" si="8"/>
        <v>27</v>
      </c>
      <c r="E320" t="s">
        <v>6</v>
      </c>
      <c r="F320">
        <v>6.9319183664277553</v>
      </c>
    </row>
    <row r="321" spans="1:6" hidden="1" x14ac:dyDescent="0.25">
      <c r="A321" t="s">
        <v>7</v>
      </c>
      <c r="B321" s="2">
        <v>44258</v>
      </c>
      <c r="C321">
        <f t="shared" si="9"/>
        <v>2021</v>
      </c>
      <c r="D321">
        <f t="shared" si="8"/>
        <v>62</v>
      </c>
      <c r="E321" t="s">
        <v>6</v>
      </c>
      <c r="F321">
        <v>13.780894783470638</v>
      </c>
    </row>
    <row r="322" spans="1:6" hidden="1" x14ac:dyDescent="0.25">
      <c r="A322" t="s">
        <v>7</v>
      </c>
      <c r="B322" s="2">
        <v>44272</v>
      </c>
      <c r="C322">
        <f t="shared" si="9"/>
        <v>2021</v>
      </c>
      <c r="D322">
        <f t="shared" ref="D322:D385" si="10">B322-DATE(YEAR(B322),1,0)</f>
        <v>76</v>
      </c>
      <c r="E322" t="s">
        <v>6</v>
      </c>
      <c r="F322">
        <v>16.191051188890199</v>
      </c>
    </row>
    <row r="323" spans="1:6" hidden="1" x14ac:dyDescent="0.25">
      <c r="A323" t="s">
        <v>7</v>
      </c>
      <c r="B323" s="2">
        <v>44286</v>
      </c>
      <c r="C323">
        <f t="shared" si="9"/>
        <v>2021</v>
      </c>
      <c r="D323">
        <f t="shared" si="10"/>
        <v>90</v>
      </c>
      <c r="E323" t="s">
        <v>6</v>
      </c>
      <c r="F323">
        <v>17.405492056011052</v>
      </c>
    </row>
    <row r="324" spans="1:6" hidden="1" x14ac:dyDescent="0.25">
      <c r="A324" t="s">
        <v>7</v>
      </c>
      <c r="B324" s="2">
        <v>44300</v>
      </c>
      <c r="C324">
        <f t="shared" si="9"/>
        <v>2021</v>
      </c>
      <c r="D324">
        <f t="shared" si="10"/>
        <v>104</v>
      </c>
      <c r="E324" t="s">
        <v>6</v>
      </c>
      <c r="F324">
        <v>18.476749288753865</v>
      </c>
    </row>
    <row r="325" spans="1:6" hidden="1" x14ac:dyDescent="0.25">
      <c r="A325" t="s">
        <v>7</v>
      </c>
      <c r="B325" s="2">
        <v>44307</v>
      </c>
      <c r="C325">
        <f t="shared" si="9"/>
        <v>2021</v>
      </c>
      <c r="D325">
        <f t="shared" si="10"/>
        <v>111</v>
      </c>
      <c r="E325" t="s">
        <v>6</v>
      </c>
      <c r="F325">
        <v>18.760523213785294</v>
      </c>
    </row>
    <row r="326" spans="1:6" hidden="1" x14ac:dyDescent="0.25">
      <c r="A326" t="s">
        <v>7</v>
      </c>
      <c r="B326" s="2">
        <v>44315</v>
      </c>
      <c r="C326">
        <f t="shared" si="9"/>
        <v>2021</v>
      </c>
      <c r="D326">
        <f t="shared" si="10"/>
        <v>119</v>
      </c>
      <c r="E326" t="s">
        <v>6</v>
      </c>
      <c r="F326">
        <v>19.48157763281246</v>
      </c>
    </row>
    <row r="327" spans="1:6" hidden="1" x14ac:dyDescent="0.25">
      <c r="A327" t="s">
        <v>7</v>
      </c>
      <c r="B327" s="2">
        <v>44321</v>
      </c>
      <c r="C327">
        <f t="shared" si="9"/>
        <v>2021</v>
      </c>
      <c r="D327">
        <f t="shared" si="10"/>
        <v>125</v>
      </c>
      <c r="E327" t="s">
        <v>6</v>
      </c>
      <c r="F327">
        <v>17.781141937861513</v>
      </c>
    </row>
    <row r="328" spans="1:6" hidden="1" x14ac:dyDescent="0.25">
      <c r="A328" t="s">
        <v>7</v>
      </c>
      <c r="B328" s="2">
        <v>44335</v>
      </c>
      <c r="C328">
        <f t="shared" si="9"/>
        <v>2021</v>
      </c>
      <c r="D328">
        <f t="shared" si="10"/>
        <v>139</v>
      </c>
      <c r="E328" t="s">
        <v>6</v>
      </c>
      <c r="F328">
        <v>20.557990280205107</v>
      </c>
    </row>
    <row r="329" spans="1:6" hidden="1" x14ac:dyDescent="0.25">
      <c r="A329" t="s">
        <v>7</v>
      </c>
      <c r="B329" s="2">
        <v>44348</v>
      </c>
      <c r="C329">
        <f t="shared" si="9"/>
        <v>2021</v>
      </c>
      <c r="D329">
        <f t="shared" si="10"/>
        <v>152</v>
      </c>
      <c r="E329" t="s">
        <v>6</v>
      </c>
      <c r="F329">
        <v>19.39898301327348</v>
      </c>
    </row>
    <row r="330" spans="1:6" hidden="1" x14ac:dyDescent="0.25">
      <c r="A330" t="s">
        <v>7</v>
      </c>
      <c r="B330" s="2">
        <v>42386</v>
      </c>
      <c r="C330">
        <f t="shared" si="9"/>
        <v>2016</v>
      </c>
      <c r="D330">
        <f t="shared" si="10"/>
        <v>17</v>
      </c>
      <c r="E330" t="s">
        <v>6</v>
      </c>
      <c r="F330">
        <v>5.0204000000000004</v>
      </c>
    </row>
    <row r="331" spans="1:6" hidden="1" x14ac:dyDescent="0.25">
      <c r="A331" t="s">
        <v>7</v>
      </c>
      <c r="B331" s="2">
        <v>42386</v>
      </c>
      <c r="C331">
        <f t="shared" si="9"/>
        <v>2016</v>
      </c>
      <c r="D331">
        <f t="shared" si="10"/>
        <v>17</v>
      </c>
      <c r="E331" t="s">
        <v>6</v>
      </c>
      <c r="F331">
        <v>4.4855999999999998</v>
      </c>
    </row>
    <row r="332" spans="1:6" hidden="1" x14ac:dyDescent="0.25">
      <c r="A332" t="s">
        <v>7</v>
      </c>
      <c r="B332" s="2">
        <v>42386</v>
      </c>
      <c r="C332">
        <f t="shared" si="9"/>
        <v>2016</v>
      </c>
      <c r="D332">
        <f t="shared" si="10"/>
        <v>17</v>
      </c>
      <c r="E332" t="s">
        <v>6</v>
      </c>
      <c r="F332">
        <v>4.4676</v>
      </c>
    </row>
    <row r="333" spans="1:6" hidden="1" x14ac:dyDescent="0.25">
      <c r="A333" t="s">
        <v>7</v>
      </c>
      <c r="B333" s="2">
        <v>42389</v>
      </c>
      <c r="C333">
        <f t="shared" si="9"/>
        <v>2016</v>
      </c>
      <c r="D333">
        <f t="shared" si="10"/>
        <v>20</v>
      </c>
      <c r="E333" t="s">
        <v>6</v>
      </c>
      <c r="F333">
        <v>4.758</v>
      </c>
    </row>
    <row r="334" spans="1:6" hidden="1" x14ac:dyDescent="0.25">
      <c r="A334" t="s">
        <v>7</v>
      </c>
      <c r="B334" s="2">
        <v>42424</v>
      </c>
      <c r="C334">
        <f t="shared" si="9"/>
        <v>2016</v>
      </c>
      <c r="D334">
        <f t="shared" si="10"/>
        <v>55</v>
      </c>
      <c r="E334" t="s">
        <v>6</v>
      </c>
      <c r="F334">
        <v>12.196100000000001</v>
      </c>
    </row>
    <row r="335" spans="1:6" hidden="1" x14ac:dyDescent="0.25">
      <c r="A335" t="s">
        <v>7</v>
      </c>
      <c r="B335" s="2">
        <v>42424</v>
      </c>
      <c r="C335">
        <f t="shared" si="9"/>
        <v>2016</v>
      </c>
      <c r="D335">
        <f t="shared" si="10"/>
        <v>55</v>
      </c>
      <c r="E335" t="s">
        <v>6</v>
      </c>
      <c r="F335">
        <v>11.2395</v>
      </c>
    </row>
    <row r="336" spans="1:6" hidden="1" x14ac:dyDescent="0.25">
      <c r="A336" t="s">
        <v>7</v>
      </c>
      <c r="B336" s="2">
        <v>42424</v>
      </c>
      <c r="C336">
        <f t="shared" si="9"/>
        <v>2016</v>
      </c>
      <c r="D336">
        <f t="shared" si="10"/>
        <v>55</v>
      </c>
      <c r="E336" t="s">
        <v>6</v>
      </c>
      <c r="F336">
        <v>9.4307999999999996</v>
      </c>
    </row>
    <row r="337" spans="1:6" hidden="1" x14ac:dyDescent="0.25">
      <c r="A337" t="s">
        <v>7</v>
      </c>
      <c r="B337" s="2">
        <v>42424</v>
      </c>
      <c r="C337">
        <f t="shared" si="9"/>
        <v>2016</v>
      </c>
      <c r="D337">
        <f t="shared" si="10"/>
        <v>55</v>
      </c>
      <c r="E337" t="s">
        <v>6</v>
      </c>
      <c r="F337">
        <v>9.2748000000000008</v>
      </c>
    </row>
    <row r="338" spans="1:6" hidden="1" x14ac:dyDescent="0.25">
      <c r="A338" t="s">
        <v>7</v>
      </c>
      <c r="B338" s="2">
        <v>42438</v>
      </c>
      <c r="C338">
        <f t="shared" si="9"/>
        <v>2016</v>
      </c>
      <c r="D338">
        <f t="shared" si="10"/>
        <v>69</v>
      </c>
      <c r="E338" t="s">
        <v>6</v>
      </c>
      <c r="F338">
        <v>11.587200000000001</v>
      </c>
    </row>
    <row r="339" spans="1:6" hidden="1" x14ac:dyDescent="0.25">
      <c r="A339" t="s">
        <v>7</v>
      </c>
      <c r="B339" s="2">
        <v>42439</v>
      </c>
      <c r="C339">
        <f t="shared" si="9"/>
        <v>2016</v>
      </c>
      <c r="D339">
        <f t="shared" si="10"/>
        <v>70</v>
      </c>
      <c r="E339" t="s">
        <v>6</v>
      </c>
      <c r="F339">
        <v>15.09</v>
      </c>
    </row>
    <row r="340" spans="1:6" hidden="1" x14ac:dyDescent="0.25">
      <c r="A340" t="s">
        <v>7</v>
      </c>
      <c r="B340" s="2">
        <v>42439</v>
      </c>
      <c r="C340">
        <f t="shared" si="9"/>
        <v>2016</v>
      </c>
      <c r="D340">
        <f t="shared" si="10"/>
        <v>70</v>
      </c>
      <c r="E340" t="s">
        <v>6</v>
      </c>
      <c r="F340">
        <v>14.128999999999998</v>
      </c>
    </row>
    <row r="341" spans="1:6" hidden="1" x14ac:dyDescent="0.25">
      <c r="A341" t="s">
        <v>7</v>
      </c>
      <c r="B341" s="2">
        <v>42439</v>
      </c>
      <c r="C341">
        <f t="shared" si="9"/>
        <v>2016</v>
      </c>
      <c r="D341">
        <f t="shared" si="10"/>
        <v>70</v>
      </c>
      <c r="E341" t="s">
        <v>6</v>
      </c>
      <c r="F341">
        <v>11.226700000000001</v>
      </c>
    </row>
    <row r="342" spans="1:6" hidden="1" x14ac:dyDescent="0.25">
      <c r="A342" t="s">
        <v>7</v>
      </c>
      <c r="B342" s="2">
        <v>42452</v>
      </c>
      <c r="C342">
        <f t="shared" si="9"/>
        <v>2016</v>
      </c>
      <c r="D342">
        <f t="shared" si="10"/>
        <v>83</v>
      </c>
      <c r="E342" t="s">
        <v>6</v>
      </c>
      <c r="F342">
        <v>17.301000000000002</v>
      </c>
    </row>
    <row r="343" spans="1:6" hidden="1" x14ac:dyDescent="0.25">
      <c r="A343" t="s">
        <v>7</v>
      </c>
      <c r="B343" s="2">
        <v>42452</v>
      </c>
      <c r="C343">
        <f t="shared" si="9"/>
        <v>2016</v>
      </c>
      <c r="D343">
        <f t="shared" si="10"/>
        <v>83</v>
      </c>
      <c r="E343" t="s">
        <v>6</v>
      </c>
      <c r="F343">
        <v>15.54</v>
      </c>
    </row>
    <row r="344" spans="1:6" hidden="1" x14ac:dyDescent="0.25">
      <c r="A344" t="s">
        <v>7</v>
      </c>
      <c r="B344" s="2">
        <v>42452</v>
      </c>
      <c r="C344">
        <f t="shared" si="9"/>
        <v>2016</v>
      </c>
      <c r="D344">
        <f t="shared" si="10"/>
        <v>83</v>
      </c>
      <c r="E344" t="s">
        <v>6</v>
      </c>
      <c r="F344">
        <v>13.2258</v>
      </c>
    </row>
    <row r="345" spans="1:6" hidden="1" x14ac:dyDescent="0.25">
      <c r="A345" t="s">
        <v>7</v>
      </c>
      <c r="B345" s="2">
        <v>42452</v>
      </c>
      <c r="C345">
        <f t="shared" si="9"/>
        <v>2016</v>
      </c>
      <c r="D345">
        <f t="shared" si="10"/>
        <v>83</v>
      </c>
      <c r="E345" t="s">
        <v>6</v>
      </c>
      <c r="F345">
        <v>13.281999999999998</v>
      </c>
    </row>
    <row r="346" spans="1:6" hidden="1" x14ac:dyDescent="0.25">
      <c r="A346" t="s">
        <v>7</v>
      </c>
      <c r="B346" s="2">
        <v>42467</v>
      </c>
      <c r="C346">
        <f t="shared" si="9"/>
        <v>2016</v>
      </c>
      <c r="D346">
        <f t="shared" si="10"/>
        <v>98</v>
      </c>
      <c r="E346" t="s">
        <v>6</v>
      </c>
      <c r="F346">
        <v>19.822900000000001</v>
      </c>
    </row>
    <row r="347" spans="1:6" hidden="1" x14ac:dyDescent="0.25">
      <c r="A347" t="s">
        <v>7</v>
      </c>
      <c r="B347" s="2">
        <v>42467</v>
      </c>
      <c r="C347">
        <f t="shared" si="9"/>
        <v>2016</v>
      </c>
      <c r="D347">
        <f t="shared" si="10"/>
        <v>98</v>
      </c>
      <c r="E347" t="s">
        <v>6</v>
      </c>
      <c r="F347">
        <v>17.417400000000001</v>
      </c>
    </row>
    <row r="348" spans="1:6" hidden="1" x14ac:dyDescent="0.25">
      <c r="A348" t="s">
        <v>7</v>
      </c>
      <c r="B348" s="2">
        <v>42467</v>
      </c>
      <c r="C348">
        <f t="shared" si="9"/>
        <v>2016</v>
      </c>
      <c r="D348">
        <f t="shared" si="10"/>
        <v>98</v>
      </c>
      <c r="E348" t="s">
        <v>6</v>
      </c>
      <c r="F348">
        <v>15.3</v>
      </c>
    </row>
    <row r="349" spans="1:6" hidden="1" x14ac:dyDescent="0.25">
      <c r="A349" t="s">
        <v>7</v>
      </c>
      <c r="B349" s="2">
        <v>42467</v>
      </c>
      <c r="C349">
        <f t="shared" si="9"/>
        <v>2016</v>
      </c>
      <c r="D349">
        <f t="shared" si="10"/>
        <v>98</v>
      </c>
      <c r="E349" t="s">
        <v>6</v>
      </c>
      <c r="F349">
        <v>15.123999999999999</v>
      </c>
    </row>
    <row r="350" spans="1:6" hidden="1" x14ac:dyDescent="0.25">
      <c r="A350" t="s">
        <v>7</v>
      </c>
      <c r="B350" s="2">
        <v>42474</v>
      </c>
      <c r="C350">
        <f t="shared" si="9"/>
        <v>2016</v>
      </c>
      <c r="D350">
        <f t="shared" si="10"/>
        <v>105</v>
      </c>
      <c r="E350" t="s">
        <v>6</v>
      </c>
      <c r="F350">
        <v>15.631000000000002</v>
      </c>
    </row>
    <row r="351" spans="1:6" hidden="1" x14ac:dyDescent="0.25">
      <c r="A351" t="s">
        <v>7</v>
      </c>
      <c r="B351" s="2">
        <v>42475</v>
      </c>
      <c r="C351">
        <f t="shared" si="9"/>
        <v>2016</v>
      </c>
      <c r="D351">
        <f t="shared" si="10"/>
        <v>106</v>
      </c>
      <c r="E351" t="s">
        <v>6</v>
      </c>
      <c r="F351">
        <v>19.618500000000001</v>
      </c>
    </row>
    <row r="352" spans="1:6" hidden="1" x14ac:dyDescent="0.25">
      <c r="A352" t="s">
        <v>7</v>
      </c>
      <c r="B352" s="2">
        <v>42475</v>
      </c>
      <c r="C352">
        <f t="shared" si="9"/>
        <v>2016</v>
      </c>
      <c r="D352">
        <f t="shared" si="10"/>
        <v>106</v>
      </c>
      <c r="E352" t="s">
        <v>6</v>
      </c>
      <c r="F352">
        <v>17.6311</v>
      </c>
    </row>
    <row r="353" spans="1:6" hidden="1" x14ac:dyDescent="0.25">
      <c r="A353" t="s">
        <v>7</v>
      </c>
      <c r="B353" s="2">
        <v>42475</v>
      </c>
      <c r="C353">
        <f t="shared" si="9"/>
        <v>2016</v>
      </c>
      <c r="D353">
        <f t="shared" si="10"/>
        <v>106</v>
      </c>
      <c r="E353" t="s">
        <v>6</v>
      </c>
      <c r="F353">
        <v>15.853599999999998</v>
      </c>
    </row>
    <row r="354" spans="1:6" hidden="1" x14ac:dyDescent="0.25">
      <c r="A354" t="s">
        <v>7</v>
      </c>
      <c r="B354" s="2">
        <v>42482</v>
      </c>
      <c r="C354">
        <f t="shared" si="9"/>
        <v>2016</v>
      </c>
      <c r="D354">
        <f t="shared" si="10"/>
        <v>113</v>
      </c>
      <c r="E354" t="s">
        <v>6</v>
      </c>
      <c r="F354">
        <v>20.432100000000002</v>
      </c>
    </row>
    <row r="355" spans="1:6" hidden="1" x14ac:dyDescent="0.25">
      <c r="A355" t="s">
        <v>7</v>
      </c>
      <c r="B355" s="2">
        <v>42482</v>
      </c>
      <c r="C355">
        <f t="shared" si="9"/>
        <v>2016</v>
      </c>
      <c r="D355">
        <f t="shared" si="10"/>
        <v>113</v>
      </c>
      <c r="E355" t="s">
        <v>6</v>
      </c>
      <c r="F355">
        <v>17.929400000000001</v>
      </c>
    </row>
    <row r="356" spans="1:6" hidden="1" x14ac:dyDescent="0.25">
      <c r="A356" t="s">
        <v>7</v>
      </c>
      <c r="B356" s="2">
        <v>42482</v>
      </c>
      <c r="C356">
        <f t="shared" si="9"/>
        <v>2016</v>
      </c>
      <c r="D356">
        <f t="shared" si="10"/>
        <v>113</v>
      </c>
      <c r="E356" t="s">
        <v>6</v>
      </c>
      <c r="F356">
        <v>15.902999999999999</v>
      </c>
    </row>
    <row r="357" spans="1:6" hidden="1" x14ac:dyDescent="0.25">
      <c r="A357" t="s">
        <v>7</v>
      </c>
      <c r="B357" s="2">
        <v>42482</v>
      </c>
      <c r="C357">
        <f t="shared" si="9"/>
        <v>2016</v>
      </c>
      <c r="D357">
        <f t="shared" si="10"/>
        <v>113</v>
      </c>
      <c r="E357" t="s">
        <v>6</v>
      </c>
      <c r="F357">
        <v>15.250999999999999</v>
      </c>
    </row>
    <row r="358" spans="1:6" hidden="1" x14ac:dyDescent="0.25">
      <c r="A358" t="s">
        <v>7</v>
      </c>
      <c r="B358" s="2">
        <v>42489</v>
      </c>
      <c r="C358">
        <f t="shared" si="9"/>
        <v>2016</v>
      </c>
      <c r="D358">
        <f t="shared" si="10"/>
        <v>120</v>
      </c>
      <c r="E358" t="s">
        <v>6</v>
      </c>
      <c r="F358">
        <v>21.367199999999997</v>
      </c>
    </row>
    <row r="359" spans="1:6" hidden="1" x14ac:dyDescent="0.25">
      <c r="A359" t="s">
        <v>7</v>
      </c>
      <c r="B359" s="2">
        <v>42489</v>
      </c>
      <c r="C359">
        <f t="shared" si="9"/>
        <v>2016</v>
      </c>
      <c r="D359">
        <f t="shared" si="10"/>
        <v>120</v>
      </c>
      <c r="E359" t="s">
        <v>6</v>
      </c>
      <c r="F359">
        <v>18.768000000000001</v>
      </c>
    </row>
    <row r="360" spans="1:6" hidden="1" x14ac:dyDescent="0.25">
      <c r="A360" t="s">
        <v>7</v>
      </c>
      <c r="B360" s="2">
        <v>42489</v>
      </c>
      <c r="C360">
        <f t="shared" si="9"/>
        <v>2016</v>
      </c>
      <c r="D360">
        <f t="shared" si="10"/>
        <v>120</v>
      </c>
      <c r="E360" t="s">
        <v>6</v>
      </c>
      <c r="F360">
        <v>16.2181</v>
      </c>
    </row>
    <row r="361" spans="1:6" hidden="1" x14ac:dyDescent="0.25">
      <c r="A361" t="s">
        <v>7</v>
      </c>
      <c r="B361" s="2">
        <v>42489</v>
      </c>
      <c r="C361">
        <f t="shared" si="9"/>
        <v>2016</v>
      </c>
      <c r="D361">
        <f t="shared" si="10"/>
        <v>120</v>
      </c>
      <c r="E361" t="s">
        <v>6</v>
      </c>
      <c r="F361">
        <v>16.453599999999998</v>
      </c>
    </row>
    <row r="362" spans="1:6" hidden="1" x14ac:dyDescent="0.25">
      <c r="A362" t="s">
        <v>7</v>
      </c>
      <c r="B362" s="2">
        <v>42494</v>
      </c>
      <c r="C362">
        <f t="shared" si="9"/>
        <v>2016</v>
      </c>
      <c r="D362">
        <f t="shared" si="10"/>
        <v>125</v>
      </c>
      <c r="E362" t="s">
        <v>6</v>
      </c>
      <c r="F362">
        <v>17.5168</v>
      </c>
    </row>
    <row r="363" spans="1:6" hidden="1" x14ac:dyDescent="0.25">
      <c r="A363" t="s">
        <v>7</v>
      </c>
      <c r="B363" s="2">
        <v>42496</v>
      </c>
      <c r="C363">
        <f t="shared" si="9"/>
        <v>2016</v>
      </c>
      <c r="D363">
        <f t="shared" si="10"/>
        <v>127</v>
      </c>
      <c r="E363" t="s">
        <v>6</v>
      </c>
      <c r="F363">
        <v>20.984000000000002</v>
      </c>
    </row>
    <row r="364" spans="1:6" hidden="1" x14ac:dyDescent="0.25">
      <c r="A364" t="s">
        <v>7</v>
      </c>
      <c r="B364" s="2">
        <v>42496</v>
      </c>
      <c r="C364">
        <f t="shared" si="9"/>
        <v>2016</v>
      </c>
      <c r="D364">
        <f t="shared" si="10"/>
        <v>127</v>
      </c>
      <c r="E364" t="s">
        <v>6</v>
      </c>
      <c r="F364">
        <v>19.8352</v>
      </c>
    </row>
    <row r="365" spans="1:6" hidden="1" x14ac:dyDescent="0.25">
      <c r="A365" t="s">
        <v>7</v>
      </c>
      <c r="B365" s="2">
        <v>42496</v>
      </c>
      <c r="C365">
        <f t="shared" si="9"/>
        <v>2016</v>
      </c>
      <c r="D365">
        <f t="shared" si="10"/>
        <v>127</v>
      </c>
      <c r="E365" t="s">
        <v>6</v>
      </c>
      <c r="F365">
        <v>16.9938</v>
      </c>
    </row>
    <row r="366" spans="1:6" hidden="1" x14ac:dyDescent="0.25">
      <c r="A366" t="s">
        <v>7</v>
      </c>
      <c r="B366" s="2">
        <v>42509</v>
      </c>
      <c r="C366">
        <f t="shared" si="9"/>
        <v>2016</v>
      </c>
      <c r="D366">
        <f t="shared" si="10"/>
        <v>140</v>
      </c>
      <c r="E366" t="s">
        <v>6</v>
      </c>
      <c r="F366">
        <v>21.454999999999998</v>
      </c>
    </row>
    <row r="367" spans="1:6" hidden="1" x14ac:dyDescent="0.25">
      <c r="A367" t="s">
        <v>7</v>
      </c>
      <c r="B367" s="2">
        <v>42509</v>
      </c>
      <c r="C367">
        <f t="shared" si="9"/>
        <v>2016</v>
      </c>
      <c r="D367">
        <f t="shared" si="10"/>
        <v>140</v>
      </c>
      <c r="E367" t="s">
        <v>6</v>
      </c>
      <c r="F367">
        <v>18.9468</v>
      </c>
    </row>
    <row r="368" spans="1:6" hidden="1" x14ac:dyDescent="0.25">
      <c r="A368" t="s">
        <v>7</v>
      </c>
      <c r="B368" s="2">
        <v>42509</v>
      </c>
      <c r="C368">
        <f t="shared" si="9"/>
        <v>2016</v>
      </c>
      <c r="D368">
        <f t="shared" si="10"/>
        <v>140</v>
      </c>
      <c r="E368" t="s">
        <v>6</v>
      </c>
      <c r="F368">
        <v>18.04</v>
      </c>
    </row>
    <row r="369" spans="1:6" hidden="1" x14ac:dyDescent="0.25">
      <c r="A369" t="s">
        <v>7</v>
      </c>
      <c r="B369" s="2">
        <v>42510</v>
      </c>
      <c r="C369">
        <f t="shared" si="9"/>
        <v>2016</v>
      </c>
      <c r="D369">
        <f t="shared" si="10"/>
        <v>141</v>
      </c>
      <c r="E369" t="s">
        <v>6</v>
      </c>
      <c r="F369">
        <v>20.445600000000002</v>
      </c>
    </row>
    <row r="370" spans="1:6" hidden="1" x14ac:dyDescent="0.25">
      <c r="A370" t="s">
        <v>7</v>
      </c>
      <c r="B370" s="2">
        <v>42522</v>
      </c>
      <c r="C370">
        <f t="shared" si="9"/>
        <v>2016</v>
      </c>
      <c r="D370">
        <f t="shared" si="10"/>
        <v>153</v>
      </c>
      <c r="E370" t="s">
        <v>6</v>
      </c>
      <c r="F370">
        <v>18.638999999999999</v>
      </c>
    </row>
    <row r="371" spans="1:6" hidden="1" x14ac:dyDescent="0.25">
      <c r="A371" t="s">
        <v>7</v>
      </c>
      <c r="B371" s="2">
        <v>42523</v>
      </c>
      <c r="C371">
        <f t="shared" si="9"/>
        <v>2016</v>
      </c>
      <c r="D371">
        <f t="shared" si="10"/>
        <v>154</v>
      </c>
      <c r="E371" t="s">
        <v>6</v>
      </c>
      <c r="F371">
        <v>21.87</v>
      </c>
    </row>
    <row r="372" spans="1:6" hidden="1" x14ac:dyDescent="0.25">
      <c r="A372" t="s">
        <v>7</v>
      </c>
      <c r="B372" s="2">
        <v>42523</v>
      </c>
      <c r="C372">
        <f t="shared" si="9"/>
        <v>2016</v>
      </c>
      <c r="D372">
        <f t="shared" si="10"/>
        <v>154</v>
      </c>
      <c r="E372" t="s">
        <v>6</v>
      </c>
      <c r="F372">
        <v>20.708099999999998</v>
      </c>
    </row>
    <row r="373" spans="1:6" hidden="1" x14ac:dyDescent="0.25">
      <c r="A373" t="s">
        <v>7</v>
      </c>
      <c r="B373" s="2">
        <v>42523</v>
      </c>
      <c r="C373">
        <f t="shared" si="9"/>
        <v>2016</v>
      </c>
      <c r="D373">
        <f t="shared" si="10"/>
        <v>154</v>
      </c>
      <c r="E373" t="s">
        <v>6</v>
      </c>
      <c r="F373">
        <v>18.211200000000002</v>
      </c>
    </row>
    <row r="374" spans="1:6" hidden="1" x14ac:dyDescent="0.25">
      <c r="A374" t="s">
        <v>7</v>
      </c>
      <c r="B374" s="2">
        <v>42531</v>
      </c>
      <c r="C374">
        <f t="shared" si="9"/>
        <v>2016</v>
      </c>
      <c r="D374">
        <f t="shared" si="10"/>
        <v>162</v>
      </c>
      <c r="E374" t="s">
        <v>6</v>
      </c>
      <c r="F374">
        <v>20.832000000000004</v>
      </c>
    </row>
    <row r="375" spans="1:6" hidden="1" x14ac:dyDescent="0.25">
      <c r="A375" t="s">
        <v>7</v>
      </c>
      <c r="B375" s="2">
        <v>42535</v>
      </c>
      <c r="C375">
        <f t="shared" si="9"/>
        <v>2016</v>
      </c>
      <c r="D375">
        <f t="shared" si="10"/>
        <v>166</v>
      </c>
      <c r="E375" t="s">
        <v>6</v>
      </c>
      <c r="F375">
        <v>22.302000000000003</v>
      </c>
    </row>
    <row r="376" spans="1:6" hidden="1" x14ac:dyDescent="0.25">
      <c r="A376" t="s">
        <v>7</v>
      </c>
      <c r="B376" s="2">
        <v>42535</v>
      </c>
      <c r="C376">
        <f t="shared" si="9"/>
        <v>2016</v>
      </c>
      <c r="D376">
        <f t="shared" si="10"/>
        <v>166</v>
      </c>
      <c r="E376" t="s">
        <v>6</v>
      </c>
      <c r="F376">
        <v>19.825800000000001</v>
      </c>
    </row>
    <row r="377" spans="1:6" hidden="1" x14ac:dyDescent="0.25">
      <c r="A377" t="s">
        <v>7</v>
      </c>
      <c r="B377" s="2">
        <v>42753</v>
      </c>
      <c r="C377">
        <f t="shared" si="9"/>
        <v>2017</v>
      </c>
      <c r="D377">
        <f t="shared" si="10"/>
        <v>18</v>
      </c>
      <c r="E377" t="s">
        <v>6</v>
      </c>
      <c r="F377">
        <v>5.0960000000000001</v>
      </c>
    </row>
    <row r="378" spans="1:6" hidden="1" x14ac:dyDescent="0.25">
      <c r="A378" t="s">
        <v>7</v>
      </c>
      <c r="B378" s="2">
        <v>42753</v>
      </c>
      <c r="C378">
        <f t="shared" si="9"/>
        <v>2017</v>
      </c>
      <c r="D378">
        <f t="shared" si="10"/>
        <v>18</v>
      </c>
      <c r="E378" t="s">
        <v>6</v>
      </c>
      <c r="F378">
        <v>5.0466000000000006</v>
      </c>
    </row>
    <row r="379" spans="1:6" hidden="1" x14ac:dyDescent="0.25">
      <c r="A379" t="s">
        <v>7</v>
      </c>
      <c r="B379" s="2">
        <v>42753</v>
      </c>
      <c r="C379">
        <f t="shared" ref="C379:C442" si="11">YEAR(B379)</f>
        <v>2017</v>
      </c>
      <c r="D379">
        <f t="shared" si="10"/>
        <v>18</v>
      </c>
      <c r="E379" t="s">
        <v>6</v>
      </c>
      <c r="F379">
        <v>5.4350999999999985</v>
      </c>
    </row>
    <row r="380" spans="1:6" hidden="1" x14ac:dyDescent="0.25">
      <c r="A380" t="s">
        <v>7</v>
      </c>
      <c r="B380" s="2">
        <v>42753</v>
      </c>
      <c r="C380">
        <f t="shared" si="11"/>
        <v>2017</v>
      </c>
      <c r="D380">
        <f t="shared" si="10"/>
        <v>18</v>
      </c>
      <c r="E380" t="s">
        <v>6</v>
      </c>
      <c r="F380">
        <v>5.9670000000000005</v>
      </c>
    </row>
    <row r="381" spans="1:6" hidden="1" x14ac:dyDescent="0.25">
      <c r="A381" t="s">
        <v>7</v>
      </c>
      <c r="B381" s="2">
        <v>42788</v>
      </c>
      <c r="C381">
        <f t="shared" si="11"/>
        <v>2017</v>
      </c>
      <c r="D381">
        <f t="shared" si="10"/>
        <v>53</v>
      </c>
      <c r="E381" t="s">
        <v>6</v>
      </c>
      <c r="F381">
        <v>12.300900000000002</v>
      </c>
    </row>
    <row r="382" spans="1:6" hidden="1" x14ac:dyDescent="0.25">
      <c r="A382" t="s">
        <v>7</v>
      </c>
      <c r="B382" s="2">
        <v>42789</v>
      </c>
      <c r="C382">
        <f t="shared" si="11"/>
        <v>2017</v>
      </c>
      <c r="D382">
        <f t="shared" si="10"/>
        <v>54</v>
      </c>
      <c r="E382" t="s">
        <v>6</v>
      </c>
      <c r="F382">
        <v>10.933</v>
      </c>
    </row>
    <row r="383" spans="1:6" hidden="1" x14ac:dyDescent="0.25">
      <c r="A383" t="s">
        <v>7</v>
      </c>
      <c r="B383" s="2">
        <v>42789</v>
      </c>
      <c r="C383">
        <f t="shared" si="11"/>
        <v>2017</v>
      </c>
      <c r="D383">
        <f t="shared" si="10"/>
        <v>54</v>
      </c>
      <c r="E383" t="s">
        <v>6</v>
      </c>
      <c r="F383">
        <v>11.904000000000002</v>
      </c>
    </row>
    <row r="384" spans="1:6" hidden="1" x14ac:dyDescent="0.25">
      <c r="A384" t="s">
        <v>7</v>
      </c>
      <c r="B384" s="2">
        <v>42789</v>
      </c>
      <c r="C384">
        <f t="shared" si="11"/>
        <v>2017</v>
      </c>
      <c r="D384">
        <f t="shared" si="10"/>
        <v>54</v>
      </c>
      <c r="E384" t="s">
        <v>6</v>
      </c>
      <c r="F384">
        <v>11.153999999999998</v>
      </c>
    </row>
    <row r="385" spans="1:6" hidden="1" x14ac:dyDescent="0.25">
      <c r="A385" t="s">
        <v>7</v>
      </c>
      <c r="B385" s="2">
        <v>42803</v>
      </c>
      <c r="C385">
        <f t="shared" si="11"/>
        <v>2017</v>
      </c>
      <c r="D385">
        <f t="shared" si="10"/>
        <v>68</v>
      </c>
      <c r="E385" t="s">
        <v>6</v>
      </c>
      <c r="F385">
        <v>15.537600000000003</v>
      </c>
    </row>
    <row r="386" spans="1:6" hidden="1" x14ac:dyDescent="0.25">
      <c r="A386" t="s">
        <v>7</v>
      </c>
      <c r="B386" s="2">
        <v>42803</v>
      </c>
      <c r="C386">
        <f t="shared" si="11"/>
        <v>2017</v>
      </c>
      <c r="D386">
        <f t="shared" ref="D386:D449" si="12">B386-DATE(YEAR(B386),1,0)</f>
        <v>68</v>
      </c>
      <c r="E386" t="s">
        <v>6</v>
      </c>
      <c r="F386">
        <v>15.332100000000001</v>
      </c>
    </row>
    <row r="387" spans="1:6" hidden="1" x14ac:dyDescent="0.25">
      <c r="A387" t="s">
        <v>7</v>
      </c>
      <c r="B387" s="2">
        <v>42804</v>
      </c>
      <c r="C387">
        <f t="shared" si="11"/>
        <v>2017</v>
      </c>
      <c r="D387">
        <f t="shared" si="12"/>
        <v>69</v>
      </c>
      <c r="E387" t="s">
        <v>6</v>
      </c>
      <c r="F387">
        <v>14.284599999999998</v>
      </c>
    </row>
    <row r="388" spans="1:6" hidden="1" x14ac:dyDescent="0.25">
      <c r="A388" t="s">
        <v>7</v>
      </c>
      <c r="B388" s="2">
        <v>42804</v>
      </c>
      <c r="C388">
        <f t="shared" si="11"/>
        <v>2017</v>
      </c>
      <c r="D388">
        <f t="shared" si="12"/>
        <v>69</v>
      </c>
      <c r="E388" t="s">
        <v>6</v>
      </c>
      <c r="F388">
        <v>14.5383</v>
      </c>
    </row>
    <row r="389" spans="1:6" hidden="1" x14ac:dyDescent="0.25">
      <c r="A389" t="s">
        <v>7</v>
      </c>
      <c r="B389" s="2">
        <v>42816</v>
      </c>
      <c r="C389">
        <f t="shared" si="11"/>
        <v>2017</v>
      </c>
      <c r="D389">
        <f t="shared" si="12"/>
        <v>81</v>
      </c>
      <c r="E389" t="s">
        <v>6</v>
      </c>
      <c r="F389">
        <v>17.3004</v>
      </c>
    </row>
    <row r="390" spans="1:6" hidden="1" x14ac:dyDescent="0.25">
      <c r="A390" t="s">
        <v>7</v>
      </c>
      <c r="B390" s="2">
        <v>42817</v>
      </c>
      <c r="C390">
        <f t="shared" si="11"/>
        <v>2017</v>
      </c>
      <c r="D390">
        <f t="shared" si="12"/>
        <v>82</v>
      </c>
      <c r="E390" t="s">
        <v>6</v>
      </c>
      <c r="F390">
        <v>15.833999999999998</v>
      </c>
    </row>
    <row r="391" spans="1:6" hidden="1" x14ac:dyDescent="0.25">
      <c r="A391" t="s">
        <v>7</v>
      </c>
      <c r="B391" s="2">
        <v>42817</v>
      </c>
      <c r="C391">
        <f t="shared" si="11"/>
        <v>2017</v>
      </c>
      <c r="D391">
        <f t="shared" si="12"/>
        <v>82</v>
      </c>
      <c r="E391" t="s">
        <v>6</v>
      </c>
      <c r="F391">
        <v>16.7029</v>
      </c>
    </row>
    <row r="392" spans="1:6" hidden="1" x14ac:dyDescent="0.25">
      <c r="A392" t="s">
        <v>7</v>
      </c>
      <c r="B392" s="2">
        <v>42817</v>
      </c>
      <c r="C392">
        <f t="shared" si="11"/>
        <v>2017</v>
      </c>
      <c r="D392">
        <f t="shared" si="12"/>
        <v>82</v>
      </c>
      <c r="E392" t="s">
        <v>6</v>
      </c>
      <c r="F392">
        <v>16.610599999999998</v>
      </c>
    </row>
    <row r="393" spans="1:6" hidden="1" x14ac:dyDescent="0.25">
      <c r="A393" t="s">
        <v>7</v>
      </c>
      <c r="B393" s="2">
        <v>42831</v>
      </c>
      <c r="C393">
        <f t="shared" si="11"/>
        <v>2017</v>
      </c>
      <c r="D393">
        <f t="shared" si="12"/>
        <v>96</v>
      </c>
      <c r="E393" t="s">
        <v>6</v>
      </c>
      <c r="F393">
        <v>20.302099999999999</v>
      </c>
    </row>
    <row r="394" spans="1:6" hidden="1" x14ac:dyDescent="0.25">
      <c r="A394" t="s">
        <v>7</v>
      </c>
      <c r="B394" s="2">
        <v>42832</v>
      </c>
      <c r="C394">
        <f t="shared" si="11"/>
        <v>2017</v>
      </c>
      <c r="D394">
        <f t="shared" si="12"/>
        <v>97</v>
      </c>
      <c r="E394" t="s">
        <v>6</v>
      </c>
      <c r="F394">
        <v>17.552</v>
      </c>
    </row>
    <row r="395" spans="1:6" hidden="1" x14ac:dyDescent="0.25">
      <c r="A395" t="s">
        <v>7</v>
      </c>
      <c r="B395" s="2">
        <v>42832</v>
      </c>
      <c r="C395">
        <f t="shared" si="11"/>
        <v>2017</v>
      </c>
      <c r="D395">
        <f t="shared" si="12"/>
        <v>97</v>
      </c>
      <c r="E395" t="s">
        <v>6</v>
      </c>
      <c r="F395">
        <v>18.972800000000003</v>
      </c>
    </row>
    <row r="396" spans="1:6" hidden="1" x14ac:dyDescent="0.25">
      <c r="A396" t="s">
        <v>7</v>
      </c>
      <c r="B396" s="2">
        <v>42832</v>
      </c>
      <c r="C396">
        <f t="shared" si="11"/>
        <v>2017</v>
      </c>
      <c r="D396">
        <f t="shared" si="12"/>
        <v>97</v>
      </c>
      <c r="E396" t="s">
        <v>6</v>
      </c>
      <c r="F396">
        <v>18.937799999999999</v>
      </c>
    </row>
    <row r="397" spans="1:6" hidden="1" x14ac:dyDescent="0.25">
      <c r="A397" t="s">
        <v>7</v>
      </c>
      <c r="B397" s="2">
        <v>42837</v>
      </c>
      <c r="C397">
        <f t="shared" si="11"/>
        <v>2017</v>
      </c>
      <c r="D397">
        <f t="shared" si="12"/>
        <v>102</v>
      </c>
      <c r="E397" t="s">
        <v>6</v>
      </c>
      <c r="F397">
        <v>20.720700000000001</v>
      </c>
    </row>
    <row r="398" spans="1:6" hidden="1" x14ac:dyDescent="0.25">
      <c r="A398" t="s">
        <v>7</v>
      </c>
      <c r="B398" s="2">
        <v>42838</v>
      </c>
      <c r="C398">
        <f t="shared" si="11"/>
        <v>2017</v>
      </c>
      <c r="D398">
        <f t="shared" si="12"/>
        <v>103</v>
      </c>
      <c r="E398" t="s">
        <v>6</v>
      </c>
      <c r="F398">
        <v>18.531100000000002</v>
      </c>
    </row>
    <row r="399" spans="1:6" hidden="1" x14ac:dyDescent="0.25">
      <c r="A399" t="s">
        <v>7</v>
      </c>
      <c r="B399" s="2">
        <v>42838</v>
      </c>
      <c r="C399">
        <f t="shared" si="11"/>
        <v>2017</v>
      </c>
      <c r="D399">
        <f t="shared" si="12"/>
        <v>103</v>
      </c>
      <c r="E399" t="s">
        <v>6</v>
      </c>
      <c r="F399">
        <v>19.588800000000003</v>
      </c>
    </row>
    <row r="400" spans="1:6" hidden="1" x14ac:dyDescent="0.25">
      <c r="A400" t="s">
        <v>7</v>
      </c>
      <c r="B400" s="2">
        <v>42838</v>
      </c>
      <c r="C400">
        <f t="shared" si="11"/>
        <v>2017</v>
      </c>
      <c r="D400">
        <f t="shared" si="12"/>
        <v>103</v>
      </c>
      <c r="E400" t="s">
        <v>6</v>
      </c>
      <c r="F400">
        <v>19.1751</v>
      </c>
    </row>
    <row r="401" spans="1:6" hidden="1" x14ac:dyDescent="0.25">
      <c r="A401" t="s">
        <v>7</v>
      </c>
      <c r="B401" s="2">
        <v>42844</v>
      </c>
      <c r="C401">
        <f t="shared" si="11"/>
        <v>2017</v>
      </c>
      <c r="D401">
        <f t="shared" si="12"/>
        <v>109</v>
      </c>
      <c r="E401" t="s">
        <v>6</v>
      </c>
      <c r="F401">
        <v>21.203699999999998</v>
      </c>
    </row>
    <row r="402" spans="1:6" hidden="1" x14ac:dyDescent="0.25">
      <c r="A402" t="s">
        <v>7</v>
      </c>
      <c r="B402" s="2">
        <v>42845</v>
      </c>
      <c r="C402">
        <f t="shared" si="11"/>
        <v>2017</v>
      </c>
      <c r="D402">
        <f t="shared" si="12"/>
        <v>110</v>
      </c>
      <c r="E402" t="s">
        <v>6</v>
      </c>
      <c r="F402">
        <v>18.908000000000001</v>
      </c>
    </row>
    <row r="403" spans="1:6" hidden="1" x14ac:dyDescent="0.25">
      <c r="A403" t="s">
        <v>7</v>
      </c>
      <c r="B403" s="2">
        <v>42845</v>
      </c>
      <c r="C403">
        <f t="shared" si="11"/>
        <v>2017</v>
      </c>
      <c r="D403">
        <f t="shared" si="12"/>
        <v>110</v>
      </c>
      <c r="E403" t="s">
        <v>6</v>
      </c>
      <c r="F403">
        <v>19.421499999999998</v>
      </c>
    </row>
    <row r="404" spans="1:6" hidden="1" x14ac:dyDescent="0.25">
      <c r="A404" t="s">
        <v>7</v>
      </c>
      <c r="B404" s="2">
        <v>42845</v>
      </c>
      <c r="C404">
        <f t="shared" si="11"/>
        <v>2017</v>
      </c>
      <c r="D404">
        <f t="shared" si="12"/>
        <v>110</v>
      </c>
      <c r="E404" t="s">
        <v>6</v>
      </c>
      <c r="F404">
        <v>20.1936</v>
      </c>
    </row>
    <row r="405" spans="1:6" hidden="1" x14ac:dyDescent="0.25">
      <c r="A405" t="s">
        <v>7</v>
      </c>
      <c r="B405" s="2">
        <v>42853</v>
      </c>
      <c r="C405">
        <f t="shared" si="11"/>
        <v>2017</v>
      </c>
      <c r="D405">
        <f t="shared" si="12"/>
        <v>118</v>
      </c>
      <c r="E405" t="s">
        <v>6</v>
      </c>
      <c r="F405">
        <v>19.071399999999997</v>
      </c>
    </row>
    <row r="406" spans="1:6" hidden="1" x14ac:dyDescent="0.25">
      <c r="A406" t="s">
        <v>7</v>
      </c>
      <c r="B406" s="2">
        <v>42853</v>
      </c>
      <c r="C406">
        <f t="shared" si="11"/>
        <v>2017</v>
      </c>
      <c r="D406">
        <f t="shared" si="12"/>
        <v>118</v>
      </c>
      <c r="E406" t="s">
        <v>6</v>
      </c>
      <c r="F406">
        <v>20.347199999999997</v>
      </c>
    </row>
    <row r="407" spans="1:6" hidden="1" x14ac:dyDescent="0.25">
      <c r="A407" t="s">
        <v>7</v>
      </c>
      <c r="B407" s="2">
        <v>42853</v>
      </c>
      <c r="C407">
        <f t="shared" si="11"/>
        <v>2017</v>
      </c>
      <c r="D407">
        <f t="shared" si="12"/>
        <v>118</v>
      </c>
      <c r="E407" t="s">
        <v>6</v>
      </c>
      <c r="F407">
        <v>20.553000000000001</v>
      </c>
    </row>
    <row r="408" spans="1:6" hidden="1" x14ac:dyDescent="0.25">
      <c r="A408" t="s">
        <v>7</v>
      </c>
      <c r="B408" s="2">
        <v>42853</v>
      </c>
      <c r="C408">
        <f t="shared" si="11"/>
        <v>2017</v>
      </c>
      <c r="D408">
        <f t="shared" si="12"/>
        <v>118</v>
      </c>
      <c r="E408" t="s">
        <v>6</v>
      </c>
      <c r="F408">
        <v>22.151000000000003</v>
      </c>
    </row>
    <row r="409" spans="1:6" hidden="1" x14ac:dyDescent="0.25">
      <c r="A409" t="s">
        <v>7</v>
      </c>
      <c r="B409" s="2">
        <v>42858</v>
      </c>
      <c r="C409">
        <f t="shared" si="11"/>
        <v>2017</v>
      </c>
      <c r="D409">
        <f t="shared" si="12"/>
        <v>123</v>
      </c>
      <c r="E409" t="s">
        <v>6</v>
      </c>
      <c r="F409">
        <v>23.3748</v>
      </c>
    </row>
    <row r="410" spans="1:6" hidden="1" x14ac:dyDescent="0.25">
      <c r="A410" t="s">
        <v>7</v>
      </c>
      <c r="B410" s="2">
        <v>42859</v>
      </c>
      <c r="C410">
        <f t="shared" si="11"/>
        <v>2017</v>
      </c>
      <c r="D410">
        <f t="shared" si="12"/>
        <v>124</v>
      </c>
      <c r="E410" t="s">
        <v>6</v>
      </c>
      <c r="F410">
        <v>21.057599999999997</v>
      </c>
    </row>
    <row r="411" spans="1:6" hidden="1" x14ac:dyDescent="0.25">
      <c r="A411" t="s">
        <v>7</v>
      </c>
      <c r="B411" s="2">
        <v>42860</v>
      </c>
      <c r="C411">
        <f t="shared" si="11"/>
        <v>2017</v>
      </c>
      <c r="D411">
        <f t="shared" si="12"/>
        <v>125</v>
      </c>
      <c r="E411" t="s">
        <v>6</v>
      </c>
      <c r="F411">
        <v>19.488000000000003</v>
      </c>
    </row>
    <row r="412" spans="1:6" hidden="1" x14ac:dyDescent="0.25">
      <c r="A412" t="s">
        <v>7</v>
      </c>
      <c r="B412" s="2">
        <v>42860</v>
      </c>
      <c r="C412">
        <f t="shared" si="11"/>
        <v>2017</v>
      </c>
      <c r="D412">
        <f t="shared" si="12"/>
        <v>125</v>
      </c>
      <c r="E412" t="s">
        <v>6</v>
      </c>
      <c r="F412">
        <v>20.897999999999996</v>
      </c>
    </row>
    <row r="413" spans="1:6" hidden="1" x14ac:dyDescent="0.25">
      <c r="A413" t="s">
        <v>7</v>
      </c>
      <c r="B413" s="2">
        <v>42872</v>
      </c>
      <c r="C413">
        <f t="shared" si="11"/>
        <v>2017</v>
      </c>
      <c r="D413">
        <f t="shared" si="12"/>
        <v>137</v>
      </c>
      <c r="E413" t="s">
        <v>6</v>
      </c>
      <c r="F413">
        <v>23.063099999999999</v>
      </c>
    </row>
    <row r="414" spans="1:6" hidden="1" x14ac:dyDescent="0.25">
      <c r="A414" t="s">
        <v>7</v>
      </c>
      <c r="B414" s="2">
        <v>42873</v>
      </c>
      <c r="C414">
        <f t="shared" si="11"/>
        <v>2017</v>
      </c>
      <c r="D414">
        <f t="shared" si="12"/>
        <v>138</v>
      </c>
      <c r="E414" t="s">
        <v>6</v>
      </c>
      <c r="F414">
        <v>20.915199999999999</v>
      </c>
    </row>
    <row r="415" spans="1:6" hidden="1" x14ac:dyDescent="0.25">
      <c r="A415" t="s">
        <v>7</v>
      </c>
      <c r="B415" s="2">
        <v>42873</v>
      </c>
      <c r="C415">
        <f t="shared" si="11"/>
        <v>2017</v>
      </c>
      <c r="D415">
        <f t="shared" si="12"/>
        <v>138</v>
      </c>
      <c r="E415" t="s">
        <v>6</v>
      </c>
      <c r="F415">
        <v>21.977199999999996</v>
      </c>
    </row>
    <row r="416" spans="1:6" hidden="1" x14ac:dyDescent="0.25">
      <c r="A416" t="s">
        <v>7</v>
      </c>
      <c r="B416" s="2">
        <v>42873</v>
      </c>
      <c r="C416">
        <f t="shared" si="11"/>
        <v>2017</v>
      </c>
      <c r="D416">
        <f t="shared" si="12"/>
        <v>138</v>
      </c>
      <c r="E416" t="s">
        <v>6</v>
      </c>
      <c r="F416">
        <v>21.648000000000003</v>
      </c>
    </row>
    <row r="417" spans="1:6" hidden="1" x14ac:dyDescent="0.25">
      <c r="A417" t="s">
        <v>7</v>
      </c>
      <c r="B417" s="2">
        <v>42886</v>
      </c>
      <c r="C417">
        <f t="shared" si="11"/>
        <v>2017</v>
      </c>
      <c r="D417">
        <f t="shared" si="12"/>
        <v>151</v>
      </c>
      <c r="E417" t="s">
        <v>6</v>
      </c>
      <c r="F417">
        <v>23.957999999999998</v>
      </c>
    </row>
    <row r="418" spans="1:6" hidden="1" x14ac:dyDescent="0.25">
      <c r="A418" t="s">
        <v>7</v>
      </c>
      <c r="B418" s="2">
        <v>42887</v>
      </c>
      <c r="C418">
        <f t="shared" si="11"/>
        <v>2017</v>
      </c>
      <c r="D418">
        <f t="shared" si="12"/>
        <v>152</v>
      </c>
      <c r="E418" t="s">
        <v>6</v>
      </c>
      <c r="F418">
        <v>20.253599999999999</v>
      </c>
    </row>
    <row r="419" spans="1:6" hidden="1" x14ac:dyDescent="0.25">
      <c r="A419" t="s">
        <v>7</v>
      </c>
      <c r="B419" s="2">
        <v>42887</v>
      </c>
      <c r="C419">
        <f t="shared" si="11"/>
        <v>2017</v>
      </c>
      <c r="D419">
        <f t="shared" si="12"/>
        <v>152</v>
      </c>
      <c r="E419" t="s">
        <v>6</v>
      </c>
      <c r="F419">
        <v>22.2911</v>
      </c>
    </row>
    <row r="420" spans="1:6" hidden="1" x14ac:dyDescent="0.25">
      <c r="A420" t="s">
        <v>7</v>
      </c>
      <c r="B420" s="2">
        <v>42887</v>
      </c>
      <c r="C420">
        <f t="shared" si="11"/>
        <v>2017</v>
      </c>
      <c r="D420">
        <f t="shared" si="12"/>
        <v>152</v>
      </c>
      <c r="E420" t="s">
        <v>6</v>
      </c>
      <c r="F420">
        <v>22.445999999999998</v>
      </c>
    </row>
    <row r="421" spans="1:6" hidden="1" x14ac:dyDescent="0.25">
      <c r="A421" t="s">
        <v>7</v>
      </c>
      <c r="B421" s="2">
        <v>42893</v>
      </c>
      <c r="C421">
        <f t="shared" si="11"/>
        <v>2017</v>
      </c>
      <c r="D421">
        <f t="shared" si="12"/>
        <v>158</v>
      </c>
      <c r="E421" t="s">
        <v>6</v>
      </c>
      <c r="F421">
        <v>21.300999999999998</v>
      </c>
    </row>
    <row r="422" spans="1:6" hidden="1" x14ac:dyDescent="0.25">
      <c r="A422" t="s">
        <v>7</v>
      </c>
      <c r="B422" s="2">
        <v>42893</v>
      </c>
      <c r="C422">
        <f t="shared" si="11"/>
        <v>2017</v>
      </c>
      <c r="D422">
        <f t="shared" si="12"/>
        <v>158</v>
      </c>
      <c r="E422" t="s">
        <v>6</v>
      </c>
      <c r="F422">
        <v>21.573600000000003</v>
      </c>
    </row>
    <row r="423" spans="1:6" hidden="1" x14ac:dyDescent="0.25">
      <c r="A423" t="s">
        <v>7</v>
      </c>
      <c r="B423" s="2">
        <v>42894</v>
      </c>
      <c r="C423">
        <f t="shared" si="11"/>
        <v>2017</v>
      </c>
      <c r="D423">
        <f t="shared" si="12"/>
        <v>159</v>
      </c>
      <c r="E423" t="s">
        <v>6</v>
      </c>
      <c r="F423">
        <v>23.470199999999998</v>
      </c>
    </row>
    <row r="424" spans="1:6" hidden="1" x14ac:dyDescent="0.25">
      <c r="A424" t="s">
        <v>7</v>
      </c>
      <c r="B424" s="2">
        <v>42907</v>
      </c>
      <c r="C424">
        <f t="shared" si="11"/>
        <v>2017</v>
      </c>
      <c r="D424">
        <f t="shared" si="12"/>
        <v>172</v>
      </c>
      <c r="E424" t="s">
        <v>6</v>
      </c>
      <c r="F424">
        <v>20.5625</v>
      </c>
    </row>
    <row r="425" spans="1:6" hidden="1" x14ac:dyDescent="0.25">
      <c r="A425" t="s">
        <v>7</v>
      </c>
      <c r="B425" s="2">
        <v>42907</v>
      </c>
      <c r="C425">
        <f t="shared" si="11"/>
        <v>2017</v>
      </c>
      <c r="D425">
        <f t="shared" si="12"/>
        <v>172</v>
      </c>
      <c r="E425" t="s">
        <v>6</v>
      </c>
      <c r="F425">
        <v>21.905999999999999</v>
      </c>
    </row>
    <row r="426" spans="1:6" hidden="1" x14ac:dyDescent="0.25">
      <c r="A426" t="s">
        <v>7</v>
      </c>
      <c r="B426" s="2">
        <v>42908</v>
      </c>
      <c r="C426">
        <f t="shared" si="11"/>
        <v>2017</v>
      </c>
      <c r="D426">
        <f t="shared" si="12"/>
        <v>173</v>
      </c>
      <c r="E426" t="s">
        <v>6</v>
      </c>
      <c r="F426">
        <v>23.157800000000002</v>
      </c>
    </row>
    <row r="427" spans="1:6" hidden="1" x14ac:dyDescent="0.25">
      <c r="A427" t="s">
        <v>7</v>
      </c>
      <c r="B427" s="2">
        <v>43115</v>
      </c>
      <c r="C427">
        <f t="shared" si="11"/>
        <v>2018</v>
      </c>
      <c r="D427">
        <f t="shared" si="12"/>
        <v>15</v>
      </c>
      <c r="E427" t="s">
        <v>6</v>
      </c>
      <c r="F427">
        <v>4.2911999999999999</v>
      </c>
    </row>
    <row r="428" spans="1:6" hidden="1" x14ac:dyDescent="0.25">
      <c r="A428" t="s">
        <v>7</v>
      </c>
      <c r="B428" s="2">
        <v>43115</v>
      </c>
      <c r="C428">
        <f t="shared" si="11"/>
        <v>2018</v>
      </c>
      <c r="D428">
        <f t="shared" si="12"/>
        <v>15</v>
      </c>
      <c r="E428" t="s">
        <v>6</v>
      </c>
      <c r="F428">
        <v>5.2806000000000006</v>
      </c>
    </row>
    <row r="429" spans="1:6" hidden="1" x14ac:dyDescent="0.25">
      <c r="A429" t="s">
        <v>7</v>
      </c>
      <c r="B429" s="2">
        <v>43116</v>
      </c>
      <c r="C429">
        <f t="shared" si="11"/>
        <v>2018</v>
      </c>
      <c r="D429">
        <f t="shared" si="12"/>
        <v>16</v>
      </c>
      <c r="E429" t="s">
        <v>6</v>
      </c>
      <c r="F429">
        <v>4.6694000000000004</v>
      </c>
    </row>
    <row r="430" spans="1:6" hidden="1" x14ac:dyDescent="0.25">
      <c r="A430" t="s">
        <v>7</v>
      </c>
      <c r="B430" s="2">
        <v>43116</v>
      </c>
      <c r="C430">
        <f t="shared" si="11"/>
        <v>2018</v>
      </c>
      <c r="D430">
        <f t="shared" si="12"/>
        <v>16</v>
      </c>
      <c r="E430" t="s">
        <v>6</v>
      </c>
      <c r="F430">
        <v>5.0616000000000012</v>
      </c>
    </row>
    <row r="431" spans="1:6" hidden="1" x14ac:dyDescent="0.25">
      <c r="A431" t="s">
        <v>7</v>
      </c>
      <c r="B431" s="2">
        <v>43150</v>
      </c>
      <c r="C431">
        <f t="shared" si="11"/>
        <v>2018</v>
      </c>
      <c r="D431">
        <f t="shared" si="12"/>
        <v>50</v>
      </c>
      <c r="E431" t="s">
        <v>6</v>
      </c>
      <c r="F431">
        <v>9.9429999999999996</v>
      </c>
    </row>
    <row r="432" spans="1:6" hidden="1" x14ac:dyDescent="0.25">
      <c r="A432" t="s">
        <v>7</v>
      </c>
      <c r="B432" s="2">
        <v>43150</v>
      </c>
      <c r="C432">
        <f t="shared" si="11"/>
        <v>2018</v>
      </c>
      <c r="D432">
        <f t="shared" si="12"/>
        <v>50</v>
      </c>
      <c r="E432" t="s">
        <v>6</v>
      </c>
      <c r="F432">
        <v>10.384</v>
      </c>
    </row>
    <row r="433" spans="1:6" hidden="1" x14ac:dyDescent="0.25">
      <c r="A433" t="s">
        <v>7</v>
      </c>
      <c r="B433" s="2">
        <v>43151</v>
      </c>
      <c r="C433">
        <f t="shared" si="11"/>
        <v>2018</v>
      </c>
      <c r="D433">
        <f t="shared" si="12"/>
        <v>51</v>
      </c>
      <c r="E433" t="s">
        <v>6</v>
      </c>
      <c r="F433">
        <v>8.9551999999999996</v>
      </c>
    </row>
    <row r="434" spans="1:6" hidden="1" x14ac:dyDescent="0.25">
      <c r="A434" t="s">
        <v>7</v>
      </c>
      <c r="B434" s="2">
        <v>43151</v>
      </c>
      <c r="C434">
        <f t="shared" si="11"/>
        <v>2018</v>
      </c>
      <c r="D434">
        <f t="shared" si="12"/>
        <v>51</v>
      </c>
      <c r="E434" t="s">
        <v>6</v>
      </c>
      <c r="F434">
        <v>10.104000000000001</v>
      </c>
    </row>
    <row r="435" spans="1:6" hidden="1" x14ac:dyDescent="0.25">
      <c r="A435" t="s">
        <v>7</v>
      </c>
      <c r="B435" s="2">
        <v>43164</v>
      </c>
      <c r="C435">
        <f t="shared" si="11"/>
        <v>2018</v>
      </c>
      <c r="D435">
        <f t="shared" si="12"/>
        <v>64</v>
      </c>
      <c r="E435" t="s">
        <v>6</v>
      </c>
      <c r="F435">
        <v>12.623800000000001</v>
      </c>
    </row>
    <row r="436" spans="1:6" hidden="1" x14ac:dyDescent="0.25">
      <c r="A436" t="s">
        <v>7</v>
      </c>
      <c r="B436" s="2">
        <v>43164</v>
      </c>
      <c r="C436">
        <f t="shared" si="11"/>
        <v>2018</v>
      </c>
      <c r="D436">
        <f t="shared" si="12"/>
        <v>64</v>
      </c>
      <c r="E436" t="s">
        <v>6</v>
      </c>
      <c r="F436">
        <v>13.277000000000001</v>
      </c>
    </row>
    <row r="437" spans="1:6" hidden="1" x14ac:dyDescent="0.25">
      <c r="A437" t="s">
        <v>7</v>
      </c>
      <c r="B437" s="2">
        <v>43165</v>
      </c>
      <c r="C437">
        <f t="shared" si="11"/>
        <v>2018</v>
      </c>
      <c r="D437">
        <f t="shared" si="12"/>
        <v>65</v>
      </c>
      <c r="E437" t="s">
        <v>6</v>
      </c>
      <c r="F437">
        <v>11.276800000000001</v>
      </c>
    </row>
    <row r="438" spans="1:6" hidden="1" x14ac:dyDescent="0.25">
      <c r="A438" t="s">
        <v>7</v>
      </c>
      <c r="B438" s="2">
        <v>43165</v>
      </c>
      <c r="C438">
        <f t="shared" si="11"/>
        <v>2018</v>
      </c>
      <c r="D438">
        <f t="shared" si="12"/>
        <v>65</v>
      </c>
      <c r="E438" t="s">
        <v>6</v>
      </c>
      <c r="F438">
        <v>13.3527</v>
      </c>
    </row>
    <row r="439" spans="1:6" hidden="1" x14ac:dyDescent="0.25">
      <c r="A439" t="s">
        <v>7</v>
      </c>
      <c r="B439" s="2">
        <v>43178</v>
      </c>
      <c r="C439">
        <f t="shared" si="11"/>
        <v>2018</v>
      </c>
      <c r="D439">
        <f t="shared" si="12"/>
        <v>78</v>
      </c>
      <c r="E439" t="s">
        <v>6</v>
      </c>
      <c r="F439">
        <v>14.0128</v>
      </c>
    </row>
    <row r="440" spans="1:6" hidden="1" x14ac:dyDescent="0.25">
      <c r="A440" t="s">
        <v>7</v>
      </c>
      <c r="B440" s="2">
        <v>43178</v>
      </c>
      <c r="C440">
        <f t="shared" si="11"/>
        <v>2018</v>
      </c>
      <c r="D440">
        <f t="shared" si="12"/>
        <v>78</v>
      </c>
      <c r="E440" t="s">
        <v>6</v>
      </c>
      <c r="F440">
        <v>15.7628</v>
      </c>
    </row>
    <row r="441" spans="1:6" hidden="1" x14ac:dyDescent="0.25">
      <c r="A441" t="s">
        <v>7</v>
      </c>
      <c r="B441" s="2">
        <v>43179</v>
      </c>
      <c r="C441">
        <f t="shared" si="11"/>
        <v>2018</v>
      </c>
      <c r="D441">
        <f t="shared" si="12"/>
        <v>79</v>
      </c>
      <c r="E441" t="s">
        <v>6</v>
      </c>
      <c r="F441">
        <v>13.127099999999999</v>
      </c>
    </row>
    <row r="442" spans="1:6" hidden="1" x14ac:dyDescent="0.25">
      <c r="A442" t="s">
        <v>7</v>
      </c>
      <c r="B442" s="2">
        <v>43179</v>
      </c>
      <c r="C442">
        <f t="shared" si="11"/>
        <v>2018</v>
      </c>
      <c r="D442">
        <f t="shared" si="12"/>
        <v>79</v>
      </c>
      <c r="E442" t="s">
        <v>6</v>
      </c>
      <c r="F442">
        <v>14.7339</v>
      </c>
    </row>
    <row r="443" spans="1:6" hidden="1" x14ac:dyDescent="0.25">
      <c r="A443" t="s">
        <v>7</v>
      </c>
      <c r="B443" s="2">
        <v>43194</v>
      </c>
      <c r="C443">
        <f t="shared" ref="C443:C506" si="13">YEAR(B443)</f>
        <v>2018</v>
      </c>
      <c r="D443">
        <f t="shared" si="12"/>
        <v>94</v>
      </c>
      <c r="E443" t="s">
        <v>6</v>
      </c>
      <c r="F443">
        <v>16.005600000000001</v>
      </c>
    </row>
    <row r="444" spans="1:6" hidden="1" x14ac:dyDescent="0.25">
      <c r="A444" t="s">
        <v>7</v>
      </c>
      <c r="B444" s="2">
        <v>43194</v>
      </c>
      <c r="C444">
        <f t="shared" si="13"/>
        <v>2018</v>
      </c>
      <c r="D444">
        <f t="shared" si="12"/>
        <v>94</v>
      </c>
      <c r="E444" t="s">
        <v>6</v>
      </c>
      <c r="F444">
        <v>18.276600000000002</v>
      </c>
    </row>
    <row r="445" spans="1:6" hidden="1" x14ac:dyDescent="0.25">
      <c r="A445" t="s">
        <v>7</v>
      </c>
      <c r="B445" s="2">
        <v>43195</v>
      </c>
      <c r="C445">
        <f t="shared" si="13"/>
        <v>2018</v>
      </c>
      <c r="D445">
        <f t="shared" si="12"/>
        <v>95</v>
      </c>
      <c r="E445" t="s">
        <v>6</v>
      </c>
      <c r="F445">
        <v>14.439400000000001</v>
      </c>
    </row>
    <row r="446" spans="1:6" hidden="1" x14ac:dyDescent="0.25">
      <c r="A446" t="s">
        <v>7</v>
      </c>
      <c r="B446" s="2">
        <v>43195</v>
      </c>
      <c r="C446">
        <f t="shared" si="13"/>
        <v>2018</v>
      </c>
      <c r="D446">
        <f t="shared" si="12"/>
        <v>95</v>
      </c>
      <c r="E446" t="s">
        <v>6</v>
      </c>
      <c r="F446">
        <v>16.700600000000001</v>
      </c>
    </row>
    <row r="447" spans="1:6" hidden="1" x14ac:dyDescent="0.25">
      <c r="A447" t="s">
        <v>7</v>
      </c>
      <c r="B447" s="2">
        <v>43200</v>
      </c>
      <c r="C447">
        <f t="shared" si="13"/>
        <v>2018</v>
      </c>
      <c r="D447">
        <f t="shared" si="12"/>
        <v>100</v>
      </c>
      <c r="E447" t="s">
        <v>6</v>
      </c>
      <c r="F447">
        <v>16.164400000000004</v>
      </c>
    </row>
    <row r="448" spans="1:6" hidden="1" x14ac:dyDescent="0.25">
      <c r="A448" t="s">
        <v>7</v>
      </c>
      <c r="B448" s="2">
        <v>43200</v>
      </c>
      <c r="C448">
        <f t="shared" si="13"/>
        <v>2018</v>
      </c>
      <c r="D448">
        <f t="shared" si="12"/>
        <v>100</v>
      </c>
      <c r="E448" t="s">
        <v>6</v>
      </c>
      <c r="F448">
        <v>18.335199999999997</v>
      </c>
    </row>
    <row r="449" spans="1:6" hidden="1" x14ac:dyDescent="0.25">
      <c r="A449" t="s">
        <v>7</v>
      </c>
      <c r="B449" s="2">
        <v>43201</v>
      </c>
      <c r="C449">
        <f t="shared" si="13"/>
        <v>2018</v>
      </c>
      <c r="D449">
        <f t="shared" si="12"/>
        <v>101</v>
      </c>
      <c r="E449" t="s">
        <v>6</v>
      </c>
      <c r="F449">
        <v>14.702199999999999</v>
      </c>
    </row>
    <row r="450" spans="1:6" hidden="1" x14ac:dyDescent="0.25">
      <c r="A450" t="s">
        <v>7</v>
      </c>
      <c r="B450" s="2">
        <v>43201</v>
      </c>
      <c r="C450">
        <f t="shared" si="13"/>
        <v>2018</v>
      </c>
      <c r="D450">
        <f t="shared" ref="D450:D513" si="14">B450-DATE(YEAR(B450),1,0)</f>
        <v>101</v>
      </c>
      <c r="E450" t="s">
        <v>6</v>
      </c>
      <c r="F450">
        <v>17.832200000000004</v>
      </c>
    </row>
    <row r="451" spans="1:6" hidden="1" x14ac:dyDescent="0.25">
      <c r="A451" t="s">
        <v>7</v>
      </c>
      <c r="B451" s="2">
        <v>43206</v>
      </c>
      <c r="C451">
        <f t="shared" si="13"/>
        <v>2018</v>
      </c>
      <c r="D451">
        <f t="shared" si="14"/>
        <v>106</v>
      </c>
      <c r="E451" t="s">
        <v>6</v>
      </c>
      <c r="F451">
        <v>16.367999999999999</v>
      </c>
    </row>
    <row r="452" spans="1:6" hidden="1" x14ac:dyDescent="0.25">
      <c r="A452" t="s">
        <v>7</v>
      </c>
      <c r="B452" s="2">
        <v>43206</v>
      </c>
      <c r="C452">
        <f t="shared" si="13"/>
        <v>2018</v>
      </c>
      <c r="D452">
        <f t="shared" si="14"/>
        <v>106</v>
      </c>
      <c r="E452" t="s">
        <v>6</v>
      </c>
      <c r="F452">
        <v>18.904</v>
      </c>
    </row>
    <row r="453" spans="1:6" hidden="1" x14ac:dyDescent="0.25">
      <c r="A453" t="s">
        <v>7</v>
      </c>
      <c r="B453" s="2">
        <v>43209</v>
      </c>
      <c r="C453">
        <f t="shared" si="13"/>
        <v>2018</v>
      </c>
      <c r="D453">
        <f t="shared" si="14"/>
        <v>109</v>
      </c>
      <c r="E453" t="s">
        <v>6</v>
      </c>
      <c r="F453">
        <v>15.820200000000002</v>
      </c>
    </row>
    <row r="454" spans="1:6" hidden="1" x14ac:dyDescent="0.25">
      <c r="A454" t="s">
        <v>7</v>
      </c>
      <c r="B454" s="2">
        <v>43209</v>
      </c>
      <c r="C454">
        <f t="shared" si="13"/>
        <v>2018</v>
      </c>
      <c r="D454">
        <f t="shared" si="14"/>
        <v>109</v>
      </c>
      <c r="E454" t="s">
        <v>6</v>
      </c>
      <c r="F454">
        <v>18.990400000000001</v>
      </c>
    </row>
    <row r="455" spans="1:6" hidden="1" x14ac:dyDescent="0.25">
      <c r="A455" t="s">
        <v>7</v>
      </c>
      <c r="B455" s="2">
        <v>43215</v>
      </c>
      <c r="C455">
        <f t="shared" si="13"/>
        <v>2018</v>
      </c>
      <c r="D455">
        <f t="shared" si="14"/>
        <v>115</v>
      </c>
      <c r="E455" t="s">
        <v>6</v>
      </c>
      <c r="F455">
        <v>15.709200000000001</v>
      </c>
    </row>
    <row r="456" spans="1:6" hidden="1" x14ac:dyDescent="0.25">
      <c r="A456" t="s">
        <v>7</v>
      </c>
      <c r="B456" s="2">
        <v>43215</v>
      </c>
      <c r="C456">
        <f t="shared" si="13"/>
        <v>2018</v>
      </c>
      <c r="D456">
        <f t="shared" si="14"/>
        <v>115</v>
      </c>
      <c r="E456" t="s">
        <v>6</v>
      </c>
      <c r="F456">
        <v>17.629200000000004</v>
      </c>
    </row>
    <row r="457" spans="1:6" hidden="1" x14ac:dyDescent="0.25">
      <c r="A457" t="s">
        <v>7</v>
      </c>
      <c r="B457" s="2">
        <v>43215</v>
      </c>
      <c r="C457">
        <f t="shared" si="13"/>
        <v>2018</v>
      </c>
      <c r="D457">
        <f t="shared" si="14"/>
        <v>115</v>
      </c>
      <c r="E457" t="s">
        <v>6</v>
      </c>
      <c r="F457">
        <v>20.212200000000003</v>
      </c>
    </row>
    <row r="458" spans="1:6" hidden="1" x14ac:dyDescent="0.25">
      <c r="A458" t="s">
        <v>7</v>
      </c>
      <c r="B458" s="2">
        <v>43215</v>
      </c>
      <c r="C458">
        <f t="shared" si="13"/>
        <v>2018</v>
      </c>
      <c r="D458">
        <f t="shared" si="14"/>
        <v>115</v>
      </c>
      <c r="E458" t="s">
        <v>6</v>
      </c>
      <c r="F458">
        <v>19.511100000000003</v>
      </c>
    </row>
    <row r="459" spans="1:6" hidden="1" x14ac:dyDescent="0.25">
      <c r="A459" t="s">
        <v>7</v>
      </c>
      <c r="B459" s="2">
        <v>43221</v>
      </c>
      <c r="C459">
        <f t="shared" si="13"/>
        <v>2018</v>
      </c>
      <c r="D459">
        <f t="shared" si="14"/>
        <v>121</v>
      </c>
      <c r="E459" t="s">
        <v>6</v>
      </c>
      <c r="F459">
        <v>17.254300000000001</v>
      </c>
    </row>
    <row r="460" spans="1:6" hidden="1" x14ac:dyDescent="0.25">
      <c r="A460" t="s">
        <v>7</v>
      </c>
      <c r="B460" s="2">
        <v>43221</v>
      </c>
      <c r="C460">
        <f t="shared" si="13"/>
        <v>2018</v>
      </c>
      <c r="D460">
        <f t="shared" si="14"/>
        <v>121</v>
      </c>
      <c r="E460" t="s">
        <v>6</v>
      </c>
      <c r="F460">
        <v>18.990400000000001</v>
      </c>
    </row>
    <row r="461" spans="1:6" hidden="1" x14ac:dyDescent="0.25">
      <c r="A461" t="s">
        <v>7</v>
      </c>
      <c r="B461" s="2">
        <v>43221</v>
      </c>
      <c r="C461">
        <f t="shared" si="13"/>
        <v>2018</v>
      </c>
      <c r="D461">
        <f t="shared" si="14"/>
        <v>121</v>
      </c>
      <c r="E461" t="s">
        <v>6</v>
      </c>
      <c r="F461">
        <v>20.213000000000001</v>
      </c>
    </row>
    <row r="462" spans="1:6" hidden="1" x14ac:dyDescent="0.25">
      <c r="A462" t="s">
        <v>7</v>
      </c>
      <c r="B462" s="2">
        <v>43221</v>
      </c>
      <c r="C462">
        <f t="shared" si="13"/>
        <v>2018</v>
      </c>
      <c r="D462">
        <f t="shared" si="14"/>
        <v>121</v>
      </c>
      <c r="E462" t="s">
        <v>6</v>
      </c>
      <c r="F462">
        <v>20.743199999999998</v>
      </c>
    </row>
    <row r="463" spans="1:6" hidden="1" x14ac:dyDescent="0.25">
      <c r="A463" t="s">
        <v>7</v>
      </c>
      <c r="B463" s="2">
        <v>43234</v>
      </c>
      <c r="C463">
        <f t="shared" si="13"/>
        <v>2018</v>
      </c>
      <c r="D463">
        <f t="shared" si="14"/>
        <v>134</v>
      </c>
      <c r="E463" t="s">
        <v>6</v>
      </c>
      <c r="F463">
        <v>18.177</v>
      </c>
    </row>
    <row r="464" spans="1:6" hidden="1" x14ac:dyDescent="0.25">
      <c r="A464" t="s">
        <v>7</v>
      </c>
      <c r="B464" s="2">
        <v>43234</v>
      </c>
      <c r="C464">
        <f t="shared" si="13"/>
        <v>2018</v>
      </c>
      <c r="D464">
        <f t="shared" si="14"/>
        <v>134</v>
      </c>
      <c r="E464" t="s">
        <v>6</v>
      </c>
      <c r="F464">
        <v>21.1936</v>
      </c>
    </row>
    <row r="465" spans="1:6" hidden="1" x14ac:dyDescent="0.25">
      <c r="A465" t="s">
        <v>7</v>
      </c>
      <c r="B465" s="2">
        <v>43235</v>
      </c>
      <c r="C465">
        <f t="shared" si="13"/>
        <v>2018</v>
      </c>
      <c r="D465">
        <f t="shared" si="14"/>
        <v>135</v>
      </c>
      <c r="E465" t="s">
        <v>6</v>
      </c>
      <c r="F465">
        <v>17.12</v>
      </c>
    </row>
    <row r="466" spans="1:6" hidden="1" x14ac:dyDescent="0.25">
      <c r="A466" t="s">
        <v>7</v>
      </c>
      <c r="B466" s="2">
        <v>43235</v>
      </c>
      <c r="C466">
        <f t="shared" si="13"/>
        <v>2018</v>
      </c>
      <c r="D466">
        <f t="shared" si="14"/>
        <v>135</v>
      </c>
      <c r="E466" t="s">
        <v>6</v>
      </c>
      <c r="F466">
        <v>20.638199999999998</v>
      </c>
    </row>
    <row r="467" spans="1:6" hidden="1" x14ac:dyDescent="0.25">
      <c r="A467" t="s">
        <v>7</v>
      </c>
      <c r="B467" s="2">
        <v>43248</v>
      </c>
      <c r="C467">
        <f t="shared" si="13"/>
        <v>2018</v>
      </c>
      <c r="D467">
        <f t="shared" si="14"/>
        <v>148</v>
      </c>
      <c r="E467" t="s">
        <v>6</v>
      </c>
      <c r="F467">
        <v>19.418800000000001</v>
      </c>
    </row>
    <row r="468" spans="1:6" hidden="1" x14ac:dyDescent="0.25">
      <c r="A468" t="s">
        <v>7</v>
      </c>
      <c r="B468" s="2">
        <v>43248</v>
      </c>
      <c r="C468">
        <f t="shared" si="13"/>
        <v>2018</v>
      </c>
      <c r="D468">
        <f t="shared" si="14"/>
        <v>148</v>
      </c>
      <c r="E468" t="s">
        <v>6</v>
      </c>
      <c r="F468">
        <v>21.730399999999996</v>
      </c>
    </row>
    <row r="469" spans="1:6" hidden="1" x14ac:dyDescent="0.25">
      <c r="A469" t="s">
        <v>7</v>
      </c>
      <c r="B469" s="2">
        <v>43249</v>
      </c>
      <c r="C469">
        <f t="shared" si="13"/>
        <v>2018</v>
      </c>
      <c r="D469">
        <f t="shared" si="14"/>
        <v>149</v>
      </c>
      <c r="E469" t="s">
        <v>6</v>
      </c>
      <c r="F469">
        <v>17.313800000000001</v>
      </c>
    </row>
    <row r="470" spans="1:6" hidden="1" x14ac:dyDescent="0.25">
      <c r="A470" t="s">
        <v>7</v>
      </c>
      <c r="B470" s="2">
        <v>43249</v>
      </c>
      <c r="C470">
        <f t="shared" si="13"/>
        <v>2018</v>
      </c>
      <c r="D470">
        <f t="shared" si="14"/>
        <v>149</v>
      </c>
      <c r="E470" t="s">
        <v>6</v>
      </c>
      <c r="F470">
        <v>21.0396</v>
      </c>
    </row>
    <row r="471" spans="1:6" hidden="1" x14ac:dyDescent="0.25">
      <c r="A471" t="s">
        <v>7</v>
      </c>
      <c r="B471" s="2">
        <v>43479</v>
      </c>
      <c r="C471">
        <f t="shared" si="13"/>
        <v>2019</v>
      </c>
      <c r="D471">
        <f t="shared" si="14"/>
        <v>14</v>
      </c>
      <c r="E471" t="s">
        <v>6</v>
      </c>
      <c r="F471">
        <v>4.6560000000000006</v>
      </c>
    </row>
    <row r="472" spans="1:6" hidden="1" x14ac:dyDescent="0.25">
      <c r="A472" t="s">
        <v>7</v>
      </c>
      <c r="B472" s="2">
        <v>43479</v>
      </c>
      <c r="C472">
        <f t="shared" si="13"/>
        <v>2019</v>
      </c>
      <c r="D472">
        <f t="shared" si="14"/>
        <v>14</v>
      </c>
      <c r="E472" t="s">
        <v>6</v>
      </c>
      <c r="F472">
        <v>4.2772000000000006</v>
      </c>
    </row>
    <row r="473" spans="1:6" hidden="1" x14ac:dyDescent="0.25">
      <c r="A473" t="s">
        <v>7</v>
      </c>
      <c r="B473" s="2">
        <v>43479</v>
      </c>
      <c r="C473">
        <f t="shared" si="13"/>
        <v>2019</v>
      </c>
      <c r="D473">
        <f t="shared" si="14"/>
        <v>14</v>
      </c>
      <c r="E473" t="s">
        <v>6</v>
      </c>
      <c r="F473">
        <v>4.8944000000000001</v>
      </c>
    </row>
    <row r="474" spans="1:6" hidden="1" x14ac:dyDescent="0.25">
      <c r="A474" t="s">
        <v>7</v>
      </c>
      <c r="B474" s="2">
        <v>43479</v>
      </c>
      <c r="C474">
        <f t="shared" si="13"/>
        <v>2019</v>
      </c>
      <c r="D474">
        <f t="shared" si="14"/>
        <v>14</v>
      </c>
      <c r="E474" t="s">
        <v>6</v>
      </c>
      <c r="F474">
        <v>3.9389999999999996</v>
      </c>
    </row>
    <row r="475" spans="1:6" hidden="1" x14ac:dyDescent="0.25">
      <c r="A475" t="s">
        <v>7</v>
      </c>
      <c r="B475" s="2">
        <v>43514</v>
      </c>
      <c r="C475">
        <f t="shared" si="13"/>
        <v>2019</v>
      </c>
      <c r="D475">
        <f t="shared" si="14"/>
        <v>49</v>
      </c>
      <c r="E475" t="s">
        <v>6</v>
      </c>
      <c r="F475">
        <v>10.8528</v>
      </c>
    </row>
    <row r="476" spans="1:6" hidden="1" x14ac:dyDescent="0.25">
      <c r="A476" t="s">
        <v>7</v>
      </c>
      <c r="B476" s="2">
        <v>43514</v>
      </c>
      <c r="C476">
        <f t="shared" si="13"/>
        <v>2019</v>
      </c>
      <c r="D476">
        <f t="shared" si="14"/>
        <v>49</v>
      </c>
      <c r="E476" t="s">
        <v>6</v>
      </c>
      <c r="F476">
        <v>10.956800000000001</v>
      </c>
    </row>
    <row r="477" spans="1:6" hidden="1" x14ac:dyDescent="0.25">
      <c r="A477" t="s">
        <v>7</v>
      </c>
      <c r="B477" s="2">
        <v>43514</v>
      </c>
      <c r="C477">
        <f t="shared" si="13"/>
        <v>2019</v>
      </c>
      <c r="D477">
        <f t="shared" si="14"/>
        <v>49</v>
      </c>
      <c r="E477" t="s">
        <v>6</v>
      </c>
      <c r="F477">
        <v>11.326199999999998</v>
      </c>
    </row>
    <row r="478" spans="1:6" hidden="1" x14ac:dyDescent="0.25">
      <c r="A478" t="s">
        <v>7</v>
      </c>
      <c r="B478" s="2">
        <v>43514</v>
      </c>
      <c r="C478">
        <f t="shared" si="13"/>
        <v>2019</v>
      </c>
      <c r="D478">
        <f t="shared" si="14"/>
        <v>49</v>
      </c>
      <c r="E478" t="s">
        <v>6</v>
      </c>
      <c r="F478">
        <v>9.9293999999999993</v>
      </c>
    </row>
    <row r="479" spans="1:6" hidden="1" x14ac:dyDescent="0.25">
      <c r="A479" t="s">
        <v>7</v>
      </c>
      <c r="B479" s="2">
        <v>43528</v>
      </c>
      <c r="C479">
        <f t="shared" si="13"/>
        <v>2019</v>
      </c>
      <c r="D479">
        <f t="shared" si="14"/>
        <v>63</v>
      </c>
      <c r="E479" t="s">
        <v>6</v>
      </c>
      <c r="F479">
        <v>13.165999999999999</v>
      </c>
    </row>
    <row r="480" spans="1:6" hidden="1" x14ac:dyDescent="0.25">
      <c r="A480" t="s">
        <v>7</v>
      </c>
      <c r="B480" s="2">
        <v>43528</v>
      </c>
      <c r="C480">
        <f t="shared" si="13"/>
        <v>2019</v>
      </c>
      <c r="D480">
        <f t="shared" si="14"/>
        <v>63</v>
      </c>
      <c r="E480" t="s">
        <v>6</v>
      </c>
      <c r="F480">
        <v>10.804500000000001</v>
      </c>
    </row>
    <row r="481" spans="1:6" hidden="1" x14ac:dyDescent="0.25">
      <c r="A481" t="s">
        <v>7</v>
      </c>
      <c r="B481" s="2">
        <v>43529</v>
      </c>
      <c r="C481">
        <f t="shared" si="13"/>
        <v>2019</v>
      </c>
      <c r="D481">
        <f t="shared" si="14"/>
        <v>64</v>
      </c>
      <c r="E481" t="s">
        <v>6</v>
      </c>
      <c r="F481">
        <v>12.7376</v>
      </c>
    </row>
    <row r="482" spans="1:6" hidden="1" x14ac:dyDescent="0.25">
      <c r="A482" t="s">
        <v>7</v>
      </c>
      <c r="B482" s="2">
        <v>43542</v>
      </c>
      <c r="C482">
        <f t="shared" si="13"/>
        <v>2019</v>
      </c>
      <c r="D482">
        <f t="shared" si="14"/>
        <v>77</v>
      </c>
      <c r="E482" t="s">
        <v>6</v>
      </c>
      <c r="F482">
        <v>15.515600000000001</v>
      </c>
    </row>
    <row r="483" spans="1:6" hidden="1" x14ac:dyDescent="0.25">
      <c r="A483" t="s">
        <v>7</v>
      </c>
      <c r="B483" s="2">
        <v>43542</v>
      </c>
      <c r="C483">
        <f t="shared" si="13"/>
        <v>2019</v>
      </c>
      <c r="D483">
        <f t="shared" si="14"/>
        <v>77</v>
      </c>
      <c r="E483" t="s">
        <v>6</v>
      </c>
      <c r="F483">
        <v>12.581800000000001</v>
      </c>
    </row>
    <row r="484" spans="1:6" hidden="1" x14ac:dyDescent="0.25">
      <c r="A484" t="s">
        <v>7</v>
      </c>
      <c r="B484" s="2">
        <v>43543</v>
      </c>
      <c r="C484">
        <f t="shared" si="13"/>
        <v>2019</v>
      </c>
      <c r="D484">
        <f t="shared" si="14"/>
        <v>78</v>
      </c>
      <c r="E484" t="s">
        <v>6</v>
      </c>
      <c r="F484">
        <v>15.232000000000001</v>
      </c>
    </row>
    <row r="485" spans="1:6" hidden="1" x14ac:dyDescent="0.25">
      <c r="A485" t="s">
        <v>7</v>
      </c>
      <c r="B485" s="2">
        <v>43557</v>
      </c>
      <c r="C485">
        <f t="shared" si="13"/>
        <v>2019</v>
      </c>
      <c r="D485">
        <f t="shared" si="14"/>
        <v>92</v>
      </c>
      <c r="E485" t="s">
        <v>6</v>
      </c>
      <c r="F485">
        <v>16.212700000000002</v>
      </c>
    </row>
    <row r="486" spans="1:6" hidden="1" x14ac:dyDescent="0.25">
      <c r="A486" t="s">
        <v>7</v>
      </c>
      <c r="B486" s="2">
        <v>43557</v>
      </c>
      <c r="C486">
        <f t="shared" si="13"/>
        <v>2019</v>
      </c>
      <c r="D486">
        <f t="shared" si="14"/>
        <v>92</v>
      </c>
      <c r="E486" t="s">
        <v>6</v>
      </c>
      <c r="F486">
        <v>17.384</v>
      </c>
    </row>
    <row r="487" spans="1:6" hidden="1" x14ac:dyDescent="0.25">
      <c r="A487" t="s">
        <v>7</v>
      </c>
      <c r="B487" s="2">
        <v>43557</v>
      </c>
      <c r="C487">
        <f t="shared" si="13"/>
        <v>2019</v>
      </c>
      <c r="D487">
        <f t="shared" si="14"/>
        <v>92</v>
      </c>
      <c r="E487" t="s">
        <v>6</v>
      </c>
      <c r="F487">
        <v>17.828400000000002</v>
      </c>
    </row>
    <row r="488" spans="1:6" hidden="1" x14ac:dyDescent="0.25">
      <c r="A488" t="s">
        <v>7</v>
      </c>
      <c r="B488" s="2">
        <v>43557</v>
      </c>
      <c r="C488">
        <f t="shared" si="13"/>
        <v>2019</v>
      </c>
      <c r="D488">
        <f t="shared" si="14"/>
        <v>92</v>
      </c>
      <c r="E488" t="s">
        <v>6</v>
      </c>
      <c r="F488">
        <v>14.051499999999999</v>
      </c>
    </row>
    <row r="489" spans="1:6" hidden="1" x14ac:dyDescent="0.25">
      <c r="A489" t="s">
        <v>7</v>
      </c>
      <c r="B489" s="2">
        <v>43564</v>
      </c>
      <c r="C489">
        <f t="shared" si="13"/>
        <v>2019</v>
      </c>
      <c r="D489">
        <f t="shared" si="14"/>
        <v>99</v>
      </c>
      <c r="E489" t="s">
        <v>6</v>
      </c>
      <c r="F489">
        <v>16.912500000000001</v>
      </c>
    </row>
    <row r="490" spans="1:6" hidden="1" x14ac:dyDescent="0.25">
      <c r="A490" t="s">
        <v>7</v>
      </c>
      <c r="B490" s="2">
        <v>43564</v>
      </c>
      <c r="C490">
        <f t="shared" si="13"/>
        <v>2019</v>
      </c>
      <c r="D490">
        <f t="shared" si="14"/>
        <v>99</v>
      </c>
      <c r="E490" t="s">
        <v>6</v>
      </c>
      <c r="F490">
        <v>17.995200000000001</v>
      </c>
    </row>
    <row r="491" spans="1:6" hidden="1" x14ac:dyDescent="0.25">
      <c r="A491" t="s">
        <v>7</v>
      </c>
      <c r="B491" s="2">
        <v>43564</v>
      </c>
      <c r="C491">
        <f t="shared" si="13"/>
        <v>2019</v>
      </c>
      <c r="D491">
        <f t="shared" si="14"/>
        <v>99</v>
      </c>
      <c r="E491" t="s">
        <v>6</v>
      </c>
      <c r="F491">
        <v>18.420999999999999</v>
      </c>
    </row>
    <row r="492" spans="1:6" hidden="1" x14ac:dyDescent="0.25">
      <c r="A492" t="s">
        <v>7</v>
      </c>
      <c r="B492" s="2">
        <v>43564</v>
      </c>
      <c r="C492">
        <f t="shared" si="13"/>
        <v>2019</v>
      </c>
      <c r="D492">
        <f t="shared" si="14"/>
        <v>99</v>
      </c>
      <c r="E492" t="s">
        <v>6</v>
      </c>
      <c r="F492">
        <v>15.370899999999999</v>
      </c>
    </row>
    <row r="493" spans="1:6" hidden="1" x14ac:dyDescent="0.25">
      <c r="A493" t="s">
        <v>7</v>
      </c>
      <c r="B493" s="2">
        <v>43570</v>
      </c>
      <c r="C493">
        <f t="shared" si="13"/>
        <v>2019</v>
      </c>
      <c r="D493">
        <f t="shared" si="14"/>
        <v>105</v>
      </c>
      <c r="E493" t="s">
        <v>6</v>
      </c>
      <c r="F493">
        <v>17.330400000000001</v>
      </c>
    </row>
    <row r="494" spans="1:6" hidden="1" x14ac:dyDescent="0.25">
      <c r="A494" t="s">
        <v>7</v>
      </c>
      <c r="B494" s="2">
        <v>43570</v>
      </c>
      <c r="C494">
        <f t="shared" si="13"/>
        <v>2019</v>
      </c>
      <c r="D494">
        <f t="shared" si="14"/>
        <v>105</v>
      </c>
      <c r="E494" t="s">
        <v>6</v>
      </c>
      <c r="F494">
        <v>18.035999999999998</v>
      </c>
    </row>
    <row r="495" spans="1:6" hidden="1" x14ac:dyDescent="0.25">
      <c r="A495" t="s">
        <v>7</v>
      </c>
      <c r="B495" s="2">
        <v>43570</v>
      </c>
      <c r="C495">
        <f t="shared" si="13"/>
        <v>2019</v>
      </c>
      <c r="D495">
        <f t="shared" si="14"/>
        <v>105</v>
      </c>
      <c r="E495" t="s">
        <v>6</v>
      </c>
      <c r="F495">
        <v>19.583600000000001</v>
      </c>
    </row>
    <row r="496" spans="1:6" hidden="1" x14ac:dyDescent="0.25">
      <c r="A496" t="s">
        <v>7</v>
      </c>
      <c r="B496" s="2">
        <v>43570</v>
      </c>
      <c r="C496">
        <f t="shared" si="13"/>
        <v>2019</v>
      </c>
      <c r="D496">
        <f t="shared" si="14"/>
        <v>105</v>
      </c>
      <c r="E496" t="s">
        <v>6</v>
      </c>
      <c r="F496">
        <v>15.481599999999998</v>
      </c>
    </row>
    <row r="497" spans="1:6" hidden="1" x14ac:dyDescent="0.25">
      <c r="A497" t="s">
        <v>7</v>
      </c>
      <c r="B497" s="2">
        <v>43577</v>
      </c>
      <c r="C497">
        <f t="shared" si="13"/>
        <v>2019</v>
      </c>
      <c r="D497">
        <f t="shared" si="14"/>
        <v>112</v>
      </c>
      <c r="E497" t="s">
        <v>6</v>
      </c>
      <c r="F497">
        <v>16.8264</v>
      </c>
    </row>
    <row r="498" spans="1:6" hidden="1" x14ac:dyDescent="0.25">
      <c r="A498" t="s">
        <v>7</v>
      </c>
      <c r="B498" s="2">
        <v>43577</v>
      </c>
      <c r="C498">
        <f t="shared" si="13"/>
        <v>2019</v>
      </c>
      <c r="D498">
        <f t="shared" si="14"/>
        <v>112</v>
      </c>
      <c r="E498" t="s">
        <v>6</v>
      </c>
      <c r="F498">
        <v>18.564</v>
      </c>
    </row>
    <row r="499" spans="1:6" hidden="1" x14ac:dyDescent="0.25">
      <c r="A499" t="s">
        <v>7</v>
      </c>
      <c r="B499" s="2">
        <v>43577</v>
      </c>
      <c r="C499">
        <f t="shared" si="13"/>
        <v>2019</v>
      </c>
      <c r="D499">
        <f t="shared" si="14"/>
        <v>112</v>
      </c>
      <c r="E499" t="s">
        <v>6</v>
      </c>
      <c r="F499">
        <v>18.948599999999999</v>
      </c>
    </row>
    <row r="500" spans="1:6" hidden="1" x14ac:dyDescent="0.25">
      <c r="A500" t="s">
        <v>7</v>
      </c>
      <c r="B500" s="2">
        <v>43577</v>
      </c>
      <c r="C500">
        <f t="shared" si="13"/>
        <v>2019</v>
      </c>
      <c r="D500">
        <f t="shared" si="14"/>
        <v>112</v>
      </c>
      <c r="E500" t="s">
        <v>6</v>
      </c>
      <c r="F500">
        <v>15.484999999999999</v>
      </c>
    </row>
    <row r="501" spans="1:6" hidden="1" x14ac:dyDescent="0.25">
      <c r="A501" t="s">
        <v>7</v>
      </c>
      <c r="B501" s="2">
        <v>43584</v>
      </c>
      <c r="C501">
        <f t="shared" si="13"/>
        <v>2019</v>
      </c>
      <c r="D501">
        <f t="shared" si="14"/>
        <v>119</v>
      </c>
      <c r="E501" t="s">
        <v>6</v>
      </c>
      <c r="F501">
        <v>15.664599999999998</v>
      </c>
    </row>
    <row r="502" spans="1:6" hidden="1" x14ac:dyDescent="0.25">
      <c r="A502" t="s">
        <v>7</v>
      </c>
      <c r="B502" s="2">
        <v>43584</v>
      </c>
      <c r="C502">
        <f t="shared" si="13"/>
        <v>2019</v>
      </c>
      <c r="D502">
        <f t="shared" si="14"/>
        <v>119</v>
      </c>
      <c r="E502" t="s">
        <v>6</v>
      </c>
      <c r="F502">
        <v>16.6465</v>
      </c>
    </row>
    <row r="503" spans="1:6" hidden="1" x14ac:dyDescent="0.25">
      <c r="A503" t="s">
        <v>7</v>
      </c>
      <c r="B503" s="2">
        <v>43584</v>
      </c>
      <c r="C503">
        <f t="shared" si="13"/>
        <v>2019</v>
      </c>
      <c r="D503">
        <f t="shared" si="14"/>
        <v>119</v>
      </c>
      <c r="E503" t="s">
        <v>6</v>
      </c>
      <c r="F503">
        <v>18.004799999999999</v>
      </c>
    </row>
    <row r="504" spans="1:6" hidden="1" x14ac:dyDescent="0.25">
      <c r="A504" t="s">
        <v>7</v>
      </c>
      <c r="B504" s="2">
        <v>43584</v>
      </c>
      <c r="C504">
        <f t="shared" si="13"/>
        <v>2019</v>
      </c>
      <c r="D504">
        <f t="shared" si="14"/>
        <v>119</v>
      </c>
      <c r="E504" t="s">
        <v>6</v>
      </c>
      <c r="F504">
        <v>14.176400000000003</v>
      </c>
    </row>
    <row r="505" spans="1:6" hidden="1" x14ac:dyDescent="0.25">
      <c r="A505" t="s">
        <v>7</v>
      </c>
      <c r="B505" s="2">
        <v>43612</v>
      </c>
      <c r="C505">
        <f t="shared" si="13"/>
        <v>2019</v>
      </c>
      <c r="D505">
        <f t="shared" si="14"/>
        <v>147</v>
      </c>
      <c r="E505" t="s">
        <v>6</v>
      </c>
      <c r="F505">
        <v>21.337800000000001</v>
      </c>
    </row>
    <row r="506" spans="1:6" hidden="1" x14ac:dyDescent="0.25">
      <c r="A506" t="s">
        <v>7</v>
      </c>
      <c r="B506" s="2">
        <v>43612</v>
      </c>
      <c r="C506">
        <f t="shared" si="13"/>
        <v>2019</v>
      </c>
      <c r="D506">
        <f t="shared" si="14"/>
        <v>147</v>
      </c>
      <c r="E506" t="s">
        <v>6</v>
      </c>
      <c r="F506">
        <v>17.0625</v>
      </c>
    </row>
    <row r="507" spans="1:6" hidden="1" x14ac:dyDescent="0.25">
      <c r="A507" t="s">
        <v>7</v>
      </c>
      <c r="B507" s="2">
        <v>43613</v>
      </c>
      <c r="C507">
        <f t="shared" ref="C507:C569" si="15">YEAR(B507)</f>
        <v>2019</v>
      </c>
      <c r="D507">
        <f t="shared" si="14"/>
        <v>148</v>
      </c>
      <c r="E507" t="s">
        <v>6</v>
      </c>
      <c r="F507">
        <v>18.391999999999999</v>
      </c>
    </row>
    <row r="508" spans="1:6" hidden="1" x14ac:dyDescent="0.25">
      <c r="A508" t="s">
        <v>7</v>
      </c>
      <c r="B508" s="2">
        <v>43613</v>
      </c>
      <c r="C508">
        <f t="shared" si="15"/>
        <v>2019</v>
      </c>
      <c r="D508">
        <f t="shared" si="14"/>
        <v>148</v>
      </c>
      <c r="E508" t="s">
        <v>6</v>
      </c>
      <c r="F508">
        <v>20.178000000000001</v>
      </c>
    </row>
    <row r="509" spans="1:6" hidden="1" x14ac:dyDescent="0.25">
      <c r="A509" t="s">
        <v>7</v>
      </c>
      <c r="B509" s="2">
        <v>43850</v>
      </c>
      <c r="C509">
        <f t="shared" si="15"/>
        <v>2020</v>
      </c>
      <c r="D509">
        <f t="shared" si="14"/>
        <v>20</v>
      </c>
      <c r="E509" t="s">
        <v>6</v>
      </c>
      <c r="F509">
        <v>4.8761999999999999</v>
      </c>
    </row>
    <row r="510" spans="1:6" hidden="1" x14ac:dyDescent="0.25">
      <c r="A510" t="s">
        <v>7</v>
      </c>
      <c r="B510" s="2">
        <v>43850</v>
      </c>
      <c r="C510">
        <f t="shared" si="15"/>
        <v>2020</v>
      </c>
      <c r="D510">
        <f t="shared" si="14"/>
        <v>20</v>
      </c>
      <c r="E510" t="s">
        <v>6</v>
      </c>
      <c r="F510">
        <v>6.0888</v>
      </c>
    </row>
    <row r="511" spans="1:6" hidden="1" x14ac:dyDescent="0.25">
      <c r="A511" t="s">
        <v>7</v>
      </c>
      <c r="B511" s="2">
        <v>43851</v>
      </c>
      <c r="C511">
        <f t="shared" si="15"/>
        <v>2020</v>
      </c>
      <c r="D511">
        <f t="shared" si="14"/>
        <v>21</v>
      </c>
      <c r="E511" t="s">
        <v>6</v>
      </c>
      <c r="F511">
        <v>6.6393999999999993</v>
      </c>
    </row>
    <row r="512" spans="1:6" hidden="1" x14ac:dyDescent="0.25">
      <c r="A512" t="s">
        <v>7</v>
      </c>
      <c r="B512" s="2">
        <v>43878</v>
      </c>
      <c r="C512">
        <f t="shared" si="15"/>
        <v>2020</v>
      </c>
      <c r="D512">
        <f t="shared" si="14"/>
        <v>48</v>
      </c>
      <c r="E512" t="s">
        <v>6</v>
      </c>
      <c r="F512">
        <v>10.094700000000001</v>
      </c>
    </row>
    <row r="513" spans="1:6" hidden="1" x14ac:dyDescent="0.25">
      <c r="A513" t="s">
        <v>7</v>
      </c>
      <c r="B513" s="2">
        <v>43878</v>
      </c>
      <c r="C513">
        <f t="shared" si="15"/>
        <v>2020</v>
      </c>
      <c r="D513">
        <f t="shared" si="14"/>
        <v>48</v>
      </c>
      <c r="E513" t="s">
        <v>6</v>
      </c>
      <c r="F513">
        <v>11.238399999999999</v>
      </c>
    </row>
    <row r="514" spans="1:6" hidden="1" x14ac:dyDescent="0.25">
      <c r="A514" t="s">
        <v>7</v>
      </c>
      <c r="B514" s="2">
        <v>43880</v>
      </c>
      <c r="C514">
        <f t="shared" si="15"/>
        <v>2020</v>
      </c>
      <c r="D514">
        <f t="shared" ref="D514:D577" si="16">B514-DATE(YEAR(B514),1,0)</f>
        <v>50</v>
      </c>
      <c r="E514" t="s">
        <v>6</v>
      </c>
      <c r="F514">
        <v>11.596500000000001</v>
      </c>
    </row>
    <row r="515" spans="1:6" hidden="1" x14ac:dyDescent="0.25">
      <c r="A515" t="s">
        <v>7</v>
      </c>
      <c r="B515" s="2">
        <v>43892</v>
      </c>
      <c r="C515">
        <f t="shared" si="15"/>
        <v>2020</v>
      </c>
      <c r="D515">
        <f t="shared" si="16"/>
        <v>62</v>
      </c>
      <c r="E515" t="s">
        <v>6</v>
      </c>
      <c r="F515">
        <v>11.636900000000001</v>
      </c>
    </row>
    <row r="516" spans="1:6" hidden="1" x14ac:dyDescent="0.25">
      <c r="A516" t="s">
        <v>7</v>
      </c>
      <c r="B516" s="2">
        <v>43892</v>
      </c>
      <c r="C516">
        <f t="shared" si="15"/>
        <v>2020</v>
      </c>
      <c r="D516">
        <f t="shared" si="16"/>
        <v>62</v>
      </c>
      <c r="E516" t="s">
        <v>6</v>
      </c>
      <c r="F516">
        <v>14.870200000000001</v>
      </c>
    </row>
    <row r="517" spans="1:6" hidden="1" x14ac:dyDescent="0.25">
      <c r="A517" t="s">
        <v>7</v>
      </c>
      <c r="B517" s="2">
        <v>43894</v>
      </c>
      <c r="C517">
        <f t="shared" si="15"/>
        <v>2020</v>
      </c>
      <c r="D517">
        <f t="shared" si="16"/>
        <v>64</v>
      </c>
      <c r="E517" t="s">
        <v>6</v>
      </c>
      <c r="F517">
        <v>13.32</v>
      </c>
    </row>
    <row r="518" spans="1:6" hidden="1" x14ac:dyDescent="0.25">
      <c r="A518" t="s">
        <v>7</v>
      </c>
      <c r="B518" s="2">
        <v>43906</v>
      </c>
      <c r="C518">
        <f t="shared" si="15"/>
        <v>2020</v>
      </c>
      <c r="D518">
        <f t="shared" si="16"/>
        <v>76</v>
      </c>
      <c r="E518" t="s">
        <v>6</v>
      </c>
      <c r="F518">
        <v>13.488</v>
      </c>
    </row>
    <row r="519" spans="1:6" hidden="1" x14ac:dyDescent="0.25">
      <c r="A519" t="s">
        <v>7</v>
      </c>
      <c r="B519" s="2">
        <v>43906</v>
      </c>
      <c r="C519">
        <f t="shared" si="15"/>
        <v>2020</v>
      </c>
      <c r="D519">
        <f t="shared" si="16"/>
        <v>76</v>
      </c>
      <c r="E519" t="s">
        <v>6</v>
      </c>
      <c r="F519">
        <v>17.408000000000001</v>
      </c>
    </row>
    <row r="520" spans="1:6" hidden="1" x14ac:dyDescent="0.25">
      <c r="A520" t="s">
        <v>7</v>
      </c>
      <c r="B520" s="2">
        <v>43907</v>
      </c>
      <c r="C520">
        <f t="shared" si="15"/>
        <v>2020</v>
      </c>
      <c r="D520">
        <f t="shared" si="16"/>
        <v>77</v>
      </c>
      <c r="E520" t="s">
        <v>6</v>
      </c>
      <c r="F520">
        <v>15.384600000000001</v>
      </c>
    </row>
    <row r="521" spans="1:6" hidden="1" x14ac:dyDescent="0.25">
      <c r="A521" t="s">
        <v>7</v>
      </c>
      <c r="B521" s="2">
        <v>43950</v>
      </c>
      <c r="C521">
        <f t="shared" si="15"/>
        <v>2020</v>
      </c>
      <c r="D521">
        <f t="shared" si="16"/>
        <v>120</v>
      </c>
      <c r="E521" t="s">
        <v>6</v>
      </c>
      <c r="F521">
        <v>17.500999999999998</v>
      </c>
    </row>
    <row r="522" spans="1:6" hidden="1" x14ac:dyDescent="0.25">
      <c r="A522" t="s">
        <v>7</v>
      </c>
      <c r="B522" s="2">
        <v>43950</v>
      </c>
      <c r="C522">
        <f t="shared" si="15"/>
        <v>2020</v>
      </c>
      <c r="D522">
        <f t="shared" si="16"/>
        <v>120</v>
      </c>
      <c r="E522" t="s">
        <v>6</v>
      </c>
      <c r="F522">
        <v>22.477499999999999</v>
      </c>
    </row>
    <row r="523" spans="1:6" hidden="1" x14ac:dyDescent="0.25">
      <c r="A523" t="s">
        <v>7</v>
      </c>
      <c r="B523" s="2">
        <v>43950</v>
      </c>
      <c r="C523">
        <f t="shared" si="15"/>
        <v>2020</v>
      </c>
      <c r="D523">
        <f t="shared" si="16"/>
        <v>120</v>
      </c>
      <c r="E523" t="s">
        <v>6</v>
      </c>
      <c r="F523">
        <v>19.583600000000001</v>
      </c>
    </row>
    <row r="524" spans="1:6" hidden="1" x14ac:dyDescent="0.25">
      <c r="A524" t="s">
        <v>7</v>
      </c>
      <c r="B524" s="2">
        <v>43963</v>
      </c>
      <c r="C524">
        <f t="shared" si="15"/>
        <v>2020</v>
      </c>
      <c r="D524">
        <f t="shared" si="16"/>
        <v>133</v>
      </c>
      <c r="E524" t="s">
        <v>6</v>
      </c>
      <c r="F524">
        <v>23.190299999999997</v>
      </c>
    </row>
    <row r="525" spans="1:6" hidden="1" x14ac:dyDescent="0.25">
      <c r="A525" t="s">
        <v>7</v>
      </c>
      <c r="B525" s="2">
        <v>43964</v>
      </c>
      <c r="C525">
        <f t="shared" si="15"/>
        <v>2020</v>
      </c>
      <c r="D525">
        <f t="shared" si="16"/>
        <v>134</v>
      </c>
      <c r="E525" t="s">
        <v>6</v>
      </c>
      <c r="F525">
        <v>18.668399999999998</v>
      </c>
    </row>
    <row r="526" spans="1:6" hidden="1" x14ac:dyDescent="0.25">
      <c r="A526" t="s">
        <v>7</v>
      </c>
      <c r="B526" s="2">
        <v>43964</v>
      </c>
      <c r="C526">
        <f t="shared" si="15"/>
        <v>2020</v>
      </c>
      <c r="D526">
        <f t="shared" si="16"/>
        <v>134</v>
      </c>
      <c r="E526" t="s">
        <v>6</v>
      </c>
      <c r="F526">
        <v>21.14</v>
      </c>
    </row>
    <row r="527" spans="1:6" hidden="1" x14ac:dyDescent="0.25">
      <c r="A527" t="s">
        <v>7</v>
      </c>
      <c r="B527" s="2">
        <v>43978</v>
      </c>
      <c r="C527">
        <f t="shared" si="15"/>
        <v>2020</v>
      </c>
      <c r="D527">
        <f t="shared" si="16"/>
        <v>148</v>
      </c>
      <c r="E527" t="s">
        <v>6</v>
      </c>
      <c r="F527">
        <v>17.422999999999998</v>
      </c>
    </row>
    <row r="528" spans="1:6" hidden="1" x14ac:dyDescent="0.25">
      <c r="A528" t="s">
        <v>7</v>
      </c>
      <c r="B528" s="2">
        <v>43978</v>
      </c>
      <c r="C528">
        <f t="shared" si="15"/>
        <v>2020</v>
      </c>
      <c r="D528">
        <f t="shared" si="16"/>
        <v>148</v>
      </c>
      <c r="E528" t="s">
        <v>6</v>
      </c>
      <c r="F528">
        <v>21.057399999999998</v>
      </c>
    </row>
    <row r="529" spans="1:6" hidden="1" x14ac:dyDescent="0.25">
      <c r="A529" t="s">
        <v>7</v>
      </c>
      <c r="B529" s="2">
        <v>44223</v>
      </c>
      <c r="C529">
        <f t="shared" si="15"/>
        <v>2021</v>
      </c>
      <c r="D529">
        <f t="shared" si="16"/>
        <v>27</v>
      </c>
      <c r="E529" t="s">
        <v>6</v>
      </c>
      <c r="F529">
        <v>6.9315123712321158</v>
      </c>
    </row>
    <row r="530" spans="1:6" hidden="1" x14ac:dyDescent="0.25">
      <c r="A530" t="s">
        <v>7</v>
      </c>
      <c r="B530" s="2">
        <v>44223</v>
      </c>
      <c r="C530">
        <f t="shared" si="15"/>
        <v>2021</v>
      </c>
      <c r="D530">
        <f t="shared" si="16"/>
        <v>27</v>
      </c>
      <c r="E530" t="s">
        <v>6</v>
      </c>
      <c r="F530">
        <v>5.4313511084294808</v>
      </c>
    </row>
    <row r="531" spans="1:6" hidden="1" x14ac:dyDescent="0.25">
      <c r="A531" t="s">
        <v>7</v>
      </c>
      <c r="B531" s="2">
        <v>44224</v>
      </c>
      <c r="C531">
        <f t="shared" si="15"/>
        <v>2021</v>
      </c>
      <c r="D531">
        <f t="shared" si="16"/>
        <v>28</v>
      </c>
      <c r="E531" t="s">
        <v>6</v>
      </c>
      <c r="F531">
        <v>5.7144543386675126</v>
      </c>
    </row>
    <row r="532" spans="1:6" hidden="1" x14ac:dyDescent="0.25">
      <c r="A532" t="s">
        <v>7</v>
      </c>
      <c r="B532" s="2">
        <v>44244</v>
      </c>
      <c r="C532">
        <f t="shared" si="15"/>
        <v>2021</v>
      </c>
      <c r="D532">
        <f t="shared" si="16"/>
        <v>48</v>
      </c>
      <c r="E532" t="s">
        <v>6</v>
      </c>
      <c r="F532">
        <v>8.8291548744930903</v>
      </c>
    </row>
    <row r="533" spans="1:6" hidden="1" x14ac:dyDescent="0.25">
      <c r="A533" t="s">
        <v>7</v>
      </c>
      <c r="B533" s="2">
        <v>44245</v>
      </c>
      <c r="C533">
        <f t="shared" si="15"/>
        <v>2021</v>
      </c>
      <c r="D533">
        <f t="shared" si="16"/>
        <v>49</v>
      </c>
      <c r="E533" t="s">
        <v>6</v>
      </c>
      <c r="F533">
        <v>8.3138487145662179</v>
      </c>
    </row>
    <row r="534" spans="1:6" hidden="1" x14ac:dyDescent="0.25">
      <c r="A534" t="s">
        <v>7</v>
      </c>
      <c r="B534" s="2">
        <v>44245</v>
      </c>
      <c r="C534">
        <f t="shared" si="15"/>
        <v>2021</v>
      </c>
      <c r="D534">
        <f t="shared" si="16"/>
        <v>49</v>
      </c>
      <c r="E534" t="s">
        <v>6</v>
      </c>
      <c r="F534">
        <v>8.0472565935445601</v>
      </c>
    </row>
    <row r="535" spans="1:6" hidden="1" x14ac:dyDescent="0.25">
      <c r="A535" t="s">
        <v>7</v>
      </c>
      <c r="B535" s="2">
        <v>44258</v>
      </c>
      <c r="C535">
        <f t="shared" si="15"/>
        <v>2021</v>
      </c>
      <c r="D535">
        <f t="shared" si="16"/>
        <v>62</v>
      </c>
      <c r="E535" t="s">
        <v>6</v>
      </c>
      <c r="F535">
        <v>11.28362013570101</v>
      </c>
    </row>
    <row r="536" spans="1:6" hidden="1" x14ac:dyDescent="0.25">
      <c r="A536" t="s">
        <v>7</v>
      </c>
      <c r="B536" s="2">
        <v>44258</v>
      </c>
      <c r="C536">
        <f t="shared" si="15"/>
        <v>2021</v>
      </c>
      <c r="D536">
        <f t="shared" si="16"/>
        <v>62</v>
      </c>
      <c r="E536" t="s">
        <v>6</v>
      </c>
      <c r="F536">
        <v>12.996873220121543</v>
      </c>
    </row>
    <row r="537" spans="1:6" hidden="1" x14ac:dyDescent="0.25">
      <c r="A537" t="s">
        <v>7</v>
      </c>
      <c r="B537" s="2">
        <v>44258</v>
      </c>
      <c r="C537">
        <f t="shared" si="15"/>
        <v>2021</v>
      </c>
      <c r="D537">
        <f t="shared" si="16"/>
        <v>62</v>
      </c>
      <c r="E537" t="s">
        <v>6</v>
      </c>
      <c r="F537">
        <v>11.020121811353031</v>
      </c>
    </row>
    <row r="538" spans="1:6" hidden="1" x14ac:dyDescent="0.25">
      <c r="A538" t="s">
        <v>7</v>
      </c>
      <c r="B538" s="2">
        <v>44272</v>
      </c>
      <c r="C538">
        <f t="shared" si="15"/>
        <v>2021</v>
      </c>
      <c r="D538">
        <f t="shared" si="16"/>
        <v>76</v>
      </c>
      <c r="E538" t="s">
        <v>6</v>
      </c>
      <c r="F538">
        <v>13.065476193540855</v>
      </c>
    </row>
    <row r="539" spans="1:6" hidden="1" x14ac:dyDescent="0.25">
      <c r="A539" t="s">
        <v>7</v>
      </c>
      <c r="B539" s="2">
        <v>44272</v>
      </c>
      <c r="C539">
        <f t="shared" si="15"/>
        <v>2021</v>
      </c>
      <c r="D539">
        <f t="shared" si="16"/>
        <v>76</v>
      </c>
      <c r="E539" t="s">
        <v>6</v>
      </c>
      <c r="F539">
        <v>15.870028059077221</v>
      </c>
    </row>
    <row r="540" spans="1:6" hidden="1" x14ac:dyDescent="0.25">
      <c r="A540" t="s">
        <v>7</v>
      </c>
      <c r="B540" s="2">
        <v>44272</v>
      </c>
      <c r="C540">
        <f t="shared" si="15"/>
        <v>2021</v>
      </c>
      <c r="D540">
        <f t="shared" si="16"/>
        <v>76</v>
      </c>
      <c r="E540" t="s">
        <v>6</v>
      </c>
      <c r="F540">
        <v>14.223498689674621</v>
      </c>
    </row>
    <row r="541" spans="1:6" hidden="1" x14ac:dyDescent="0.25">
      <c r="A541" t="s">
        <v>7</v>
      </c>
      <c r="B541" s="2">
        <v>44286</v>
      </c>
      <c r="C541">
        <f t="shared" si="15"/>
        <v>2021</v>
      </c>
      <c r="D541">
        <f t="shared" si="16"/>
        <v>90</v>
      </c>
      <c r="E541" t="s">
        <v>6</v>
      </c>
      <c r="F541">
        <v>17.699191578753037</v>
      </c>
    </row>
    <row r="542" spans="1:6" hidden="1" x14ac:dyDescent="0.25">
      <c r="A542" t="s">
        <v>7</v>
      </c>
      <c r="B542" s="2">
        <v>44287</v>
      </c>
      <c r="C542">
        <f t="shared" si="15"/>
        <v>2021</v>
      </c>
      <c r="D542">
        <f t="shared" si="16"/>
        <v>91</v>
      </c>
      <c r="E542" t="s">
        <v>6</v>
      </c>
      <c r="F542">
        <v>15.108312942068499</v>
      </c>
    </row>
    <row r="543" spans="1:6" hidden="1" x14ac:dyDescent="0.25">
      <c r="A543" t="s">
        <v>7</v>
      </c>
      <c r="B543" s="2">
        <v>44287</v>
      </c>
      <c r="C543">
        <f t="shared" si="15"/>
        <v>2021</v>
      </c>
      <c r="D543">
        <f t="shared" si="16"/>
        <v>91</v>
      </c>
      <c r="E543" t="s">
        <v>6</v>
      </c>
      <c r="F543">
        <v>15.438316897742517</v>
      </c>
    </row>
    <row r="544" spans="1:6" hidden="1" x14ac:dyDescent="0.25">
      <c r="A544" t="s">
        <v>7</v>
      </c>
      <c r="B544" s="2">
        <v>44300</v>
      </c>
      <c r="C544">
        <f t="shared" si="15"/>
        <v>2021</v>
      </c>
      <c r="D544">
        <f t="shared" si="16"/>
        <v>104</v>
      </c>
      <c r="E544" t="s">
        <v>6</v>
      </c>
      <c r="F544">
        <v>18.205173511905102</v>
      </c>
    </row>
    <row r="545" spans="1:6" hidden="1" x14ac:dyDescent="0.25">
      <c r="A545" t="s">
        <v>7</v>
      </c>
      <c r="B545" s="2">
        <v>44301</v>
      </c>
      <c r="C545">
        <f t="shared" si="15"/>
        <v>2021</v>
      </c>
      <c r="D545">
        <f t="shared" si="16"/>
        <v>105</v>
      </c>
      <c r="E545" t="s">
        <v>6</v>
      </c>
      <c r="F545">
        <v>17.222989608255027</v>
      </c>
    </row>
    <row r="546" spans="1:6" hidden="1" x14ac:dyDescent="0.25">
      <c r="A546" t="s">
        <v>7</v>
      </c>
      <c r="B546" s="2">
        <v>44301</v>
      </c>
      <c r="C546">
        <f t="shared" si="15"/>
        <v>2021</v>
      </c>
      <c r="D546">
        <f t="shared" si="16"/>
        <v>105</v>
      </c>
      <c r="E546" t="s">
        <v>6</v>
      </c>
      <c r="F546">
        <v>16.211048258733999</v>
      </c>
    </row>
    <row r="547" spans="1:6" hidden="1" x14ac:dyDescent="0.25">
      <c r="A547" t="s">
        <v>7</v>
      </c>
      <c r="B547" s="2">
        <v>44307</v>
      </c>
      <c r="C547">
        <f t="shared" si="15"/>
        <v>2021</v>
      </c>
      <c r="D547">
        <f t="shared" si="16"/>
        <v>111</v>
      </c>
      <c r="E547" t="s">
        <v>6</v>
      </c>
      <c r="F547">
        <v>16.707643098532472</v>
      </c>
    </row>
    <row r="548" spans="1:6" hidden="1" x14ac:dyDescent="0.25">
      <c r="A548" t="s">
        <v>7</v>
      </c>
      <c r="B548" s="2">
        <v>44307</v>
      </c>
      <c r="C548">
        <f t="shared" si="15"/>
        <v>2021</v>
      </c>
      <c r="D548">
        <f t="shared" si="16"/>
        <v>111</v>
      </c>
      <c r="E548" t="s">
        <v>6</v>
      </c>
      <c r="F548">
        <v>19.537145853036414</v>
      </c>
    </row>
    <row r="549" spans="1:6" hidden="1" x14ac:dyDescent="0.25">
      <c r="A549" t="s">
        <v>7</v>
      </c>
      <c r="B549" s="2">
        <v>44307</v>
      </c>
      <c r="C549">
        <f t="shared" si="15"/>
        <v>2021</v>
      </c>
      <c r="D549">
        <f t="shared" si="16"/>
        <v>111</v>
      </c>
      <c r="E549" t="s">
        <v>6</v>
      </c>
      <c r="F549">
        <v>17.291765167818632</v>
      </c>
    </row>
    <row r="550" spans="1:6" hidden="1" x14ac:dyDescent="0.25">
      <c r="A550" t="s">
        <v>7</v>
      </c>
      <c r="B550" s="2">
        <v>44315</v>
      </c>
      <c r="C550">
        <f t="shared" si="15"/>
        <v>2021</v>
      </c>
      <c r="D550">
        <f t="shared" si="16"/>
        <v>119</v>
      </c>
      <c r="E550" t="s">
        <v>6</v>
      </c>
      <c r="F550">
        <v>19.369444542004405</v>
      </c>
    </row>
    <row r="551" spans="1:6" hidden="1" x14ac:dyDescent="0.25">
      <c r="A551" t="s">
        <v>7</v>
      </c>
      <c r="B551" s="2">
        <v>44316</v>
      </c>
      <c r="C551">
        <f t="shared" si="15"/>
        <v>2021</v>
      </c>
      <c r="D551">
        <f t="shared" si="16"/>
        <v>120</v>
      </c>
      <c r="E551" t="s">
        <v>6</v>
      </c>
      <c r="F551">
        <v>17.499025054421459</v>
      </c>
    </row>
    <row r="552" spans="1:6" hidden="1" x14ac:dyDescent="0.25">
      <c r="A552" t="s">
        <v>7</v>
      </c>
      <c r="B552" s="2">
        <v>44316</v>
      </c>
      <c r="C552">
        <f t="shared" si="15"/>
        <v>2021</v>
      </c>
      <c r="D552">
        <f t="shared" si="16"/>
        <v>120</v>
      </c>
      <c r="E552" t="s">
        <v>6</v>
      </c>
      <c r="F552">
        <v>17.650603109848099</v>
      </c>
    </row>
    <row r="553" spans="1:6" hidden="1" x14ac:dyDescent="0.25">
      <c r="A553" t="s">
        <v>7</v>
      </c>
      <c r="B553" s="2">
        <v>44321</v>
      </c>
      <c r="C553">
        <f t="shared" si="15"/>
        <v>2021</v>
      </c>
      <c r="D553">
        <f t="shared" si="16"/>
        <v>125</v>
      </c>
      <c r="E553" t="s">
        <v>6</v>
      </c>
      <c r="F553">
        <v>20.26370901829625</v>
      </c>
    </row>
    <row r="554" spans="1:6" hidden="1" x14ac:dyDescent="0.25">
      <c r="A554" t="s">
        <v>7</v>
      </c>
      <c r="B554" s="2">
        <v>44322</v>
      </c>
      <c r="C554">
        <f t="shared" si="15"/>
        <v>2021</v>
      </c>
      <c r="D554">
        <f t="shared" si="16"/>
        <v>126</v>
      </c>
      <c r="E554" t="s">
        <v>6</v>
      </c>
      <c r="F554">
        <v>17.354245507768088</v>
      </c>
    </row>
    <row r="555" spans="1:6" hidden="1" x14ac:dyDescent="0.25">
      <c r="A555" t="s">
        <v>7</v>
      </c>
      <c r="B555" s="2">
        <v>44322</v>
      </c>
      <c r="C555">
        <f t="shared" si="15"/>
        <v>2021</v>
      </c>
      <c r="D555">
        <f t="shared" si="16"/>
        <v>126</v>
      </c>
      <c r="E555" t="s">
        <v>6</v>
      </c>
      <c r="F555">
        <v>18.87174342283873</v>
      </c>
    </row>
    <row r="556" spans="1:6" hidden="1" x14ac:dyDescent="0.25">
      <c r="A556" t="s">
        <v>7</v>
      </c>
      <c r="B556" s="2">
        <v>44335</v>
      </c>
      <c r="C556">
        <f t="shared" si="15"/>
        <v>2021</v>
      </c>
      <c r="D556">
        <f t="shared" si="16"/>
        <v>139</v>
      </c>
      <c r="E556" t="s">
        <v>6</v>
      </c>
      <c r="F556">
        <v>22.047358999831484</v>
      </c>
    </row>
    <row r="557" spans="1:6" hidden="1" x14ac:dyDescent="0.25">
      <c r="A557" t="s">
        <v>7</v>
      </c>
      <c r="B557" s="2">
        <v>44336</v>
      </c>
      <c r="C557">
        <f t="shared" si="15"/>
        <v>2021</v>
      </c>
      <c r="D557">
        <f t="shared" si="16"/>
        <v>140</v>
      </c>
      <c r="E557" t="s">
        <v>6</v>
      </c>
      <c r="F557">
        <v>17.740085747275025</v>
      </c>
    </row>
    <row r="558" spans="1:6" hidden="1" x14ac:dyDescent="0.25">
      <c r="A558" t="s">
        <v>7</v>
      </c>
      <c r="B558" s="2">
        <v>44336</v>
      </c>
      <c r="C558">
        <f t="shared" si="15"/>
        <v>2021</v>
      </c>
      <c r="D558">
        <f t="shared" si="16"/>
        <v>140</v>
      </c>
      <c r="E558" t="s">
        <v>6</v>
      </c>
      <c r="F558">
        <v>20.371931094087373</v>
      </c>
    </row>
    <row r="559" spans="1:6" hidden="1" x14ac:dyDescent="0.25">
      <c r="A559" t="s">
        <v>7</v>
      </c>
      <c r="B559" s="2">
        <v>44348</v>
      </c>
      <c r="C559">
        <f t="shared" si="15"/>
        <v>2021</v>
      </c>
      <c r="D559">
        <f t="shared" si="16"/>
        <v>152</v>
      </c>
      <c r="E559" t="s">
        <v>6</v>
      </c>
      <c r="F559">
        <v>21.524553643903822</v>
      </c>
    </row>
    <row r="560" spans="1:6" hidden="1" x14ac:dyDescent="0.25">
      <c r="A560" t="s">
        <v>7</v>
      </c>
      <c r="B560" s="2">
        <v>44349</v>
      </c>
      <c r="C560">
        <f t="shared" si="15"/>
        <v>2021</v>
      </c>
      <c r="D560">
        <f t="shared" si="16"/>
        <v>153</v>
      </c>
      <c r="E560" t="s">
        <v>6</v>
      </c>
      <c r="F560">
        <v>18.5648614072737</v>
      </c>
    </row>
    <row r="561" spans="1:6" hidden="1" x14ac:dyDescent="0.25">
      <c r="A561" t="s">
        <v>7</v>
      </c>
      <c r="B561" s="2">
        <v>44349</v>
      </c>
      <c r="C561">
        <f t="shared" si="15"/>
        <v>2021</v>
      </c>
      <c r="D561">
        <f t="shared" si="16"/>
        <v>153</v>
      </c>
      <c r="E561" t="s">
        <v>6</v>
      </c>
      <c r="F561">
        <v>19.349351733779123</v>
      </c>
    </row>
    <row r="562" spans="1:6" hidden="1" x14ac:dyDescent="0.25">
      <c r="A562" t="s">
        <v>8</v>
      </c>
      <c r="B562" s="2">
        <v>43850</v>
      </c>
      <c r="C562">
        <f t="shared" si="15"/>
        <v>2020</v>
      </c>
      <c r="D562">
        <f t="shared" si="16"/>
        <v>20</v>
      </c>
      <c r="E562" t="s">
        <v>9</v>
      </c>
      <c r="F562">
        <v>6.0801999999999996</v>
      </c>
    </row>
    <row r="563" spans="1:6" hidden="1" x14ac:dyDescent="0.25">
      <c r="A563" t="s">
        <v>8</v>
      </c>
      <c r="B563" s="2">
        <v>43880</v>
      </c>
      <c r="C563">
        <f t="shared" si="15"/>
        <v>2020</v>
      </c>
      <c r="D563">
        <f t="shared" si="16"/>
        <v>50</v>
      </c>
      <c r="E563" t="s">
        <v>9</v>
      </c>
      <c r="F563">
        <v>12.821400000000001</v>
      </c>
    </row>
    <row r="564" spans="1:6" hidden="1" x14ac:dyDescent="0.25">
      <c r="A564" t="s">
        <v>8</v>
      </c>
      <c r="B564" s="2">
        <v>43892</v>
      </c>
      <c r="C564">
        <f t="shared" si="15"/>
        <v>2020</v>
      </c>
      <c r="D564">
        <f t="shared" si="16"/>
        <v>62</v>
      </c>
      <c r="E564" t="s">
        <v>9</v>
      </c>
      <c r="F564">
        <v>14.503500000000001</v>
      </c>
    </row>
    <row r="565" spans="1:6" hidden="1" x14ac:dyDescent="0.25">
      <c r="A565" t="s">
        <v>8</v>
      </c>
      <c r="B565" s="2">
        <v>43906</v>
      </c>
      <c r="C565">
        <f t="shared" si="15"/>
        <v>2020</v>
      </c>
      <c r="D565">
        <f t="shared" si="16"/>
        <v>76</v>
      </c>
      <c r="E565" t="s">
        <v>9</v>
      </c>
      <c r="F565">
        <v>15.633099999999999</v>
      </c>
    </row>
    <row r="566" spans="1:6" hidden="1" x14ac:dyDescent="0.25">
      <c r="A566" t="s">
        <v>8</v>
      </c>
      <c r="B566" s="2">
        <v>43949</v>
      </c>
      <c r="C566">
        <f t="shared" si="15"/>
        <v>2020</v>
      </c>
      <c r="D566">
        <f t="shared" si="16"/>
        <v>119</v>
      </c>
      <c r="E566" t="s">
        <v>9</v>
      </c>
      <c r="F566">
        <v>18.143800000000002</v>
      </c>
    </row>
    <row r="567" spans="1:6" hidden="1" x14ac:dyDescent="0.25">
      <c r="A567" t="s">
        <v>8</v>
      </c>
      <c r="B567" s="2">
        <v>43963</v>
      </c>
      <c r="C567">
        <f t="shared" si="15"/>
        <v>2020</v>
      </c>
      <c r="D567">
        <f t="shared" si="16"/>
        <v>133</v>
      </c>
      <c r="E567" t="s">
        <v>9</v>
      </c>
      <c r="F567">
        <v>19.821999999999999</v>
      </c>
    </row>
    <row r="568" spans="1:6" hidden="1" x14ac:dyDescent="0.25">
      <c r="A568" t="s">
        <v>8</v>
      </c>
      <c r="B568" s="2">
        <v>43976</v>
      </c>
      <c r="C568">
        <f t="shared" si="15"/>
        <v>2020</v>
      </c>
      <c r="D568">
        <f t="shared" si="16"/>
        <v>146</v>
      </c>
      <c r="E568" t="s">
        <v>9</v>
      </c>
      <c r="F568">
        <v>20.206400000000002</v>
      </c>
    </row>
    <row r="569" spans="1:6" hidden="1" x14ac:dyDescent="0.25">
      <c r="A569" t="s">
        <v>8</v>
      </c>
      <c r="B569" s="2">
        <v>44221</v>
      </c>
      <c r="C569">
        <f t="shared" si="15"/>
        <v>2021</v>
      </c>
      <c r="D569">
        <f t="shared" si="16"/>
        <v>25</v>
      </c>
      <c r="E569" t="s">
        <v>9</v>
      </c>
      <c r="F569">
        <v>6.7398628846985886</v>
      </c>
    </row>
    <row r="570" spans="1:6" hidden="1" x14ac:dyDescent="0.25">
      <c r="A570" t="s">
        <v>8</v>
      </c>
      <c r="B570" s="2">
        <v>44245</v>
      </c>
      <c r="C570">
        <f t="shared" ref="C570:C612" si="17">YEAR(B570)</f>
        <v>2021</v>
      </c>
      <c r="D570">
        <f t="shared" si="16"/>
        <v>49</v>
      </c>
      <c r="E570" t="s">
        <v>9</v>
      </c>
      <c r="F570">
        <v>10.311391387844139</v>
      </c>
    </row>
    <row r="571" spans="1:6" hidden="1" x14ac:dyDescent="0.25">
      <c r="A571" t="s">
        <v>8</v>
      </c>
      <c r="B571" s="2">
        <v>44256</v>
      </c>
      <c r="C571">
        <f t="shared" si="17"/>
        <v>2021</v>
      </c>
      <c r="D571">
        <f t="shared" si="16"/>
        <v>60</v>
      </c>
      <c r="E571" t="s">
        <v>9</v>
      </c>
      <c r="F571">
        <v>12.270177875075783</v>
      </c>
    </row>
    <row r="572" spans="1:6" hidden="1" x14ac:dyDescent="0.25">
      <c r="A572" t="s">
        <v>8</v>
      </c>
      <c r="B572" s="2">
        <v>44271</v>
      </c>
      <c r="C572">
        <f t="shared" si="17"/>
        <v>2021</v>
      </c>
      <c r="D572">
        <f t="shared" si="16"/>
        <v>75</v>
      </c>
      <c r="E572" t="s">
        <v>9</v>
      </c>
      <c r="F572">
        <v>13.619012088702434</v>
      </c>
    </row>
    <row r="573" spans="1:6" hidden="1" x14ac:dyDescent="0.25">
      <c r="A573" t="s">
        <v>8</v>
      </c>
      <c r="B573" s="2">
        <v>44284</v>
      </c>
      <c r="C573">
        <f t="shared" si="17"/>
        <v>2021</v>
      </c>
      <c r="D573">
        <f t="shared" si="16"/>
        <v>88</v>
      </c>
      <c r="E573" t="s">
        <v>9</v>
      </c>
      <c r="F573">
        <v>15.027232099000203</v>
      </c>
    </row>
    <row r="574" spans="1:6" hidden="1" x14ac:dyDescent="0.25">
      <c r="A574" t="s">
        <v>8</v>
      </c>
      <c r="B574" s="2">
        <v>44298</v>
      </c>
      <c r="C574">
        <f t="shared" si="17"/>
        <v>2021</v>
      </c>
      <c r="D574">
        <f t="shared" si="16"/>
        <v>102</v>
      </c>
      <c r="E574" t="s">
        <v>9</v>
      </c>
      <c r="F574">
        <v>16.272488100957471</v>
      </c>
    </row>
    <row r="575" spans="1:6" hidden="1" x14ac:dyDescent="0.25">
      <c r="A575" t="s">
        <v>8</v>
      </c>
      <c r="B575" s="2">
        <v>44307</v>
      </c>
      <c r="C575">
        <f t="shared" si="17"/>
        <v>2021</v>
      </c>
      <c r="D575">
        <f t="shared" si="16"/>
        <v>111</v>
      </c>
      <c r="E575" t="s">
        <v>9</v>
      </c>
      <c r="F575">
        <v>17.020663419496199</v>
      </c>
    </row>
    <row r="576" spans="1:6" hidden="1" x14ac:dyDescent="0.25">
      <c r="A576" t="s">
        <v>8</v>
      </c>
      <c r="B576" s="2">
        <v>44315</v>
      </c>
      <c r="C576">
        <f t="shared" si="17"/>
        <v>2021</v>
      </c>
      <c r="D576">
        <f t="shared" si="16"/>
        <v>119</v>
      </c>
      <c r="E576" t="s">
        <v>9</v>
      </c>
      <c r="F576">
        <v>18.753000702450848</v>
      </c>
    </row>
    <row r="577" spans="1:6" hidden="1" x14ac:dyDescent="0.25">
      <c r="A577" t="s">
        <v>8</v>
      </c>
      <c r="B577" s="2">
        <v>44321</v>
      </c>
      <c r="C577">
        <f t="shared" si="17"/>
        <v>2021</v>
      </c>
      <c r="D577">
        <f t="shared" si="16"/>
        <v>125</v>
      </c>
      <c r="E577" t="s">
        <v>9</v>
      </c>
      <c r="F577">
        <v>18.060959017147049</v>
      </c>
    </row>
    <row r="578" spans="1:6" hidden="1" x14ac:dyDescent="0.25">
      <c r="A578" t="s">
        <v>8</v>
      </c>
      <c r="B578" s="2">
        <v>44333</v>
      </c>
      <c r="C578">
        <f t="shared" si="17"/>
        <v>2021</v>
      </c>
      <c r="D578">
        <f t="shared" ref="D578:D641" si="18">B578-DATE(YEAR(B578),1,0)</f>
        <v>137</v>
      </c>
      <c r="E578" t="s">
        <v>9</v>
      </c>
      <c r="F578">
        <v>18.922415892599915</v>
      </c>
    </row>
    <row r="579" spans="1:6" hidden="1" x14ac:dyDescent="0.25">
      <c r="A579" t="s">
        <v>8</v>
      </c>
      <c r="B579" s="2">
        <v>44347</v>
      </c>
      <c r="C579">
        <f t="shared" si="17"/>
        <v>2021</v>
      </c>
      <c r="D579">
        <f t="shared" si="18"/>
        <v>151</v>
      </c>
      <c r="E579" t="s">
        <v>9</v>
      </c>
      <c r="F579">
        <v>20.1101714011625</v>
      </c>
    </row>
    <row r="580" spans="1:6" hidden="1" x14ac:dyDescent="0.25">
      <c r="A580" t="s">
        <v>8</v>
      </c>
      <c r="B580" s="2">
        <v>44607</v>
      </c>
      <c r="C580">
        <f t="shared" si="17"/>
        <v>2022</v>
      </c>
      <c r="D580">
        <f t="shared" si="18"/>
        <v>46</v>
      </c>
      <c r="E580" t="s">
        <v>9</v>
      </c>
      <c r="F580">
        <v>6.507200000000001</v>
      </c>
    </row>
    <row r="581" spans="1:6" hidden="1" x14ac:dyDescent="0.25">
      <c r="A581" t="s">
        <v>8</v>
      </c>
      <c r="B581" s="2">
        <v>44608</v>
      </c>
      <c r="C581">
        <f t="shared" si="17"/>
        <v>2022</v>
      </c>
      <c r="D581">
        <f t="shared" si="18"/>
        <v>47</v>
      </c>
      <c r="E581" t="s">
        <v>9</v>
      </c>
      <c r="F581">
        <v>9.6515999999999984</v>
      </c>
    </row>
    <row r="582" spans="1:6" hidden="1" x14ac:dyDescent="0.25">
      <c r="A582" t="s">
        <v>8</v>
      </c>
      <c r="B582" s="2">
        <v>44622</v>
      </c>
      <c r="C582">
        <f t="shared" si="17"/>
        <v>2022</v>
      </c>
      <c r="D582">
        <f t="shared" si="18"/>
        <v>61</v>
      </c>
      <c r="E582" t="s">
        <v>9</v>
      </c>
      <c r="F582">
        <v>12.1128</v>
      </c>
    </row>
    <row r="583" spans="1:6" hidden="1" x14ac:dyDescent="0.25">
      <c r="A583" t="s">
        <v>8</v>
      </c>
      <c r="B583" s="2">
        <v>44622</v>
      </c>
      <c r="C583">
        <f t="shared" si="17"/>
        <v>2022</v>
      </c>
      <c r="D583">
        <f t="shared" si="18"/>
        <v>61</v>
      </c>
      <c r="E583" t="s">
        <v>9</v>
      </c>
      <c r="F583">
        <v>16.083900000000003</v>
      </c>
    </row>
    <row r="584" spans="1:6" hidden="1" x14ac:dyDescent="0.25">
      <c r="A584" t="s">
        <v>8</v>
      </c>
      <c r="B584" s="2">
        <v>44635</v>
      </c>
      <c r="C584">
        <f t="shared" si="17"/>
        <v>2022</v>
      </c>
      <c r="D584">
        <f t="shared" si="18"/>
        <v>74</v>
      </c>
      <c r="E584" t="s">
        <v>9</v>
      </c>
      <c r="F584">
        <v>13.984200000000001</v>
      </c>
    </row>
    <row r="585" spans="1:6" hidden="1" x14ac:dyDescent="0.25">
      <c r="A585" t="s">
        <v>8</v>
      </c>
      <c r="B585" s="2">
        <v>44662</v>
      </c>
      <c r="C585">
        <f t="shared" si="17"/>
        <v>2022</v>
      </c>
      <c r="D585">
        <f t="shared" si="18"/>
        <v>101</v>
      </c>
      <c r="E585" t="s">
        <v>9</v>
      </c>
      <c r="F585">
        <v>17.474599999999999</v>
      </c>
    </row>
    <row r="586" spans="1:6" hidden="1" x14ac:dyDescent="0.25">
      <c r="A586" t="s">
        <v>8</v>
      </c>
      <c r="B586" s="2">
        <v>44669</v>
      </c>
      <c r="C586">
        <f t="shared" si="17"/>
        <v>2022</v>
      </c>
      <c r="D586">
        <f t="shared" si="18"/>
        <v>108</v>
      </c>
      <c r="E586" t="s">
        <v>9</v>
      </c>
      <c r="F586">
        <v>18.167499999999997</v>
      </c>
    </row>
    <row r="587" spans="1:6" hidden="1" x14ac:dyDescent="0.25">
      <c r="A587" t="s">
        <v>8</v>
      </c>
      <c r="B587" s="2">
        <v>44677</v>
      </c>
      <c r="C587">
        <f t="shared" si="17"/>
        <v>2022</v>
      </c>
      <c r="D587">
        <f t="shared" si="18"/>
        <v>116</v>
      </c>
      <c r="E587" t="s">
        <v>9</v>
      </c>
      <c r="F587">
        <v>18.589999999999996</v>
      </c>
    </row>
    <row r="588" spans="1:6" hidden="1" x14ac:dyDescent="0.25">
      <c r="A588" t="s">
        <v>8</v>
      </c>
      <c r="B588" s="2">
        <v>44683</v>
      </c>
      <c r="C588">
        <f t="shared" si="17"/>
        <v>2022</v>
      </c>
      <c r="D588">
        <f t="shared" si="18"/>
        <v>122</v>
      </c>
      <c r="E588" t="s">
        <v>9</v>
      </c>
      <c r="F588">
        <v>19.700099999999999</v>
      </c>
    </row>
    <row r="589" spans="1:6" hidden="1" x14ac:dyDescent="0.25">
      <c r="A589" t="s">
        <v>8</v>
      </c>
      <c r="B589" s="2">
        <v>44697</v>
      </c>
      <c r="C589">
        <f t="shared" si="17"/>
        <v>2022</v>
      </c>
      <c r="D589">
        <f t="shared" si="18"/>
        <v>136</v>
      </c>
      <c r="E589" t="s">
        <v>9</v>
      </c>
      <c r="F589">
        <v>20.844000000000001</v>
      </c>
    </row>
    <row r="590" spans="1:6" hidden="1" x14ac:dyDescent="0.25">
      <c r="A590" t="s">
        <v>8</v>
      </c>
      <c r="B590" s="2">
        <v>44711</v>
      </c>
      <c r="C590">
        <f t="shared" si="17"/>
        <v>2022</v>
      </c>
      <c r="D590">
        <f t="shared" si="18"/>
        <v>150</v>
      </c>
      <c r="E590" t="s">
        <v>9</v>
      </c>
      <c r="F590">
        <v>21.191399999999998</v>
      </c>
    </row>
    <row r="591" spans="1:6" hidden="1" x14ac:dyDescent="0.25">
      <c r="A591" t="s">
        <v>8</v>
      </c>
      <c r="B591" s="2">
        <v>44949</v>
      </c>
      <c r="C591">
        <f t="shared" si="17"/>
        <v>2023</v>
      </c>
      <c r="D591">
        <f t="shared" si="18"/>
        <v>23</v>
      </c>
      <c r="E591" t="s">
        <v>9</v>
      </c>
      <c r="F591">
        <v>6.8713999999999995</v>
      </c>
    </row>
    <row r="592" spans="1:6" hidden="1" x14ac:dyDescent="0.25">
      <c r="A592" t="s">
        <v>8</v>
      </c>
      <c r="B592" s="2">
        <v>44971</v>
      </c>
      <c r="C592">
        <f t="shared" si="17"/>
        <v>2023</v>
      </c>
      <c r="D592">
        <f t="shared" si="18"/>
        <v>45</v>
      </c>
      <c r="E592" t="s">
        <v>9</v>
      </c>
      <c r="F592">
        <v>11.225600000000002</v>
      </c>
    </row>
    <row r="593" spans="1:6" hidden="1" x14ac:dyDescent="0.25">
      <c r="A593" t="s">
        <v>8</v>
      </c>
      <c r="B593" s="2">
        <v>44987</v>
      </c>
      <c r="C593">
        <f t="shared" si="17"/>
        <v>2023</v>
      </c>
      <c r="D593">
        <f t="shared" si="18"/>
        <v>61</v>
      </c>
      <c r="E593" t="s">
        <v>9</v>
      </c>
      <c r="F593">
        <v>15.862</v>
      </c>
    </row>
    <row r="594" spans="1:6" hidden="1" x14ac:dyDescent="0.25">
      <c r="A594" t="s">
        <v>8</v>
      </c>
      <c r="B594" s="2">
        <v>44998</v>
      </c>
      <c r="C594">
        <f t="shared" si="17"/>
        <v>2023</v>
      </c>
      <c r="D594">
        <f t="shared" si="18"/>
        <v>72</v>
      </c>
      <c r="E594" t="s">
        <v>9</v>
      </c>
      <c r="F594">
        <v>16.912800000000001</v>
      </c>
    </row>
    <row r="595" spans="1:6" hidden="1" x14ac:dyDescent="0.25">
      <c r="A595" t="s">
        <v>8</v>
      </c>
      <c r="B595" s="2">
        <v>45014</v>
      </c>
      <c r="C595">
        <f t="shared" si="17"/>
        <v>2023</v>
      </c>
      <c r="D595">
        <f t="shared" si="18"/>
        <v>88</v>
      </c>
      <c r="E595" t="s">
        <v>9</v>
      </c>
      <c r="F595">
        <v>20.674400000000002</v>
      </c>
    </row>
    <row r="596" spans="1:6" hidden="1" x14ac:dyDescent="0.25">
      <c r="A596" t="s">
        <v>8</v>
      </c>
      <c r="B596" s="2">
        <v>45027</v>
      </c>
      <c r="C596">
        <f t="shared" si="17"/>
        <v>2023</v>
      </c>
      <c r="D596">
        <f t="shared" si="18"/>
        <v>101</v>
      </c>
      <c r="E596" t="s">
        <v>9</v>
      </c>
      <c r="F596">
        <v>22.05</v>
      </c>
    </row>
    <row r="597" spans="1:6" hidden="1" x14ac:dyDescent="0.25">
      <c r="A597" t="s">
        <v>8</v>
      </c>
      <c r="B597" s="2">
        <v>45040</v>
      </c>
      <c r="C597">
        <f t="shared" si="17"/>
        <v>2023</v>
      </c>
      <c r="D597">
        <f t="shared" si="18"/>
        <v>114</v>
      </c>
      <c r="E597" t="s">
        <v>9</v>
      </c>
      <c r="F597">
        <v>23.294399999999996</v>
      </c>
    </row>
    <row r="598" spans="1:6" hidden="1" x14ac:dyDescent="0.25">
      <c r="A598" t="s">
        <v>8</v>
      </c>
      <c r="B598" s="2">
        <v>45047</v>
      </c>
      <c r="C598">
        <f t="shared" si="17"/>
        <v>2023</v>
      </c>
      <c r="D598">
        <f t="shared" si="18"/>
        <v>121</v>
      </c>
      <c r="E598" t="s">
        <v>9</v>
      </c>
      <c r="F598">
        <v>23.439500000000002</v>
      </c>
    </row>
    <row r="599" spans="1:6" hidden="1" x14ac:dyDescent="0.25">
      <c r="A599" t="s">
        <v>8</v>
      </c>
      <c r="B599" s="2">
        <v>45062</v>
      </c>
      <c r="C599">
        <f t="shared" si="17"/>
        <v>2023</v>
      </c>
      <c r="D599">
        <f t="shared" si="18"/>
        <v>136</v>
      </c>
      <c r="E599" t="s">
        <v>9</v>
      </c>
      <c r="F599">
        <v>24.252000000000002</v>
      </c>
    </row>
    <row r="600" spans="1:6" hidden="1" x14ac:dyDescent="0.25">
      <c r="A600" t="s">
        <v>8</v>
      </c>
      <c r="B600" s="2">
        <v>45076</v>
      </c>
      <c r="C600">
        <f t="shared" si="17"/>
        <v>2023</v>
      </c>
      <c r="D600">
        <f t="shared" si="18"/>
        <v>150</v>
      </c>
      <c r="E600" t="s">
        <v>9</v>
      </c>
      <c r="F600">
        <v>24.935600000000001</v>
      </c>
    </row>
    <row r="601" spans="1:6" hidden="1" x14ac:dyDescent="0.25">
      <c r="A601" t="s">
        <v>8</v>
      </c>
      <c r="B601" s="2">
        <v>45083</v>
      </c>
      <c r="C601">
        <f t="shared" si="17"/>
        <v>2023</v>
      </c>
      <c r="D601">
        <f t="shared" si="18"/>
        <v>157</v>
      </c>
      <c r="E601" t="s">
        <v>9</v>
      </c>
      <c r="F601">
        <v>24.414500000000004</v>
      </c>
    </row>
    <row r="602" spans="1:6" hidden="1" x14ac:dyDescent="0.25">
      <c r="A602" t="s">
        <v>8</v>
      </c>
      <c r="B602" s="2">
        <v>45315</v>
      </c>
      <c r="C602">
        <f t="shared" si="17"/>
        <v>2024</v>
      </c>
      <c r="D602">
        <f t="shared" si="18"/>
        <v>24</v>
      </c>
      <c r="E602" t="s">
        <v>9</v>
      </c>
      <c r="F602">
        <v>6.6825000000000001</v>
      </c>
    </row>
    <row r="603" spans="1:6" hidden="1" x14ac:dyDescent="0.25">
      <c r="A603" t="s">
        <v>8</v>
      </c>
      <c r="B603" s="2">
        <v>45335</v>
      </c>
      <c r="C603">
        <f t="shared" si="17"/>
        <v>2024</v>
      </c>
      <c r="D603">
        <f t="shared" si="18"/>
        <v>44</v>
      </c>
      <c r="E603" t="s">
        <v>9</v>
      </c>
      <c r="F603">
        <v>10.244200000000001</v>
      </c>
    </row>
    <row r="604" spans="1:6" hidden="1" x14ac:dyDescent="0.25">
      <c r="A604" t="s">
        <v>8</v>
      </c>
      <c r="B604" s="2">
        <v>45349</v>
      </c>
      <c r="C604">
        <f t="shared" si="17"/>
        <v>2024</v>
      </c>
      <c r="D604">
        <f t="shared" si="18"/>
        <v>58</v>
      </c>
      <c r="E604" t="s">
        <v>9</v>
      </c>
      <c r="F604">
        <v>12.918300000000002</v>
      </c>
    </row>
    <row r="605" spans="1:6" hidden="1" x14ac:dyDescent="0.25">
      <c r="A605" t="s">
        <v>8</v>
      </c>
      <c r="B605" s="2">
        <v>45363</v>
      </c>
      <c r="C605">
        <f t="shared" si="17"/>
        <v>2024</v>
      </c>
      <c r="D605">
        <f t="shared" si="18"/>
        <v>72</v>
      </c>
      <c r="E605" t="s">
        <v>9</v>
      </c>
      <c r="F605">
        <v>14.815999999999999</v>
      </c>
    </row>
    <row r="606" spans="1:6" hidden="1" x14ac:dyDescent="0.25">
      <c r="A606" t="s">
        <v>8</v>
      </c>
      <c r="B606" s="2">
        <v>45378</v>
      </c>
      <c r="C606">
        <f t="shared" si="17"/>
        <v>2024</v>
      </c>
      <c r="D606">
        <f t="shared" si="18"/>
        <v>87</v>
      </c>
      <c r="E606" t="s">
        <v>9</v>
      </c>
      <c r="F606">
        <v>16.666599999999999</v>
      </c>
    </row>
    <row r="607" spans="1:6" hidden="1" x14ac:dyDescent="0.25">
      <c r="A607" t="s">
        <v>8</v>
      </c>
      <c r="B607" s="2">
        <v>45390</v>
      </c>
      <c r="C607">
        <f t="shared" si="17"/>
        <v>2024</v>
      </c>
      <c r="D607">
        <f t="shared" si="18"/>
        <v>99</v>
      </c>
      <c r="E607" t="s">
        <v>9</v>
      </c>
      <c r="F607">
        <v>17.594999999999999</v>
      </c>
    </row>
    <row r="608" spans="1:6" hidden="1" x14ac:dyDescent="0.25">
      <c r="A608" t="s">
        <v>8</v>
      </c>
      <c r="B608" s="2">
        <v>45406</v>
      </c>
      <c r="C608">
        <f t="shared" si="17"/>
        <v>2024</v>
      </c>
      <c r="D608">
        <f t="shared" si="18"/>
        <v>115</v>
      </c>
      <c r="E608" t="s">
        <v>9</v>
      </c>
      <c r="F608">
        <v>19.6874</v>
      </c>
    </row>
    <row r="609" spans="1:6" hidden="1" x14ac:dyDescent="0.25">
      <c r="A609" t="s">
        <v>8</v>
      </c>
      <c r="B609" s="2">
        <v>45412</v>
      </c>
      <c r="C609">
        <f t="shared" si="17"/>
        <v>2024</v>
      </c>
      <c r="D609">
        <f t="shared" si="18"/>
        <v>121</v>
      </c>
      <c r="E609" t="s">
        <v>9</v>
      </c>
      <c r="F609">
        <v>15.558299999999999</v>
      </c>
    </row>
    <row r="610" spans="1:6" hidden="1" x14ac:dyDescent="0.25">
      <c r="A610" t="s">
        <v>8</v>
      </c>
      <c r="B610" s="2">
        <v>45427</v>
      </c>
      <c r="C610">
        <f t="shared" si="17"/>
        <v>2024</v>
      </c>
      <c r="D610">
        <f t="shared" si="18"/>
        <v>136</v>
      </c>
      <c r="E610" t="s">
        <v>9</v>
      </c>
      <c r="F610">
        <v>18.902399999999997</v>
      </c>
    </row>
    <row r="611" spans="1:6" hidden="1" x14ac:dyDescent="0.25">
      <c r="A611" t="s">
        <v>8</v>
      </c>
      <c r="B611" s="2">
        <v>45441</v>
      </c>
      <c r="C611">
        <f t="shared" si="17"/>
        <v>2024</v>
      </c>
      <c r="D611">
        <f t="shared" si="18"/>
        <v>150</v>
      </c>
      <c r="E611" t="s">
        <v>9</v>
      </c>
      <c r="F611">
        <v>17.7288</v>
      </c>
    </row>
    <row r="612" spans="1:6" hidden="1" x14ac:dyDescent="0.25">
      <c r="A612" t="s">
        <v>8</v>
      </c>
      <c r="B612" s="2">
        <v>45454</v>
      </c>
      <c r="C612">
        <f t="shared" si="17"/>
        <v>2024</v>
      </c>
      <c r="D612">
        <f t="shared" si="18"/>
        <v>163</v>
      </c>
      <c r="E612" t="s">
        <v>9</v>
      </c>
      <c r="F612">
        <v>18.723399999999998</v>
      </c>
    </row>
    <row r="613" spans="1:6" hidden="1" x14ac:dyDescent="0.25">
      <c r="D613">
        <f t="shared" si="18"/>
        <v>0</v>
      </c>
    </row>
    <row r="614" spans="1:6" hidden="1" x14ac:dyDescent="0.25">
      <c r="A614" t="s">
        <v>10</v>
      </c>
      <c r="B614" s="2">
        <v>42387</v>
      </c>
      <c r="C614">
        <v>2016</v>
      </c>
      <c r="D614">
        <f t="shared" si="18"/>
        <v>18</v>
      </c>
      <c r="E614" t="s">
        <v>6</v>
      </c>
      <c r="F614">
        <v>4.4104000000000001</v>
      </c>
    </row>
    <row r="615" spans="1:6" hidden="1" x14ac:dyDescent="0.25">
      <c r="A615" t="s">
        <v>10</v>
      </c>
      <c r="B615" s="2">
        <v>42387</v>
      </c>
      <c r="C615">
        <v>2016</v>
      </c>
      <c r="D615">
        <f t="shared" si="18"/>
        <v>18</v>
      </c>
      <c r="E615" t="s">
        <v>6</v>
      </c>
      <c r="F615">
        <v>4.0226999999999995</v>
      </c>
    </row>
    <row r="616" spans="1:6" hidden="1" x14ac:dyDescent="0.25">
      <c r="A616" t="s">
        <v>10</v>
      </c>
      <c r="B616" s="2">
        <v>42423</v>
      </c>
      <c r="C616">
        <v>2016</v>
      </c>
      <c r="D616">
        <f t="shared" si="18"/>
        <v>54</v>
      </c>
      <c r="E616" t="s">
        <v>6</v>
      </c>
      <c r="F616">
        <v>8.7792000000000012</v>
      </c>
    </row>
    <row r="617" spans="1:6" hidden="1" x14ac:dyDescent="0.25">
      <c r="A617" t="s">
        <v>10</v>
      </c>
      <c r="B617" s="2">
        <v>42423</v>
      </c>
      <c r="C617">
        <v>2016</v>
      </c>
      <c r="D617">
        <f t="shared" si="18"/>
        <v>54</v>
      </c>
      <c r="E617" t="s">
        <v>6</v>
      </c>
      <c r="F617">
        <v>10.1983</v>
      </c>
    </row>
    <row r="618" spans="1:6" hidden="1" x14ac:dyDescent="0.25">
      <c r="A618" t="s">
        <v>10</v>
      </c>
      <c r="B618" s="2">
        <v>42437</v>
      </c>
      <c r="C618">
        <v>2016</v>
      </c>
      <c r="D618">
        <f t="shared" si="18"/>
        <v>68</v>
      </c>
      <c r="E618" t="s">
        <v>6</v>
      </c>
      <c r="F618">
        <v>10.6396</v>
      </c>
    </row>
    <row r="619" spans="1:6" hidden="1" x14ac:dyDescent="0.25">
      <c r="A619" t="s">
        <v>10</v>
      </c>
      <c r="B619" s="2">
        <v>42437</v>
      </c>
      <c r="C619">
        <v>2016</v>
      </c>
      <c r="D619">
        <f t="shared" si="18"/>
        <v>68</v>
      </c>
      <c r="E619" t="s">
        <v>6</v>
      </c>
      <c r="F619">
        <v>12.566400000000002</v>
      </c>
    </row>
    <row r="620" spans="1:6" hidden="1" x14ac:dyDescent="0.25">
      <c r="A620" t="s">
        <v>10</v>
      </c>
      <c r="B620" s="2">
        <v>42451</v>
      </c>
      <c r="C620">
        <v>2016</v>
      </c>
      <c r="D620">
        <f t="shared" si="18"/>
        <v>82</v>
      </c>
      <c r="E620" t="s">
        <v>6</v>
      </c>
      <c r="F620">
        <v>13.1417</v>
      </c>
    </row>
    <row r="621" spans="1:6" hidden="1" x14ac:dyDescent="0.25">
      <c r="A621" t="s">
        <v>10</v>
      </c>
      <c r="B621" s="2">
        <v>42451</v>
      </c>
      <c r="C621">
        <v>2016</v>
      </c>
      <c r="D621">
        <f t="shared" si="18"/>
        <v>82</v>
      </c>
      <c r="E621" t="s">
        <v>6</v>
      </c>
      <c r="F621">
        <v>15.063899999999999</v>
      </c>
    </row>
    <row r="622" spans="1:6" hidden="1" x14ac:dyDescent="0.25">
      <c r="A622" t="s">
        <v>10</v>
      </c>
      <c r="B622" s="2">
        <v>42466</v>
      </c>
      <c r="C622">
        <v>2016</v>
      </c>
      <c r="D622">
        <f t="shared" si="18"/>
        <v>97</v>
      </c>
      <c r="E622" t="s">
        <v>6</v>
      </c>
      <c r="F622">
        <v>13.760500000000002</v>
      </c>
    </row>
    <row r="623" spans="1:6" hidden="1" x14ac:dyDescent="0.25">
      <c r="A623" t="s">
        <v>10</v>
      </c>
      <c r="B623" s="2">
        <v>42467</v>
      </c>
      <c r="C623">
        <v>2016</v>
      </c>
      <c r="D623">
        <f t="shared" si="18"/>
        <v>98</v>
      </c>
      <c r="E623" t="s">
        <v>6</v>
      </c>
      <c r="F623">
        <v>17.350200000000001</v>
      </c>
    </row>
    <row r="624" spans="1:6" hidden="1" x14ac:dyDescent="0.25">
      <c r="A624" t="s">
        <v>10</v>
      </c>
      <c r="B624" s="2">
        <v>42474</v>
      </c>
      <c r="C624">
        <v>2016</v>
      </c>
      <c r="D624">
        <f t="shared" si="18"/>
        <v>105</v>
      </c>
      <c r="E624" t="s">
        <v>6</v>
      </c>
      <c r="F624">
        <v>17.640900000000002</v>
      </c>
    </row>
    <row r="625" spans="1:8" hidden="1" x14ac:dyDescent="0.25">
      <c r="A625" t="s">
        <v>10</v>
      </c>
      <c r="B625" s="2">
        <v>42475</v>
      </c>
      <c r="C625">
        <v>2016</v>
      </c>
      <c r="D625">
        <f t="shared" si="18"/>
        <v>106</v>
      </c>
      <c r="E625" t="s">
        <v>6</v>
      </c>
      <c r="F625">
        <v>15.382400000000001</v>
      </c>
    </row>
    <row r="626" spans="1:8" hidden="1" x14ac:dyDescent="0.25">
      <c r="A626" t="s">
        <v>10</v>
      </c>
      <c r="B626" s="2">
        <v>42482</v>
      </c>
      <c r="C626">
        <v>2016</v>
      </c>
      <c r="D626">
        <f t="shared" si="18"/>
        <v>113</v>
      </c>
      <c r="E626" t="s">
        <v>6</v>
      </c>
      <c r="F626">
        <v>15.494999999999999</v>
      </c>
    </row>
    <row r="627" spans="1:8" hidden="1" x14ac:dyDescent="0.25">
      <c r="A627" t="s">
        <v>10</v>
      </c>
      <c r="B627" s="2">
        <v>42482</v>
      </c>
      <c r="C627">
        <v>2016</v>
      </c>
      <c r="D627">
        <f t="shared" si="18"/>
        <v>113</v>
      </c>
      <c r="E627" t="s">
        <v>6</v>
      </c>
      <c r="F627">
        <v>18.595199999999998</v>
      </c>
    </row>
    <row r="628" spans="1:8" hidden="1" x14ac:dyDescent="0.25">
      <c r="A628" t="s">
        <v>10</v>
      </c>
      <c r="B628" s="2">
        <v>42486</v>
      </c>
      <c r="C628">
        <v>2016</v>
      </c>
      <c r="D628">
        <f t="shared" si="18"/>
        <v>117</v>
      </c>
      <c r="E628" t="s">
        <v>6</v>
      </c>
      <c r="F628">
        <v>16.027000000000001</v>
      </c>
    </row>
    <row r="629" spans="1:8" hidden="1" x14ac:dyDescent="0.25">
      <c r="A629" t="s">
        <v>10</v>
      </c>
      <c r="B629" s="2">
        <v>42486</v>
      </c>
      <c r="C629">
        <v>2016</v>
      </c>
      <c r="D629">
        <f t="shared" si="18"/>
        <v>117</v>
      </c>
      <c r="E629" t="s">
        <v>6</v>
      </c>
      <c r="F629">
        <v>17.986799999999999</v>
      </c>
    </row>
    <row r="630" spans="1:8" hidden="1" x14ac:dyDescent="0.25">
      <c r="A630" t="s">
        <v>10</v>
      </c>
      <c r="B630" s="2">
        <v>42493</v>
      </c>
      <c r="C630">
        <v>2016</v>
      </c>
      <c r="D630">
        <f t="shared" si="18"/>
        <v>124</v>
      </c>
      <c r="E630" t="s">
        <v>6</v>
      </c>
      <c r="F630">
        <v>16.594899999999999</v>
      </c>
      <c r="G630">
        <f>Calculations!E2</f>
        <v>17.923679462707511</v>
      </c>
      <c r="H630" t="s">
        <v>27</v>
      </c>
    </row>
    <row r="631" spans="1:8" hidden="1" x14ac:dyDescent="0.25">
      <c r="A631" t="s">
        <v>10</v>
      </c>
      <c r="B631" s="2">
        <v>42493</v>
      </c>
      <c r="C631">
        <v>2016</v>
      </c>
      <c r="D631">
        <f t="shared" si="18"/>
        <v>124</v>
      </c>
      <c r="E631" t="s">
        <v>6</v>
      </c>
      <c r="F631">
        <v>20.163</v>
      </c>
    </row>
    <row r="632" spans="1:8" hidden="1" x14ac:dyDescent="0.25">
      <c r="A632" t="s">
        <v>10</v>
      </c>
      <c r="B632" s="2">
        <v>42510</v>
      </c>
      <c r="C632">
        <v>2016</v>
      </c>
      <c r="D632">
        <f t="shared" si="18"/>
        <v>141</v>
      </c>
      <c r="E632" t="s">
        <v>6</v>
      </c>
      <c r="F632">
        <v>16.858600000000003</v>
      </c>
    </row>
    <row r="633" spans="1:8" hidden="1" x14ac:dyDescent="0.25">
      <c r="A633" t="s">
        <v>10</v>
      </c>
      <c r="B633" s="2">
        <v>42510</v>
      </c>
      <c r="C633">
        <v>2016</v>
      </c>
      <c r="D633">
        <f t="shared" si="18"/>
        <v>141</v>
      </c>
      <c r="E633" t="s">
        <v>6</v>
      </c>
      <c r="F633">
        <v>20.4678</v>
      </c>
    </row>
    <row r="634" spans="1:8" hidden="1" x14ac:dyDescent="0.25">
      <c r="A634" t="s">
        <v>10</v>
      </c>
      <c r="B634" s="2">
        <v>42521</v>
      </c>
      <c r="C634">
        <v>2016</v>
      </c>
      <c r="D634">
        <f t="shared" si="18"/>
        <v>152</v>
      </c>
      <c r="E634" t="s">
        <v>6</v>
      </c>
      <c r="F634">
        <v>16.424700000000001</v>
      </c>
    </row>
    <row r="635" spans="1:8" hidden="1" x14ac:dyDescent="0.25">
      <c r="A635" t="s">
        <v>10</v>
      </c>
      <c r="B635" s="2">
        <v>42521</v>
      </c>
      <c r="C635">
        <v>2016</v>
      </c>
      <c r="D635">
        <f t="shared" si="18"/>
        <v>152</v>
      </c>
      <c r="E635" t="s">
        <v>6</v>
      </c>
      <c r="F635">
        <v>20.351600000000001</v>
      </c>
    </row>
    <row r="636" spans="1:8" hidden="1" x14ac:dyDescent="0.25">
      <c r="A636" t="s">
        <v>10</v>
      </c>
      <c r="B636" s="2">
        <v>42535</v>
      </c>
      <c r="C636">
        <v>2016</v>
      </c>
      <c r="D636">
        <f t="shared" si="18"/>
        <v>166</v>
      </c>
      <c r="E636" t="s">
        <v>6</v>
      </c>
      <c r="F636">
        <v>18.032299999999999</v>
      </c>
    </row>
    <row r="637" spans="1:8" hidden="1" x14ac:dyDescent="0.25">
      <c r="A637" t="s">
        <v>10</v>
      </c>
      <c r="B637" s="2">
        <v>42535</v>
      </c>
      <c r="C637">
        <v>2016</v>
      </c>
      <c r="D637">
        <f t="shared" si="18"/>
        <v>166</v>
      </c>
      <c r="E637" t="s">
        <v>6</v>
      </c>
      <c r="F637">
        <v>20.246400000000005</v>
      </c>
    </row>
    <row r="638" spans="1:8" hidden="1" x14ac:dyDescent="0.25">
      <c r="A638" t="s">
        <v>10</v>
      </c>
      <c r="B638" s="2">
        <v>42386</v>
      </c>
      <c r="C638">
        <v>2016</v>
      </c>
      <c r="D638">
        <f t="shared" si="18"/>
        <v>17</v>
      </c>
      <c r="E638" t="s">
        <v>6</v>
      </c>
      <c r="F638">
        <v>4.0968</v>
      </c>
    </row>
    <row r="639" spans="1:8" hidden="1" x14ac:dyDescent="0.25">
      <c r="A639" t="s">
        <v>10</v>
      </c>
      <c r="B639" s="2">
        <v>42424</v>
      </c>
      <c r="C639">
        <v>2016</v>
      </c>
      <c r="D639">
        <f t="shared" si="18"/>
        <v>55</v>
      </c>
      <c r="E639" t="s">
        <v>6</v>
      </c>
      <c r="F639">
        <v>10.3124</v>
      </c>
    </row>
    <row r="640" spans="1:8" hidden="1" x14ac:dyDescent="0.25">
      <c r="A640" t="s">
        <v>10</v>
      </c>
      <c r="B640" s="2">
        <v>42439</v>
      </c>
      <c r="C640">
        <v>2016</v>
      </c>
      <c r="D640">
        <f t="shared" si="18"/>
        <v>70</v>
      </c>
      <c r="E640" t="s">
        <v>6</v>
      </c>
      <c r="F640">
        <v>13.636800000000001</v>
      </c>
    </row>
    <row r="641" spans="1:11" hidden="1" x14ac:dyDescent="0.25">
      <c r="A641" t="s">
        <v>10</v>
      </c>
      <c r="B641" s="2">
        <v>42452</v>
      </c>
      <c r="C641">
        <v>2016</v>
      </c>
      <c r="D641">
        <f t="shared" si="18"/>
        <v>83</v>
      </c>
      <c r="E641" t="s">
        <v>6</v>
      </c>
      <c r="F641">
        <v>15.061199999999999</v>
      </c>
    </row>
    <row r="642" spans="1:11" hidden="1" x14ac:dyDescent="0.25">
      <c r="A642" t="s">
        <v>10</v>
      </c>
      <c r="B642" s="2">
        <v>42467</v>
      </c>
      <c r="C642">
        <v>2016</v>
      </c>
      <c r="D642">
        <f t="shared" ref="D642:D705" si="19">B642-DATE(YEAR(B642),1,0)</f>
        <v>98</v>
      </c>
      <c r="E642" t="s">
        <v>6</v>
      </c>
      <c r="F642">
        <v>17.472000000000001</v>
      </c>
    </row>
    <row r="643" spans="1:11" hidden="1" x14ac:dyDescent="0.25">
      <c r="A643" t="s">
        <v>10</v>
      </c>
      <c r="B643" s="2">
        <v>42474</v>
      </c>
      <c r="C643">
        <v>2016</v>
      </c>
      <c r="D643">
        <f t="shared" si="19"/>
        <v>105</v>
      </c>
      <c r="E643" t="s">
        <v>6</v>
      </c>
      <c r="F643">
        <v>17.167999999999999</v>
      </c>
    </row>
    <row r="644" spans="1:11" hidden="1" x14ac:dyDescent="0.25">
      <c r="A644" t="s">
        <v>10</v>
      </c>
      <c r="B644" s="2">
        <v>42482</v>
      </c>
      <c r="C644">
        <v>2016</v>
      </c>
      <c r="D644">
        <f t="shared" si="19"/>
        <v>113</v>
      </c>
      <c r="E644" t="s">
        <v>6</v>
      </c>
      <c r="F644">
        <v>18.612000000000002</v>
      </c>
    </row>
    <row r="645" spans="1:11" hidden="1" x14ac:dyDescent="0.25">
      <c r="A645" t="s">
        <v>10</v>
      </c>
      <c r="B645" s="2">
        <v>42489</v>
      </c>
      <c r="C645">
        <v>2016</v>
      </c>
      <c r="D645">
        <f t="shared" si="19"/>
        <v>120</v>
      </c>
      <c r="E645" t="s">
        <v>6</v>
      </c>
      <c r="F645">
        <v>18.392800000000001</v>
      </c>
    </row>
    <row r="646" spans="1:11" hidden="1" x14ac:dyDescent="0.25">
      <c r="A646" t="s">
        <v>10</v>
      </c>
      <c r="B646" s="2">
        <v>42496</v>
      </c>
      <c r="C646">
        <v>2016</v>
      </c>
      <c r="D646">
        <f t="shared" si="19"/>
        <v>127</v>
      </c>
      <c r="E646" t="s">
        <v>6</v>
      </c>
      <c r="F646">
        <v>19.4208</v>
      </c>
    </row>
    <row r="647" spans="1:11" hidden="1" x14ac:dyDescent="0.25">
      <c r="A647" t="s">
        <v>10</v>
      </c>
      <c r="B647" s="2">
        <v>42510</v>
      </c>
      <c r="C647">
        <v>2016</v>
      </c>
      <c r="D647">
        <f t="shared" si="19"/>
        <v>141</v>
      </c>
      <c r="E647" t="s">
        <v>6</v>
      </c>
      <c r="F647">
        <v>20.248800000000003</v>
      </c>
    </row>
    <row r="648" spans="1:11" hidden="1" x14ac:dyDescent="0.25">
      <c r="A648" t="s">
        <v>10</v>
      </c>
      <c r="B648" s="2">
        <v>42523</v>
      </c>
      <c r="C648">
        <v>2016</v>
      </c>
      <c r="D648">
        <f t="shared" si="19"/>
        <v>154</v>
      </c>
      <c r="E648" t="s">
        <v>6</v>
      </c>
      <c r="F648">
        <v>20.370199999999997</v>
      </c>
      <c r="K648" s="8"/>
    </row>
    <row r="649" spans="1:11" hidden="1" x14ac:dyDescent="0.25">
      <c r="A649" t="s">
        <v>10</v>
      </c>
      <c r="B649" s="2">
        <v>42535</v>
      </c>
      <c r="C649">
        <v>2016</v>
      </c>
      <c r="D649">
        <f t="shared" si="19"/>
        <v>166</v>
      </c>
      <c r="E649" t="s">
        <v>6</v>
      </c>
      <c r="F649">
        <v>21.318899999999999</v>
      </c>
    </row>
    <row r="650" spans="1:11" hidden="1" x14ac:dyDescent="0.25">
      <c r="A650" t="s">
        <v>10</v>
      </c>
      <c r="B650" s="2">
        <v>42386</v>
      </c>
      <c r="C650">
        <v>2016</v>
      </c>
      <c r="D650">
        <f t="shared" si="19"/>
        <v>17</v>
      </c>
      <c r="E650" t="s">
        <v>6</v>
      </c>
      <c r="F650">
        <v>5.0204000000000004</v>
      </c>
    </row>
    <row r="651" spans="1:11" hidden="1" x14ac:dyDescent="0.25">
      <c r="A651" t="s">
        <v>10</v>
      </c>
      <c r="B651" s="2">
        <v>42386</v>
      </c>
      <c r="C651">
        <v>2016</v>
      </c>
      <c r="D651">
        <f t="shared" si="19"/>
        <v>17</v>
      </c>
      <c r="E651" t="s">
        <v>6</v>
      </c>
      <c r="F651">
        <v>4.4855999999999998</v>
      </c>
    </row>
    <row r="652" spans="1:11" hidden="1" x14ac:dyDescent="0.25">
      <c r="A652" t="s">
        <v>10</v>
      </c>
      <c r="B652" s="2">
        <v>42386</v>
      </c>
      <c r="C652">
        <v>2016</v>
      </c>
      <c r="D652">
        <f t="shared" si="19"/>
        <v>17</v>
      </c>
      <c r="E652" t="s">
        <v>6</v>
      </c>
      <c r="F652">
        <v>4.4676</v>
      </c>
    </row>
    <row r="653" spans="1:11" hidden="1" x14ac:dyDescent="0.25">
      <c r="A653" t="s">
        <v>10</v>
      </c>
      <c r="B653" s="2">
        <v>42389</v>
      </c>
      <c r="C653">
        <v>2016</v>
      </c>
      <c r="D653">
        <f t="shared" si="19"/>
        <v>20</v>
      </c>
      <c r="E653" t="s">
        <v>6</v>
      </c>
      <c r="F653">
        <v>4.758</v>
      </c>
    </row>
    <row r="654" spans="1:11" hidden="1" x14ac:dyDescent="0.25">
      <c r="A654" t="s">
        <v>10</v>
      </c>
      <c r="B654" s="2">
        <v>42424</v>
      </c>
      <c r="C654">
        <v>2016</v>
      </c>
      <c r="D654">
        <f t="shared" si="19"/>
        <v>55</v>
      </c>
      <c r="E654" t="s">
        <v>6</v>
      </c>
      <c r="F654">
        <v>12.196100000000001</v>
      </c>
    </row>
    <row r="655" spans="1:11" hidden="1" x14ac:dyDescent="0.25">
      <c r="A655" t="s">
        <v>10</v>
      </c>
      <c r="B655" s="2">
        <v>42424</v>
      </c>
      <c r="C655">
        <v>2016</v>
      </c>
      <c r="D655">
        <f t="shared" si="19"/>
        <v>55</v>
      </c>
      <c r="E655" t="s">
        <v>6</v>
      </c>
      <c r="F655">
        <v>11.2395</v>
      </c>
    </row>
    <row r="656" spans="1:11" hidden="1" x14ac:dyDescent="0.25">
      <c r="A656" t="s">
        <v>10</v>
      </c>
      <c r="B656" s="2">
        <v>42424</v>
      </c>
      <c r="C656">
        <v>2016</v>
      </c>
      <c r="D656">
        <f t="shared" si="19"/>
        <v>55</v>
      </c>
      <c r="E656" t="s">
        <v>6</v>
      </c>
      <c r="F656">
        <v>9.4307999999999996</v>
      </c>
    </row>
    <row r="657" spans="1:6" hidden="1" x14ac:dyDescent="0.25">
      <c r="A657" t="s">
        <v>10</v>
      </c>
      <c r="B657" s="2">
        <v>42424</v>
      </c>
      <c r="C657">
        <v>2016</v>
      </c>
      <c r="D657">
        <f t="shared" si="19"/>
        <v>55</v>
      </c>
      <c r="E657" t="s">
        <v>6</v>
      </c>
      <c r="F657">
        <v>9.2748000000000008</v>
      </c>
    </row>
    <row r="658" spans="1:6" hidden="1" x14ac:dyDescent="0.25">
      <c r="A658" t="s">
        <v>10</v>
      </c>
      <c r="B658" s="2">
        <v>42438</v>
      </c>
      <c r="C658">
        <v>2016</v>
      </c>
      <c r="D658">
        <f t="shared" si="19"/>
        <v>69</v>
      </c>
      <c r="E658" t="s">
        <v>6</v>
      </c>
      <c r="F658">
        <v>11.587200000000001</v>
      </c>
    </row>
    <row r="659" spans="1:6" hidden="1" x14ac:dyDescent="0.25">
      <c r="A659" t="s">
        <v>10</v>
      </c>
      <c r="B659" s="2">
        <v>42439</v>
      </c>
      <c r="C659">
        <v>2016</v>
      </c>
      <c r="D659">
        <f t="shared" si="19"/>
        <v>70</v>
      </c>
      <c r="E659" t="s">
        <v>6</v>
      </c>
      <c r="F659">
        <v>15.09</v>
      </c>
    </row>
    <row r="660" spans="1:6" hidden="1" x14ac:dyDescent="0.25">
      <c r="A660" t="s">
        <v>10</v>
      </c>
      <c r="B660" s="2">
        <v>42439</v>
      </c>
      <c r="C660">
        <v>2016</v>
      </c>
      <c r="D660">
        <f t="shared" si="19"/>
        <v>70</v>
      </c>
      <c r="E660" t="s">
        <v>6</v>
      </c>
      <c r="F660">
        <v>14.128999999999998</v>
      </c>
    </row>
    <row r="661" spans="1:6" hidden="1" x14ac:dyDescent="0.25">
      <c r="A661" t="s">
        <v>10</v>
      </c>
      <c r="B661" s="2">
        <v>42439</v>
      </c>
      <c r="C661">
        <v>2016</v>
      </c>
      <c r="D661">
        <f t="shared" si="19"/>
        <v>70</v>
      </c>
      <c r="E661" t="s">
        <v>6</v>
      </c>
      <c r="F661">
        <v>11.226700000000001</v>
      </c>
    </row>
    <row r="662" spans="1:6" hidden="1" x14ac:dyDescent="0.25">
      <c r="A662" t="s">
        <v>10</v>
      </c>
      <c r="B662" s="2">
        <v>42452</v>
      </c>
      <c r="C662">
        <v>2016</v>
      </c>
      <c r="D662">
        <f t="shared" si="19"/>
        <v>83</v>
      </c>
      <c r="E662" t="s">
        <v>6</v>
      </c>
      <c r="F662">
        <v>17.301000000000002</v>
      </c>
    </row>
    <row r="663" spans="1:6" hidden="1" x14ac:dyDescent="0.25">
      <c r="A663" t="s">
        <v>10</v>
      </c>
      <c r="B663" s="2">
        <v>42452</v>
      </c>
      <c r="C663">
        <v>2016</v>
      </c>
      <c r="D663">
        <f t="shared" si="19"/>
        <v>83</v>
      </c>
      <c r="E663" t="s">
        <v>6</v>
      </c>
      <c r="F663">
        <v>15.54</v>
      </c>
    </row>
    <row r="664" spans="1:6" hidden="1" x14ac:dyDescent="0.25">
      <c r="A664" t="s">
        <v>10</v>
      </c>
      <c r="B664" s="2">
        <v>42452</v>
      </c>
      <c r="C664">
        <v>2016</v>
      </c>
      <c r="D664">
        <f t="shared" si="19"/>
        <v>83</v>
      </c>
      <c r="E664" t="s">
        <v>6</v>
      </c>
      <c r="F664">
        <v>13.2258</v>
      </c>
    </row>
    <row r="665" spans="1:6" hidden="1" x14ac:dyDescent="0.25">
      <c r="A665" t="s">
        <v>10</v>
      </c>
      <c r="B665" s="2">
        <v>42452</v>
      </c>
      <c r="C665">
        <v>2016</v>
      </c>
      <c r="D665">
        <f t="shared" si="19"/>
        <v>83</v>
      </c>
      <c r="E665" t="s">
        <v>6</v>
      </c>
      <c r="F665">
        <v>13.281999999999998</v>
      </c>
    </row>
    <row r="666" spans="1:6" hidden="1" x14ac:dyDescent="0.25">
      <c r="A666" t="s">
        <v>10</v>
      </c>
      <c r="B666" s="2">
        <v>42467</v>
      </c>
      <c r="C666">
        <v>2016</v>
      </c>
      <c r="D666">
        <f t="shared" si="19"/>
        <v>98</v>
      </c>
      <c r="E666" t="s">
        <v>6</v>
      </c>
      <c r="F666">
        <v>19.822900000000001</v>
      </c>
    </row>
    <row r="667" spans="1:6" hidden="1" x14ac:dyDescent="0.25">
      <c r="A667" t="s">
        <v>10</v>
      </c>
      <c r="B667" s="2">
        <v>42467</v>
      </c>
      <c r="C667">
        <v>2016</v>
      </c>
      <c r="D667">
        <f t="shared" si="19"/>
        <v>98</v>
      </c>
      <c r="E667" t="s">
        <v>6</v>
      </c>
      <c r="F667">
        <v>17.417400000000001</v>
      </c>
    </row>
    <row r="668" spans="1:6" hidden="1" x14ac:dyDescent="0.25">
      <c r="A668" t="s">
        <v>10</v>
      </c>
      <c r="B668" s="2">
        <v>42467</v>
      </c>
      <c r="C668">
        <v>2016</v>
      </c>
      <c r="D668">
        <f t="shared" si="19"/>
        <v>98</v>
      </c>
      <c r="E668" t="s">
        <v>6</v>
      </c>
      <c r="F668">
        <v>15.3</v>
      </c>
    </row>
    <row r="669" spans="1:6" hidden="1" x14ac:dyDescent="0.25">
      <c r="A669" t="s">
        <v>10</v>
      </c>
      <c r="B669" s="2">
        <v>42467</v>
      </c>
      <c r="C669">
        <v>2016</v>
      </c>
      <c r="D669">
        <f t="shared" si="19"/>
        <v>98</v>
      </c>
      <c r="E669" t="s">
        <v>6</v>
      </c>
      <c r="F669">
        <v>15.123999999999999</v>
      </c>
    </row>
    <row r="670" spans="1:6" hidden="1" x14ac:dyDescent="0.25">
      <c r="A670" t="s">
        <v>10</v>
      </c>
      <c r="B670" s="2">
        <v>42474</v>
      </c>
      <c r="C670">
        <v>2016</v>
      </c>
      <c r="D670">
        <f t="shared" si="19"/>
        <v>105</v>
      </c>
      <c r="E670" t="s">
        <v>6</v>
      </c>
      <c r="F670">
        <v>15.631000000000002</v>
      </c>
    </row>
    <row r="671" spans="1:6" hidden="1" x14ac:dyDescent="0.25">
      <c r="A671" t="s">
        <v>10</v>
      </c>
      <c r="B671" s="2">
        <v>42475</v>
      </c>
      <c r="C671">
        <v>2016</v>
      </c>
      <c r="D671">
        <f t="shared" si="19"/>
        <v>106</v>
      </c>
      <c r="E671" t="s">
        <v>6</v>
      </c>
      <c r="F671">
        <v>19.618500000000001</v>
      </c>
    </row>
    <row r="672" spans="1:6" hidden="1" x14ac:dyDescent="0.25">
      <c r="A672" t="s">
        <v>10</v>
      </c>
      <c r="B672" s="2">
        <v>42475</v>
      </c>
      <c r="C672">
        <v>2016</v>
      </c>
      <c r="D672">
        <f t="shared" si="19"/>
        <v>106</v>
      </c>
      <c r="E672" t="s">
        <v>6</v>
      </c>
      <c r="F672">
        <v>17.6311</v>
      </c>
    </row>
    <row r="673" spans="1:6" hidden="1" x14ac:dyDescent="0.25">
      <c r="A673" t="s">
        <v>10</v>
      </c>
      <c r="B673" s="2">
        <v>42475</v>
      </c>
      <c r="C673">
        <v>2016</v>
      </c>
      <c r="D673">
        <f t="shared" si="19"/>
        <v>106</v>
      </c>
      <c r="E673" t="s">
        <v>6</v>
      </c>
      <c r="F673">
        <v>15.853599999999998</v>
      </c>
    </row>
    <row r="674" spans="1:6" hidden="1" x14ac:dyDescent="0.25">
      <c r="A674" t="s">
        <v>10</v>
      </c>
      <c r="B674" s="2">
        <v>42482</v>
      </c>
      <c r="C674">
        <v>2016</v>
      </c>
      <c r="D674">
        <f t="shared" si="19"/>
        <v>113</v>
      </c>
      <c r="E674" t="s">
        <v>6</v>
      </c>
      <c r="F674">
        <v>20.432100000000002</v>
      </c>
    </row>
    <row r="675" spans="1:6" hidden="1" x14ac:dyDescent="0.25">
      <c r="A675" t="s">
        <v>10</v>
      </c>
      <c r="B675" s="2">
        <v>42482</v>
      </c>
      <c r="C675">
        <v>2016</v>
      </c>
      <c r="D675">
        <f t="shared" si="19"/>
        <v>113</v>
      </c>
      <c r="E675" t="s">
        <v>6</v>
      </c>
      <c r="F675">
        <v>17.929400000000001</v>
      </c>
    </row>
    <row r="676" spans="1:6" hidden="1" x14ac:dyDescent="0.25">
      <c r="A676" t="s">
        <v>10</v>
      </c>
      <c r="B676" s="2">
        <v>42482</v>
      </c>
      <c r="C676">
        <v>2016</v>
      </c>
      <c r="D676">
        <f t="shared" si="19"/>
        <v>113</v>
      </c>
      <c r="E676" t="s">
        <v>6</v>
      </c>
      <c r="F676">
        <v>15.902999999999999</v>
      </c>
    </row>
    <row r="677" spans="1:6" hidden="1" x14ac:dyDescent="0.25">
      <c r="A677" t="s">
        <v>10</v>
      </c>
      <c r="B677" s="2">
        <v>42482</v>
      </c>
      <c r="C677">
        <v>2016</v>
      </c>
      <c r="D677">
        <f t="shared" si="19"/>
        <v>113</v>
      </c>
      <c r="E677" t="s">
        <v>6</v>
      </c>
      <c r="F677">
        <v>15.250999999999999</v>
      </c>
    </row>
    <row r="678" spans="1:6" hidden="1" x14ac:dyDescent="0.25">
      <c r="A678" t="s">
        <v>10</v>
      </c>
      <c r="B678" s="2">
        <v>42489</v>
      </c>
      <c r="C678">
        <v>2016</v>
      </c>
      <c r="D678">
        <f t="shared" si="19"/>
        <v>120</v>
      </c>
      <c r="E678" t="s">
        <v>6</v>
      </c>
      <c r="F678">
        <v>21.367199999999997</v>
      </c>
    </row>
    <row r="679" spans="1:6" hidden="1" x14ac:dyDescent="0.25">
      <c r="A679" t="s">
        <v>10</v>
      </c>
      <c r="B679" s="2">
        <v>42489</v>
      </c>
      <c r="C679">
        <v>2016</v>
      </c>
      <c r="D679">
        <f t="shared" si="19"/>
        <v>120</v>
      </c>
      <c r="E679" t="s">
        <v>6</v>
      </c>
      <c r="F679">
        <v>18.768000000000001</v>
      </c>
    </row>
    <row r="680" spans="1:6" hidden="1" x14ac:dyDescent="0.25">
      <c r="A680" t="s">
        <v>10</v>
      </c>
      <c r="B680" s="2">
        <v>42489</v>
      </c>
      <c r="C680">
        <v>2016</v>
      </c>
      <c r="D680">
        <f t="shared" si="19"/>
        <v>120</v>
      </c>
      <c r="E680" t="s">
        <v>6</v>
      </c>
      <c r="F680">
        <v>16.2181</v>
      </c>
    </row>
    <row r="681" spans="1:6" hidden="1" x14ac:dyDescent="0.25">
      <c r="A681" t="s">
        <v>10</v>
      </c>
      <c r="B681" s="2">
        <v>42489</v>
      </c>
      <c r="C681">
        <v>2016</v>
      </c>
      <c r="D681">
        <f t="shared" si="19"/>
        <v>120</v>
      </c>
      <c r="E681" t="s">
        <v>6</v>
      </c>
      <c r="F681">
        <v>16.453599999999998</v>
      </c>
    </row>
    <row r="682" spans="1:6" hidden="1" x14ac:dyDescent="0.25">
      <c r="A682" t="s">
        <v>10</v>
      </c>
      <c r="B682" s="2">
        <v>42494</v>
      </c>
      <c r="C682">
        <v>2016</v>
      </c>
      <c r="D682">
        <f t="shared" si="19"/>
        <v>125</v>
      </c>
      <c r="E682" t="s">
        <v>6</v>
      </c>
      <c r="F682">
        <v>17.5168</v>
      </c>
    </row>
    <row r="683" spans="1:6" hidden="1" x14ac:dyDescent="0.25">
      <c r="A683" t="s">
        <v>10</v>
      </c>
      <c r="B683" s="2">
        <v>42496</v>
      </c>
      <c r="C683">
        <v>2016</v>
      </c>
      <c r="D683">
        <f t="shared" si="19"/>
        <v>127</v>
      </c>
      <c r="E683" t="s">
        <v>6</v>
      </c>
      <c r="F683">
        <v>20.984000000000002</v>
      </c>
    </row>
    <row r="684" spans="1:6" hidden="1" x14ac:dyDescent="0.25">
      <c r="A684" t="s">
        <v>10</v>
      </c>
      <c r="B684" s="2">
        <v>42496</v>
      </c>
      <c r="C684">
        <v>2016</v>
      </c>
      <c r="D684">
        <f t="shared" si="19"/>
        <v>127</v>
      </c>
      <c r="E684" t="s">
        <v>6</v>
      </c>
      <c r="F684">
        <v>19.8352</v>
      </c>
    </row>
    <row r="685" spans="1:6" hidden="1" x14ac:dyDescent="0.25">
      <c r="A685" t="s">
        <v>10</v>
      </c>
      <c r="B685" s="2">
        <v>42496</v>
      </c>
      <c r="C685">
        <v>2016</v>
      </c>
      <c r="D685">
        <f t="shared" si="19"/>
        <v>127</v>
      </c>
      <c r="E685" t="s">
        <v>6</v>
      </c>
      <c r="F685">
        <v>16.9938</v>
      </c>
    </row>
    <row r="686" spans="1:6" hidden="1" x14ac:dyDescent="0.25">
      <c r="A686" t="s">
        <v>10</v>
      </c>
      <c r="B686" s="2">
        <v>42509</v>
      </c>
      <c r="C686">
        <v>2016</v>
      </c>
      <c r="D686">
        <f t="shared" si="19"/>
        <v>140</v>
      </c>
      <c r="E686" t="s">
        <v>6</v>
      </c>
      <c r="F686">
        <v>21.454999999999998</v>
      </c>
    </row>
    <row r="687" spans="1:6" hidden="1" x14ac:dyDescent="0.25">
      <c r="A687" t="s">
        <v>10</v>
      </c>
      <c r="B687" s="2">
        <v>42509</v>
      </c>
      <c r="C687">
        <v>2016</v>
      </c>
      <c r="D687">
        <f t="shared" si="19"/>
        <v>140</v>
      </c>
      <c r="E687" t="s">
        <v>6</v>
      </c>
      <c r="F687">
        <v>18.9468</v>
      </c>
    </row>
    <row r="688" spans="1:6" hidden="1" x14ac:dyDescent="0.25">
      <c r="A688" t="s">
        <v>10</v>
      </c>
      <c r="B688" s="2">
        <v>42509</v>
      </c>
      <c r="C688">
        <v>2016</v>
      </c>
      <c r="D688">
        <f t="shared" si="19"/>
        <v>140</v>
      </c>
      <c r="E688" t="s">
        <v>6</v>
      </c>
      <c r="F688">
        <v>18.04</v>
      </c>
    </row>
    <row r="689" spans="1:6" hidden="1" x14ac:dyDescent="0.25">
      <c r="A689" t="s">
        <v>10</v>
      </c>
      <c r="B689" s="2">
        <v>42510</v>
      </c>
      <c r="C689">
        <v>2016</v>
      </c>
      <c r="D689">
        <f t="shared" si="19"/>
        <v>141</v>
      </c>
      <c r="E689" t="s">
        <v>6</v>
      </c>
      <c r="F689">
        <v>20.445600000000002</v>
      </c>
    </row>
    <row r="690" spans="1:6" hidden="1" x14ac:dyDescent="0.25">
      <c r="A690" t="s">
        <v>10</v>
      </c>
      <c r="B690" s="2">
        <v>42522</v>
      </c>
      <c r="C690">
        <v>2016</v>
      </c>
      <c r="D690">
        <f t="shared" si="19"/>
        <v>153</v>
      </c>
      <c r="E690" t="s">
        <v>6</v>
      </c>
      <c r="F690">
        <v>18.638999999999999</v>
      </c>
    </row>
    <row r="691" spans="1:6" hidden="1" x14ac:dyDescent="0.25">
      <c r="A691" t="s">
        <v>10</v>
      </c>
      <c r="B691" s="2">
        <v>42523</v>
      </c>
      <c r="C691">
        <v>2016</v>
      </c>
      <c r="D691">
        <f t="shared" si="19"/>
        <v>154</v>
      </c>
      <c r="E691" t="s">
        <v>6</v>
      </c>
      <c r="F691">
        <v>21.87</v>
      </c>
    </row>
    <row r="692" spans="1:6" hidden="1" x14ac:dyDescent="0.25">
      <c r="A692" t="s">
        <v>10</v>
      </c>
      <c r="B692" s="2">
        <v>42523</v>
      </c>
      <c r="C692">
        <v>2016</v>
      </c>
      <c r="D692">
        <f t="shared" si="19"/>
        <v>154</v>
      </c>
      <c r="E692" t="s">
        <v>6</v>
      </c>
      <c r="F692">
        <v>20.708099999999998</v>
      </c>
    </row>
    <row r="693" spans="1:6" hidden="1" x14ac:dyDescent="0.25">
      <c r="A693" t="s">
        <v>10</v>
      </c>
      <c r="B693" s="2">
        <v>42523</v>
      </c>
      <c r="C693">
        <v>2016</v>
      </c>
      <c r="D693">
        <f t="shared" si="19"/>
        <v>154</v>
      </c>
      <c r="E693" t="s">
        <v>6</v>
      </c>
      <c r="F693">
        <v>18.211200000000002</v>
      </c>
    </row>
    <row r="694" spans="1:6" hidden="1" x14ac:dyDescent="0.25">
      <c r="A694" t="s">
        <v>10</v>
      </c>
      <c r="B694" s="2">
        <v>42531</v>
      </c>
      <c r="C694">
        <v>2016</v>
      </c>
      <c r="D694">
        <f t="shared" si="19"/>
        <v>162</v>
      </c>
      <c r="E694" t="s">
        <v>6</v>
      </c>
      <c r="F694">
        <v>20.832000000000004</v>
      </c>
    </row>
    <row r="695" spans="1:6" hidden="1" x14ac:dyDescent="0.25">
      <c r="A695" t="s">
        <v>10</v>
      </c>
      <c r="B695" s="2">
        <v>42535</v>
      </c>
      <c r="C695">
        <v>2016</v>
      </c>
      <c r="D695">
        <f t="shared" si="19"/>
        <v>166</v>
      </c>
      <c r="E695" t="s">
        <v>6</v>
      </c>
      <c r="F695">
        <v>22.302000000000003</v>
      </c>
    </row>
    <row r="696" spans="1:6" hidden="1" x14ac:dyDescent="0.25">
      <c r="A696" t="s">
        <v>10</v>
      </c>
      <c r="B696" s="2">
        <v>42535</v>
      </c>
      <c r="C696">
        <v>2016</v>
      </c>
      <c r="D696">
        <f t="shared" si="19"/>
        <v>166</v>
      </c>
      <c r="E696" t="s">
        <v>6</v>
      </c>
      <c r="F696">
        <v>19.825800000000001</v>
      </c>
    </row>
    <row r="697" spans="1:6" hidden="1" x14ac:dyDescent="0.25">
      <c r="A697" t="s">
        <v>11</v>
      </c>
      <c r="B697" s="2">
        <v>42752</v>
      </c>
      <c r="C697">
        <v>2017</v>
      </c>
      <c r="D697">
        <f t="shared" si="19"/>
        <v>17</v>
      </c>
      <c r="E697" t="s">
        <v>6</v>
      </c>
      <c r="F697">
        <v>5.5297999999999989</v>
      </c>
    </row>
    <row r="698" spans="1:6" hidden="1" x14ac:dyDescent="0.25">
      <c r="A698" t="s">
        <v>11</v>
      </c>
      <c r="B698" s="2">
        <v>42752</v>
      </c>
      <c r="C698">
        <v>2017</v>
      </c>
      <c r="D698">
        <f t="shared" si="19"/>
        <v>17</v>
      </c>
      <c r="E698" t="s">
        <v>6</v>
      </c>
      <c r="F698">
        <v>3.9312</v>
      </c>
    </row>
    <row r="699" spans="1:6" hidden="1" x14ac:dyDescent="0.25">
      <c r="A699" t="s">
        <v>11</v>
      </c>
      <c r="B699" s="2">
        <v>42787</v>
      </c>
      <c r="C699">
        <v>2017</v>
      </c>
      <c r="D699">
        <f t="shared" si="19"/>
        <v>52</v>
      </c>
      <c r="E699" t="s">
        <v>6</v>
      </c>
      <c r="F699">
        <v>11.007999999999999</v>
      </c>
    </row>
    <row r="700" spans="1:6" hidden="1" x14ac:dyDescent="0.25">
      <c r="A700" t="s">
        <v>11</v>
      </c>
      <c r="B700" s="2">
        <v>42787</v>
      </c>
      <c r="C700">
        <v>2017</v>
      </c>
      <c r="D700">
        <f t="shared" si="19"/>
        <v>52</v>
      </c>
      <c r="E700" t="s">
        <v>6</v>
      </c>
      <c r="F700">
        <v>9.4163999999999994</v>
      </c>
    </row>
    <row r="701" spans="1:6" hidden="1" x14ac:dyDescent="0.25">
      <c r="A701" t="s">
        <v>11</v>
      </c>
      <c r="B701" s="2">
        <v>42801</v>
      </c>
      <c r="C701">
        <v>2017</v>
      </c>
      <c r="D701">
        <f t="shared" si="19"/>
        <v>66</v>
      </c>
      <c r="E701" t="s">
        <v>6</v>
      </c>
      <c r="F701">
        <v>13.7995</v>
      </c>
    </row>
    <row r="702" spans="1:6" hidden="1" x14ac:dyDescent="0.25">
      <c r="A702" t="s">
        <v>11</v>
      </c>
      <c r="B702" s="2">
        <v>42801</v>
      </c>
      <c r="C702">
        <v>2017</v>
      </c>
      <c r="D702">
        <f t="shared" si="19"/>
        <v>66</v>
      </c>
      <c r="E702" t="s">
        <v>6</v>
      </c>
      <c r="F702">
        <v>11.226800000000001</v>
      </c>
    </row>
    <row r="703" spans="1:6" hidden="1" x14ac:dyDescent="0.25">
      <c r="A703" t="s">
        <v>11</v>
      </c>
      <c r="B703" s="2">
        <v>42815</v>
      </c>
      <c r="C703">
        <v>2017</v>
      </c>
      <c r="D703">
        <f t="shared" si="19"/>
        <v>80</v>
      </c>
      <c r="E703" t="s">
        <v>6</v>
      </c>
      <c r="F703">
        <v>15.111599999999999</v>
      </c>
    </row>
    <row r="704" spans="1:6" hidden="1" x14ac:dyDescent="0.25">
      <c r="A704" t="s">
        <v>11</v>
      </c>
      <c r="B704" s="2">
        <v>42815</v>
      </c>
      <c r="C704">
        <v>2017</v>
      </c>
      <c r="D704">
        <f t="shared" si="19"/>
        <v>80</v>
      </c>
      <c r="E704" t="s">
        <v>6</v>
      </c>
      <c r="F704">
        <v>12.8232</v>
      </c>
    </row>
    <row r="705" spans="1:8" hidden="1" x14ac:dyDescent="0.25">
      <c r="A705" t="s">
        <v>11</v>
      </c>
      <c r="B705" s="2">
        <v>42829</v>
      </c>
      <c r="C705">
        <v>2017</v>
      </c>
      <c r="D705">
        <f t="shared" si="19"/>
        <v>94</v>
      </c>
      <c r="E705" t="s">
        <v>6</v>
      </c>
      <c r="F705">
        <v>17.962200000000003</v>
      </c>
    </row>
    <row r="706" spans="1:8" hidden="1" x14ac:dyDescent="0.25">
      <c r="A706" t="s">
        <v>11</v>
      </c>
      <c r="B706" s="2">
        <v>42829</v>
      </c>
      <c r="C706">
        <v>2017</v>
      </c>
      <c r="D706">
        <f t="shared" ref="D706:D769" si="20">B706-DATE(YEAR(B706),1,0)</f>
        <v>94</v>
      </c>
      <c r="E706" t="s">
        <v>6</v>
      </c>
      <c r="F706">
        <v>14.860800000000001</v>
      </c>
    </row>
    <row r="707" spans="1:8" hidden="1" x14ac:dyDescent="0.25">
      <c r="A707" t="s">
        <v>11</v>
      </c>
      <c r="B707" s="2">
        <v>42839</v>
      </c>
      <c r="C707">
        <v>2017</v>
      </c>
      <c r="D707">
        <f t="shared" si="20"/>
        <v>104</v>
      </c>
      <c r="E707" t="s">
        <v>6</v>
      </c>
      <c r="F707">
        <v>17.060500000000001</v>
      </c>
    </row>
    <row r="708" spans="1:8" hidden="1" x14ac:dyDescent="0.25">
      <c r="A708" t="s">
        <v>11</v>
      </c>
      <c r="B708" s="2">
        <v>42839</v>
      </c>
      <c r="C708">
        <v>2017</v>
      </c>
      <c r="D708">
        <f t="shared" si="20"/>
        <v>104</v>
      </c>
      <c r="E708" t="s">
        <v>6</v>
      </c>
      <c r="F708">
        <v>15.463800000000001</v>
      </c>
    </row>
    <row r="709" spans="1:8" hidden="1" x14ac:dyDescent="0.25">
      <c r="A709" t="s">
        <v>11</v>
      </c>
      <c r="B709" s="2">
        <v>42844</v>
      </c>
      <c r="C709">
        <v>2017</v>
      </c>
      <c r="D709">
        <f t="shared" si="20"/>
        <v>109</v>
      </c>
      <c r="E709" t="s">
        <v>6</v>
      </c>
      <c r="F709">
        <v>18.667300000000001</v>
      </c>
    </row>
    <row r="710" spans="1:8" hidden="1" x14ac:dyDescent="0.25">
      <c r="A710" t="s">
        <v>11</v>
      </c>
      <c r="B710" s="2">
        <v>42844</v>
      </c>
      <c r="C710">
        <v>2017</v>
      </c>
      <c r="D710">
        <f t="shared" si="20"/>
        <v>109</v>
      </c>
      <c r="E710" t="s">
        <v>6</v>
      </c>
      <c r="F710">
        <v>16.658200000000001</v>
      </c>
    </row>
    <row r="711" spans="1:8" hidden="1" x14ac:dyDescent="0.25">
      <c r="A711" t="s">
        <v>11</v>
      </c>
      <c r="B711" s="2">
        <v>42850</v>
      </c>
      <c r="C711">
        <v>2017</v>
      </c>
      <c r="D711">
        <f t="shared" si="20"/>
        <v>115</v>
      </c>
      <c r="E711" t="s">
        <v>6</v>
      </c>
      <c r="F711">
        <v>16.6402</v>
      </c>
    </row>
    <row r="712" spans="1:8" hidden="1" x14ac:dyDescent="0.25">
      <c r="A712" t="s">
        <v>11</v>
      </c>
      <c r="B712" s="2">
        <v>42853</v>
      </c>
      <c r="C712">
        <v>2017</v>
      </c>
      <c r="D712">
        <f t="shared" si="20"/>
        <v>118</v>
      </c>
      <c r="E712" t="s">
        <v>6</v>
      </c>
      <c r="F712">
        <v>19.811399999999999</v>
      </c>
    </row>
    <row r="713" spans="1:8" hidden="1" x14ac:dyDescent="0.25">
      <c r="A713" t="s">
        <v>11</v>
      </c>
      <c r="B713" s="2">
        <v>42858</v>
      </c>
      <c r="C713">
        <v>2017</v>
      </c>
      <c r="D713">
        <f t="shared" si="20"/>
        <v>123</v>
      </c>
      <c r="E713" t="s">
        <v>6</v>
      </c>
      <c r="F713">
        <v>19.400500000000001</v>
      </c>
      <c r="G713">
        <f>Calculations!E3</f>
        <v>19.718978337438809</v>
      </c>
      <c r="H713" t="s">
        <v>27</v>
      </c>
    </row>
    <row r="714" spans="1:8" hidden="1" x14ac:dyDescent="0.25">
      <c r="A714" t="s">
        <v>11</v>
      </c>
      <c r="B714" s="2">
        <v>42858</v>
      </c>
      <c r="C714">
        <v>2017</v>
      </c>
      <c r="D714">
        <f t="shared" si="20"/>
        <v>123</v>
      </c>
      <c r="E714" t="s">
        <v>6</v>
      </c>
      <c r="F714">
        <v>16.364999999999998</v>
      </c>
    </row>
    <row r="715" spans="1:8" hidden="1" x14ac:dyDescent="0.25">
      <c r="A715" t="s">
        <v>11</v>
      </c>
      <c r="B715" s="2">
        <v>42871</v>
      </c>
      <c r="C715">
        <v>2017</v>
      </c>
      <c r="D715">
        <f t="shared" si="20"/>
        <v>136</v>
      </c>
      <c r="E715" t="s">
        <v>6</v>
      </c>
      <c r="F715">
        <v>20.764800000000001</v>
      </c>
    </row>
    <row r="716" spans="1:8" hidden="1" x14ac:dyDescent="0.25">
      <c r="A716" t="s">
        <v>11</v>
      </c>
      <c r="B716" s="2">
        <v>42871</v>
      </c>
      <c r="C716">
        <v>2017</v>
      </c>
      <c r="D716">
        <f t="shared" si="20"/>
        <v>136</v>
      </c>
      <c r="E716" t="s">
        <v>6</v>
      </c>
      <c r="F716">
        <v>19.067399999999999</v>
      </c>
    </row>
    <row r="717" spans="1:8" hidden="1" x14ac:dyDescent="0.25">
      <c r="A717" t="s">
        <v>11</v>
      </c>
      <c r="B717" s="2">
        <v>42885</v>
      </c>
      <c r="C717">
        <v>2017</v>
      </c>
      <c r="D717">
        <f t="shared" si="20"/>
        <v>150</v>
      </c>
      <c r="E717" t="s">
        <v>6</v>
      </c>
      <c r="F717">
        <v>20.5335</v>
      </c>
    </row>
    <row r="718" spans="1:8" hidden="1" x14ac:dyDescent="0.25">
      <c r="A718" t="s">
        <v>11</v>
      </c>
      <c r="B718" s="2">
        <v>42885</v>
      </c>
      <c r="C718">
        <v>2017</v>
      </c>
      <c r="D718">
        <f t="shared" si="20"/>
        <v>150</v>
      </c>
      <c r="E718" t="s">
        <v>6</v>
      </c>
      <c r="F718">
        <v>19.3644</v>
      </c>
    </row>
    <row r="719" spans="1:8" hidden="1" x14ac:dyDescent="0.25">
      <c r="A719" t="s">
        <v>11</v>
      </c>
      <c r="B719" s="2">
        <v>42893</v>
      </c>
      <c r="C719">
        <v>2017</v>
      </c>
      <c r="D719">
        <f t="shared" si="20"/>
        <v>158</v>
      </c>
      <c r="E719" t="s">
        <v>6</v>
      </c>
      <c r="F719">
        <v>20.930400000000006</v>
      </c>
    </row>
    <row r="720" spans="1:8" hidden="1" x14ac:dyDescent="0.25">
      <c r="A720" t="s">
        <v>11</v>
      </c>
      <c r="B720" s="2">
        <v>42893</v>
      </c>
      <c r="C720">
        <v>2017</v>
      </c>
      <c r="D720">
        <f t="shared" si="20"/>
        <v>158</v>
      </c>
      <c r="E720" t="s">
        <v>6</v>
      </c>
      <c r="F720">
        <v>18.645</v>
      </c>
    </row>
    <row r="721" spans="1:9" hidden="1" x14ac:dyDescent="0.25">
      <c r="A721" t="s">
        <v>11</v>
      </c>
      <c r="B721" s="2">
        <v>42907</v>
      </c>
      <c r="C721">
        <v>2017</v>
      </c>
      <c r="D721">
        <f t="shared" si="20"/>
        <v>172</v>
      </c>
      <c r="E721" t="s">
        <v>6</v>
      </c>
      <c r="F721">
        <v>20.050700000000003</v>
      </c>
    </row>
    <row r="722" spans="1:9" hidden="1" x14ac:dyDescent="0.25">
      <c r="A722" t="s">
        <v>11</v>
      </c>
      <c r="B722" s="2">
        <v>42907</v>
      </c>
      <c r="C722">
        <v>2017</v>
      </c>
      <c r="D722">
        <f t="shared" si="20"/>
        <v>172</v>
      </c>
      <c r="E722" t="s">
        <v>6</v>
      </c>
      <c r="F722">
        <v>19.302800000000001</v>
      </c>
    </row>
    <row r="723" spans="1:9" hidden="1" x14ac:dyDescent="0.25">
      <c r="A723" t="s">
        <v>11</v>
      </c>
      <c r="B723" s="2">
        <v>42753</v>
      </c>
      <c r="C723">
        <v>2017</v>
      </c>
      <c r="D723">
        <f t="shared" si="20"/>
        <v>18</v>
      </c>
      <c r="E723" t="s">
        <v>6</v>
      </c>
      <c r="F723">
        <v>5.1040000000000001</v>
      </c>
    </row>
    <row r="724" spans="1:9" hidden="1" x14ac:dyDescent="0.25">
      <c r="A724" t="s">
        <v>11</v>
      </c>
      <c r="B724" s="2">
        <v>42789</v>
      </c>
      <c r="C724">
        <v>2017</v>
      </c>
      <c r="D724">
        <f t="shared" si="20"/>
        <v>54</v>
      </c>
      <c r="E724" t="s">
        <v>6</v>
      </c>
      <c r="F724">
        <v>11.519600000000001</v>
      </c>
    </row>
    <row r="725" spans="1:9" hidden="1" x14ac:dyDescent="0.25">
      <c r="A725" t="s">
        <v>11</v>
      </c>
      <c r="B725" s="2">
        <v>42804</v>
      </c>
      <c r="C725">
        <v>2017</v>
      </c>
      <c r="D725">
        <f t="shared" si="20"/>
        <v>69</v>
      </c>
      <c r="E725" t="s">
        <v>6</v>
      </c>
      <c r="F725">
        <v>15.008799999999999</v>
      </c>
    </row>
    <row r="726" spans="1:9" hidden="1" x14ac:dyDescent="0.25">
      <c r="A726" t="s">
        <v>11</v>
      </c>
      <c r="B726" s="2">
        <v>42817</v>
      </c>
      <c r="C726">
        <v>2017</v>
      </c>
      <c r="D726">
        <f t="shared" si="20"/>
        <v>82</v>
      </c>
      <c r="E726" t="s">
        <v>6</v>
      </c>
      <c r="F726">
        <v>17.391000000000002</v>
      </c>
    </row>
    <row r="727" spans="1:9" hidden="1" x14ac:dyDescent="0.25">
      <c r="A727" t="s">
        <v>11</v>
      </c>
      <c r="B727" s="2">
        <v>42832</v>
      </c>
      <c r="C727">
        <v>2017</v>
      </c>
      <c r="D727">
        <f t="shared" si="20"/>
        <v>97</v>
      </c>
      <c r="E727" t="s">
        <v>6</v>
      </c>
      <c r="F727">
        <v>19.684200000000001</v>
      </c>
    </row>
    <row r="728" spans="1:9" hidden="1" x14ac:dyDescent="0.25">
      <c r="A728" t="s">
        <v>11</v>
      </c>
      <c r="B728" s="2">
        <v>42838</v>
      </c>
      <c r="C728">
        <v>2017</v>
      </c>
      <c r="D728">
        <f t="shared" si="20"/>
        <v>103</v>
      </c>
      <c r="E728" t="s">
        <v>6</v>
      </c>
      <c r="F728">
        <v>20.144000000000002</v>
      </c>
    </row>
    <row r="729" spans="1:9" hidden="1" x14ac:dyDescent="0.25">
      <c r="A729" t="s">
        <v>11</v>
      </c>
      <c r="B729" s="2">
        <v>42845</v>
      </c>
      <c r="C729">
        <v>2017</v>
      </c>
      <c r="D729">
        <f t="shared" si="20"/>
        <v>110</v>
      </c>
      <c r="E729" t="s">
        <v>6</v>
      </c>
      <c r="F729">
        <v>21.559699999999999</v>
      </c>
    </row>
    <row r="730" spans="1:9" hidden="1" x14ac:dyDescent="0.25">
      <c r="A730" t="s">
        <v>11</v>
      </c>
      <c r="B730" s="2">
        <v>42853</v>
      </c>
      <c r="C730">
        <v>2017</v>
      </c>
      <c r="D730">
        <f t="shared" si="20"/>
        <v>118</v>
      </c>
      <c r="E730" t="s">
        <v>6</v>
      </c>
      <c r="F730">
        <v>22.3249</v>
      </c>
    </row>
    <row r="731" spans="1:9" hidden="1" x14ac:dyDescent="0.25">
      <c r="A731" t="s">
        <v>11</v>
      </c>
      <c r="B731" s="2">
        <v>42859</v>
      </c>
      <c r="C731">
        <v>2017</v>
      </c>
      <c r="D731">
        <f t="shared" si="20"/>
        <v>124</v>
      </c>
      <c r="E731" t="s">
        <v>6</v>
      </c>
      <c r="F731">
        <v>22.423000000000002</v>
      </c>
    </row>
    <row r="732" spans="1:9" hidden="1" x14ac:dyDescent="0.25">
      <c r="A732" t="s">
        <v>11</v>
      </c>
      <c r="B732" s="2">
        <v>42873</v>
      </c>
      <c r="C732">
        <v>2017</v>
      </c>
      <c r="D732">
        <f t="shared" si="20"/>
        <v>138</v>
      </c>
      <c r="E732" t="s">
        <v>6</v>
      </c>
      <c r="F732">
        <v>23.824199999999998</v>
      </c>
    </row>
    <row r="733" spans="1:9" hidden="1" x14ac:dyDescent="0.25">
      <c r="A733" t="s">
        <v>11</v>
      </c>
      <c r="B733" s="2">
        <v>42887</v>
      </c>
      <c r="C733">
        <v>2017</v>
      </c>
      <c r="D733">
        <f t="shared" si="20"/>
        <v>152</v>
      </c>
      <c r="E733" t="s">
        <v>6</v>
      </c>
      <c r="F733">
        <v>23.8596</v>
      </c>
      <c r="I733" s="8"/>
    </row>
    <row r="734" spans="1:9" hidden="1" x14ac:dyDescent="0.25">
      <c r="A734" t="s">
        <v>11</v>
      </c>
      <c r="B734" s="2">
        <v>42894</v>
      </c>
      <c r="C734">
        <v>2017</v>
      </c>
      <c r="D734">
        <f t="shared" si="20"/>
        <v>159</v>
      </c>
      <c r="E734" t="s">
        <v>6</v>
      </c>
      <c r="F734">
        <v>23.692900000000005</v>
      </c>
    </row>
    <row r="735" spans="1:9" hidden="1" x14ac:dyDescent="0.25">
      <c r="A735" t="s">
        <v>11</v>
      </c>
      <c r="B735" s="2">
        <v>42908</v>
      </c>
      <c r="C735">
        <v>2017</v>
      </c>
      <c r="D735">
        <f t="shared" si="20"/>
        <v>173</v>
      </c>
      <c r="E735" t="s">
        <v>6</v>
      </c>
      <c r="F735">
        <v>22.8583</v>
      </c>
    </row>
    <row r="736" spans="1:9" hidden="1" x14ac:dyDescent="0.25">
      <c r="A736" t="s">
        <v>11</v>
      </c>
      <c r="B736" s="2">
        <v>42753</v>
      </c>
      <c r="C736">
        <v>2017</v>
      </c>
      <c r="D736">
        <f t="shared" si="20"/>
        <v>18</v>
      </c>
      <c r="E736" t="s">
        <v>6</v>
      </c>
      <c r="F736">
        <v>5.0960000000000001</v>
      </c>
    </row>
    <row r="737" spans="1:6" hidden="1" x14ac:dyDescent="0.25">
      <c r="A737" t="s">
        <v>11</v>
      </c>
      <c r="B737" s="2">
        <v>42753</v>
      </c>
      <c r="C737">
        <v>2017</v>
      </c>
      <c r="D737">
        <f t="shared" si="20"/>
        <v>18</v>
      </c>
      <c r="E737" t="s">
        <v>6</v>
      </c>
      <c r="F737">
        <v>5.0466000000000006</v>
      </c>
    </row>
    <row r="738" spans="1:6" hidden="1" x14ac:dyDescent="0.25">
      <c r="A738" t="s">
        <v>11</v>
      </c>
      <c r="B738" s="2">
        <v>42753</v>
      </c>
      <c r="C738">
        <v>2017</v>
      </c>
      <c r="D738">
        <f t="shared" si="20"/>
        <v>18</v>
      </c>
      <c r="E738" t="s">
        <v>6</v>
      </c>
      <c r="F738">
        <v>5.4350999999999985</v>
      </c>
    </row>
    <row r="739" spans="1:6" hidden="1" x14ac:dyDescent="0.25">
      <c r="A739" t="s">
        <v>11</v>
      </c>
      <c r="B739" s="2">
        <v>42753</v>
      </c>
      <c r="C739">
        <v>2017</v>
      </c>
      <c r="D739">
        <f t="shared" si="20"/>
        <v>18</v>
      </c>
      <c r="E739" t="s">
        <v>6</v>
      </c>
      <c r="F739">
        <v>5.9670000000000005</v>
      </c>
    </row>
    <row r="740" spans="1:6" hidden="1" x14ac:dyDescent="0.25">
      <c r="A740" t="s">
        <v>11</v>
      </c>
      <c r="B740" s="2">
        <v>42788</v>
      </c>
      <c r="C740">
        <v>2017</v>
      </c>
      <c r="D740">
        <f t="shared" si="20"/>
        <v>53</v>
      </c>
      <c r="E740" t="s">
        <v>6</v>
      </c>
      <c r="F740">
        <v>12.300900000000002</v>
      </c>
    </row>
    <row r="741" spans="1:6" hidden="1" x14ac:dyDescent="0.25">
      <c r="A741" t="s">
        <v>11</v>
      </c>
      <c r="B741" s="2">
        <v>42789</v>
      </c>
      <c r="C741">
        <v>2017</v>
      </c>
      <c r="D741">
        <f t="shared" si="20"/>
        <v>54</v>
      </c>
      <c r="E741" t="s">
        <v>6</v>
      </c>
      <c r="F741">
        <v>10.933</v>
      </c>
    </row>
    <row r="742" spans="1:6" hidden="1" x14ac:dyDescent="0.25">
      <c r="A742" t="s">
        <v>11</v>
      </c>
      <c r="B742" s="2">
        <v>42789</v>
      </c>
      <c r="C742">
        <v>2017</v>
      </c>
      <c r="D742">
        <f t="shared" si="20"/>
        <v>54</v>
      </c>
      <c r="E742" t="s">
        <v>6</v>
      </c>
      <c r="F742">
        <v>11.904000000000002</v>
      </c>
    </row>
    <row r="743" spans="1:6" hidden="1" x14ac:dyDescent="0.25">
      <c r="A743" t="s">
        <v>11</v>
      </c>
      <c r="B743" s="2">
        <v>42789</v>
      </c>
      <c r="C743">
        <v>2017</v>
      </c>
      <c r="D743">
        <f t="shared" si="20"/>
        <v>54</v>
      </c>
      <c r="E743" t="s">
        <v>6</v>
      </c>
      <c r="F743">
        <v>11.153999999999998</v>
      </c>
    </row>
    <row r="744" spans="1:6" hidden="1" x14ac:dyDescent="0.25">
      <c r="A744" t="s">
        <v>11</v>
      </c>
      <c r="B744" s="2">
        <v>42803</v>
      </c>
      <c r="C744">
        <v>2017</v>
      </c>
      <c r="D744">
        <f t="shared" si="20"/>
        <v>68</v>
      </c>
      <c r="E744" t="s">
        <v>6</v>
      </c>
      <c r="F744">
        <v>15.537600000000003</v>
      </c>
    </row>
    <row r="745" spans="1:6" hidden="1" x14ac:dyDescent="0.25">
      <c r="A745" t="s">
        <v>11</v>
      </c>
      <c r="B745" s="2">
        <v>42803</v>
      </c>
      <c r="C745">
        <v>2017</v>
      </c>
      <c r="D745">
        <f t="shared" si="20"/>
        <v>68</v>
      </c>
      <c r="E745" t="s">
        <v>6</v>
      </c>
      <c r="F745">
        <v>15.332100000000001</v>
      </c>
    </row>
    <row r="746" spans="1:6" hidden="1" x14ac:dyDescent="0.25">
      <c r="A746" t="s">
        <v>11</v>
      </c>
      <c r="B746" s="2">
        <v>42804</v>
      </c>
      <c r="C746">
        <v>2017</v>
      </c>
      <c r="D746">
        <f t="shared" si="20"/>
        <v>69</v>
      </c>
      <c r="E746" t="s">
        <v>6</v>
      </c>
      <c r="F746">
        <v>14.284599999999998</v>
      </c>
    </row>
    <row r="747" spans="1:6" hidden="1" x14ac:dyDescent="0.25">
      <c r="A747" t="s">
        <v>11</v>
      </c>
      <c r="B747" s="2">
        <v>42804</v>
      </c>
      <c r="C747">
        <v>2017</v>
      </c>
      <c r="D747">
        <f t="shared" si="20"/>
        <v>69</v>
      </c>
      <c r="E747" t="s">
        <v>6</v>
      </c>
      <c r="F747">
        <v>14.5383</v>
      </c>
    </row>
    <row r="748" spans="1:6" hidden="1" x14ac:dyDescent="0.25">
      <c r="A748" t="s">
        <v>11</v>
      </c>
      <c r="B748" s="2">
        <v>42816</v>
      </c>
      <c r="C748">
        <v>2017</v>
      </c>
      <c r="D748">
        <f t="shared" si="20"/>
        <v>81</v>
      </c>
      <c r="E748" t="s">
        <v>6</v>
      </c>
      <c r="F748">
        <v>17.3004</v>
      </c>
    </row>
    <row r="749" spans="1:6" hidden="1" x14ac:dyDescent="0.25">
      <c r="A749" t="s">
        <v>11</v>
      </c>
      <c r="B749" s="2">
        <v>42817</v>
      </c>
      <c r="C749">
        <v>2017</v>
      </c>
      <c r="D749">
        <f t="shared" si="20"/>
        <v>82</v>
      </c>
      <c r="E749" t="s">
        <v>6</v>
      </c>
      <c r="F749">
        <v>15.833999999999998</v>
      </c>
    </row>
    <row r="750" spans="1:6" hidden="1" x14ac:dyDescent="0.25">
      <c r="A750" t="s">
        <v>11</v>
      </c>
      <c r="B750" s="2">
        <v>42817</v>
      </c>
      <c r="C750">
        <v>2017</v>
      </c>
      <c r="D750">
        <f t="shared" si="20"/>
        <v>82</v>
      </c>
      <c r="E750" t="s">
        <v>6</v>
      </c>
      <c r="F750">
        <v>16.7029</v>
      </c>
    </row>
    <row r="751" spans="1:6" hidden="1" x14ac:dyDescent="0.25">
      <c r="A751" t="s">
        <v>11</v>
      </c>
      <c r="B751" s="2">
        <v>42817</v>
      </c>
      <c r="C751">
        <v>2017</v>
      </c>
      <c r="D751">
        <f t="shared" si="20"/>
        <v>82</v>
      </c>
      <c r="E751" t="s">
        <v>6</v>
      </c>
      <c r="F751">
        <v>16.610599999999998</v>
      </c>
    </row>
    <row r="752" spans="1:6" hidden="1" x14ac:dyDescent="0.25">
      <c r="A752" t="s">
        <v>11</v>
      </c>
      <c r="B752" s="2">
        <v>42831</v>
      </c>
      <c r="C752">
        <v>2017</v>
      </c>
      <c r="D752">
        <f t="shared" si="20"/>
        <v>96</v>
      </c>
      <c r="E752" t="s">
        <v>6</v>
      </c>
      <c r="F752">
        <v>20.302099999999999</v>
      </c>
    </row>
    <row r="753" spans="1:6" hidden="1" x14ac:dyDescent="0.25">
      <c r="A753" t="s">
        <v>11</v>
      </c>
      <c r="B753" s="2">
        <v>42832</v>
      </c>
      <c r="C753">
        <v>2017</v>
      </c>
      <c r="D753">
        <f t="shared" si="20"/>
        <v>97</v>
      </c>
      <c r="E753" t="s">
        <v>6</v>
      </c>
      <c r="F753">
        <v>17.552</v>
      </c>
    </row>
    <row r="754" spans="1:6" hidden="1" x14ac:dyDescent="0.25">
      <c r="A754" t="s">
        <v>11</v>
      </c>
      <c r="B754" s="2">
        <v>42832</v>
      </c>
      <c r="C754">
        <v>2017</v>
      </c>
      <c r="D754">
        <f t="shared" si="20"/>
        <v>97</v>
      </c>
      <c r="E754" t="s">
        <v>6</v>
      </c>
      <c r="F754">
        <v>18.972800000000003</v>
      </c>
    </row>
    <row r="755" spans="1:6" hidden="1" x14ac:dyDescent="0.25">
      <c r="A755" t="s">
        <v>11</v>
      </c>
      <c r="B755" s="2">
        <v>42832</v>
      </c>
      <c r="C755">
        <v>2017</v>
      </c>
      <c r="D755">
        <f t="shared" si="20"/>
        <v>97</v>
      </c>
      <c r="E755" t="s">
        <v>6</v>
      </c>
      <c r="F755">
        <v>18.937799999999999</v>
      </c>
    </row>
    <row r="756" spans="1:6" hidden="1" x14ac:dyDescent="0.25">
      <c r="A756" t="s">
        <v>11</v>
      </c>
      <c r="B756" s="2">
        <v>42837</v>
      </c>
      <c r="C756">
        <v>2017</v>
      </c>
      <c r="D756">
        <f t="shared" si="20"/>
        <v>102</v>
      </c>
      <c r="E756" t="s">
        <v>6</v>
      </c>
      <c r="F756">
        <v>20.720700000000001</v>
      </c>
    </row>
    <row r="757" spans="1:6" hidden="1" x14ac:dyDescent="0.25">
      <c r="A757" t="s">
        <v>11</v>
      </c>
      <c r="B757" s="2">
        <v>42838</v>
      </c>
      <c r="C757">
        <v>2017</v>
      </c>
      <c r="D757">
        <f t="shared" si="20"/>
        <v>103</v>
      </c>
      <c r="E757" t="s">
        <v>6</v>
      </c>
      <c r="F757">
        <v>18.531100000000002</v>
      </c>
    </row>
    <row r="758" spans="1:6" hidden="1" x14ac:dyDescent="0.25">
      <c r="A758" t="s">
        <v>11</v>
      </c>
      <c r="B758" s="2">
        <v>42838</v>
      </c>
      <c r="C758">
        <v>2017</v>
      </c>
      <c r="D758">
        <f t="shared" si="20"/>
        <v>103</v>
      </c>
      <c r="E758" t="s">
        <v>6</v>
      </c>
      <c r="F758">
        <v>19.588800000000003</v>
      </c>
    </row>
    <row r="759" spans="1:6" hidden="1" x14ac:dyDescent="0.25">
      <c r="A759" t="s">
        <v>11</v>
      </c>
      <c r="B759" s="2">
        <v>42838</v>
      </c>
      <c r="C759">
        <v>2017</v>
      </c>
      <c r="D759">
        <f t="shared" si="20"/>
        <v>103</v>
      </c>
      <c r="E759" t="s">
        <v>6</v>
      </c>
      <c r="F759">
        <v>19.1751</v>
      </c>
    </row>
    <row r="760" spans="1:6" hidden="1" x14ac:dyDescent="0.25">
      <c r="A760" t="s">
        <v>11</v>
      </c>
      <c r="B760" s="2">
        <v>42844</v>
      </c>
      <c r="C760">
        <v>2017</v>
      </c>
      <c r="D760">
        <f t="shared" si="20"/>
        <v>109</v>
      </c>
      <c r="E760" t="s">
        <v>6</v>
      </c>
      <c r="F760">
        <v>21.203699999999998</v>
      </c>
    </row>
    <row r="761" spans="1:6" hidden="1" x14ac:dyDescent="0.25">
      <c r="A761" t="s">
        <v>11</v>
      </c>
      <c r="B761" s="2">
        <v>42845</v>
      </c>
      <c r="C761">
        <v>2017</v>
      </c>
      <c r="D761">
        <f t="shared" si="20"/>
        <v>110</v>
      </c>
      <c r="E761" t="s">
        <v>6</v>
      </c>
      <c r="F761">
        <v>18.908000000000001</v>
      </c>
    </row>
    <row r="762" spans="1:6" hidden="1" x14ac:dyDescent="0.25">
      <c r="A762" t="s">
        <v>11</v>
      </c>
      <c r="B762" s="2">
        <v>42845</v>
      </c>
      <c r="C762">
        <v>2017</v>
      </c>
      <c r="D762">
        <f t="shared" si="20"/>
        <v>110</v>
      </c>
      <c r="E762" t="s">
        <v>6</v>
      </c>
      <c r="F762">
        <v>19.421499999999998</v>
      </c>
    </row>
    <row r="763" spans="1:6" hidden="1" x14ac:dyDescent="0.25">
      <c r="A763" t="s">
        <v>11</v>
      </c>
      <c r="B763" s="2">
        <v>42845</v>
      </c>
      <c r="C763">
        <v>2017</v>
      </c>
      <c r="D763">
        <f t="shared" si="20"/>
        <v>110</v>
      </c>
      <c r="E763" t="s">
        <v>6</v>
      </c>
      <c r="F763">
        <v>20.1936</v>
      </c>
    </row>
    <row r="764" spans="1:6" hidden="1" x14ac:dyDescent="0.25">
      <c r="A764" t="s">
        <v>11</v>
      </c>
      <c r="B764" s="2">
        <v>42853</v>
      </c>
      <c r="C764">
        <v>2017</v>
      </c>
      <c r="D764">
        <f t="shared" si="20"/>
        <v>118</v>
      </c>
      <c r="E764" t="s">
        <v>6</v>
      </c>
      <c r="F764">
        <v>19.071399999999997</v>
      </c>
    </row>
    <row r="765" spans="1:6" hidden="1" x14ac:dyDescent="0.25">
      <c r="A765" t="s">
        <v>11</v>
      </c>
      <c r="B765" s="2">
        <v>42853</v>
      </c>
      <c r="C765">
        <v>2017</v>
      </c>
      <c r="D765">
        <f t="shared" si="20"/>
        <v>118</v>
      </c>
      <c r="E765" t="s">
        <v>6</v>
      </c>
      <c r="F765">
        <v>20.347199999999997</v>
      </c>
    </row>
    <row r="766" spans="1:6" hidden="1" x14ac:dyDescent="0.25">
      <c r="A766" t="s">
        <v>11</v>
      </c>
      <c r="B766" s="2">
        <v>42853</v>
      </c>
      <c r="C766">
        <v>2017</v>
      </c>
      <c r="D766">
        <f t="shared" si="20"/>
        <v>118</v>
      </c>
      <c r="E766" t="s">
        <v>6</v>
      </c>
      <c r="F766">
        <v>20.553000000000001</v>
      </c>
    </row>
    <row r="767" spans="1:6" hidden="1" x14ac:dyDescent="0.25">
      <c r="A767" t="s">
        <v>11</v>
      </c>
      <c r="B767" s="2">
        <v>42853</v>
      </c>
      <c r="C767">
        <v>2017</v>
      </c>
      <c r="D767">
        <f t="shared" si="20"/>
        <v>118</v>
      </c>
      <c r="E767" t="s">
        <v>6</v>
      </c>
      <c r="F767">
        <v>22.151000000000003</v>
      </c>
    </row>
    <row r="768" spans="1:6" hidden="1" x14ac:dyDescent="0.25">
      <c r="A768" t="s">
        <v>11</v>
      </c>
      <c r="B768" s="2">
        <v>42858</v>
      </c>
      <c r="C768">
        <v>2017</v>
      </c>
      <c r="D768">
        <f t="shared" si="20"/>
        <v>123</v>
      </c>
      <c r="E768" t="s">
        <v>6</v>
      </c>
      <c r="F768">
        <v>23.3748</v>
      </c>
    </row>
    <row r="769" spans="1:6" hidden="1" x14ac:dyDescent="0.25">
      <c r="A769" t="s">
        <v>11</v>
      </c>
      <c r="B769" s="2">
        <v>42859</v>
      </c>
      <c r="C769">
        <v>2017</v>
      </c>
      <c r="D769">
        <f t="shared" si="20"/>
        <v>124</v>
      </c>
      <c r="E769" t="s">
        <v>6</v>
      </c>
      <c r="F769">
        <v>21.057599999999997</v>
      </c>
    </row>
    <row r="770" spans="1:6" hidden="1" x14ac:dyDescent="0.25">
      <c r="A770" t="s">
        <v>11</v>
      </c>
      <c r="B770" s="2">
        <v>42860</v>
      </c>
      <c r="C770">
        <v>2017</v>
      </c>
      <c r="D770">
        <f t="shared" ref="D770:D833" si="21">B770-DATE(YEAR(B770),1,0)</f>
        <v>125</v>
      </c>
      <c r="E770" t="s">
        <v>6</v>
      </c>
      <c r="F770">
        <v>19.488000000000003</v>
      </c>
    </row>
    <row r="771" spans="1:6" hidden="1" x14ac:dyDescent="0.25">
      <c r="A771" t="s">
        <v>11</v>
      </c>
      <c r="B771" s="2">
        <v>42860</v>
      </c>
      <c r="C771">
        <v>2017</v>
      </c>
      <c r="D771">
        <f t="shared" si="21"/>
        <v>125</v>
      </c>
      <c r="E771" t="s">
        <v>6</v>
      </c>
      <c r="F771">
        <v>20.897999999999996</v>
      </c>
    </row>
    <row r="772" spans="1:6" hidden="1" x14ac:dyDescent="0.25">
      <c r="A772" t="s">
        <v>11</v>
      </c>
      <c r="B772" s="2">
        <v>42872</v>
      </c>
      <c r="C772">
        <v>2017</v>
      </c>
      <c r="D772">
        <f t="shared" si="21"/>
        <v>137</v>
      </c>
      <c r="E772" t="s">
        <v>6</v>
      </c>
      <c r="F772">
        <v>23.063099999999999</v>
      </c>
    </row>
    <row r="773" spans="1:6" hidden="1" x14ac:dyDescent="0.25">
      <c r="A773" t="s">
        <v>11</v>
      </c>
      <c r="B773" s="2">
        <v>42873</v>
      </c>
      <c r="C773">
        <v>2017</v>
      </c>
      <c r="D773">
        <f t="shared" si="21"/>
        <v>138</v>
      </c>
      <c r="E773" t="s">
        <v>6</v>
      </c>
      <c r="F773">
        <v>20.915199999999999</v>
      </c>
    </row>
    <row r="774" spans="1:6" hidden="1" x14ac:dyDescent="0.25">
      <c r="A774" t="s">
        <v>11</v>
      </c>
      <c r="B774" s="2">
        <v>42873</v>
      </c>
      <c r="C774">
        <v>2017</v>
      </c>
      <c r="D774">
        <f t="shared" si="21"/>
        <v>138</v>
      </c>
      <c r="E774" t="s">
        <v>6</v>
      </c>
      <c r="F774">
        <v>21.977199999999996</v>
      </c>
    </row>
    <row r="775" spans="1:6" hidden="1" x14ac:dyDescent="0.25">
      <c r="A775" t="s">
        <v>11</v>
      </c>
      <c r="B775" s="2">
        <v>42873</v>
      </c>
      <c r="C775">
        <v>2017</v>
      </c>
      <c r="D775">
        <f t="shared" si="21"/>
        <v>138</v>
      </c>
      <c r="E775" t="s">
        <v>6</v>
      </c>
      <c r="F775">
        <v>21.648000000000003</v>
      </c>
    </row>
    <row r="776" spans="1:6" hidden="1" x14ac:dyDescent="0.25">
      <c r="A776" t="s">
        <v>11</v>
      </c>
      <c r="B776" s="2">
        <v>42886</v>
      </c>
      <c r="C776">
        <v>2017</v>
      </c>
      <c r="D776">
        <f t="shared" si="21"/>
        <v>151</v>
      </c>
      <c r="E776" t="s">
        <v>6</v>
      </c>
      <c r="F776">
        <v>23.957999999999998</v>
      </c>
    </row>
    <row r="777" spans="1:6" hidden="1" x14ac:dyDescent="0.25">
      <c r="A777" t="s">
        <v>11</v>
      </c>
      <c r="B777" s="2">
        <v>42887</v>
      </c>
      <c r="C777">
        <v>2017</v>
      </c>
      <c r="D777">
        <f t="shared" si="21"/>
        <v>152</v>
      </c>
      <c r="E777" t="s">
        <v>6</v>
      </c>
      <c r="F777">
        <v>20.253599999999999</v>
      </c>
    </row>
    <row r="778" spans="1:6" hidden="1" x14ac:dyDescent="0.25">
      <c r="A778" t="s">
        <v>11</v>
      </c>
      <c r="B778" s="2">
        <v>42887</v>
      </c>
      <c r="C778">
        <v>2017</v>
      </c>
      <c r="D778">
        <f t="shared" si="21"/>
        <v>152</v>
      </c>
      <c r="E778" t="s">
        <v>6</v>
      </c>
      <c r="F778">
        <v>22.2911</v>
      </c>
    </row>
    <row r="779" spans="1:6" hidden="1" x14ac:dyDescent="0.25">
      <c r="A779" t="s">
        <v>11</v>
      </c>
      <c r="B779" s="2">
        <v>42887</v>
      </c>
      <c r="C779">
        <v>2017</v>
      </c>
      <c r="D779">
        <f t="shared" si="21"/>
        <v>152</v>
      </c>
      <c r="E779" t="s">
        <v>6</v>
      </c>
      <c r="F779">
        <v>22.445999999999998</v>
      </c>
    </row>
    <row r="780" spans="1:6" hidden="1" x14ac:dyDescent="0.25">
      <c r="A780" t="s">
        <v>11</v>
      </c>
      <c r="B780" s="2">
        <v>42893</v>
      </c>
      <c r="C780">
        <v>2017</v>
      </c>
      <c r="D780">
        <f t="shared" si="21"/>
        <v>158</v>
      </c>
      <c r="E780" t="s">
        <v>6</v>
      </c>
      <c r="F780">
        <v>21.300999999999998</v>
      </c>
    </row>
    <row r="781" spans="1:6" hidden="1" x14ac:dyDescent="0.25">
      <c r="A781" t="s">
        <v>11</v>
      </c>
      <c r="B781" s="2">
        <v>42893</v>
      </c>
      <c r="C781">
        <v>2017</v>
      </c>
      <c r="D781">
        <f t="shared" si="21"/>
        <v>158</v>
      </c>
      <c r="E781" t="s">
        <v>6</v>
      </c>
      <c r="F781">
        <v>21.573600000000003</v>
      </c>
    </row>
    <row r="782" spans="1:6" hidden="1" x14ac:dyDescent="0.25">
      <c r="A782" t="s">
        <v>11</v>
      </c>
      <c r="B782" s="2">
        <v>42894</v>
      </c>
      <c r="C782">
        <v>2017</v>
      </c>
      <c r="D782">
        <f t="shared" si="21"/>
        <v>159</v>
      </c>
      <c r="E782" t="s">
        <v>6</v>
      </c>
      <c r="F782">
        <v>23.470199999999998</v>
      </c>
    </row>
    <row r="783" spans="1:6" hidden="1" x14ac:dyDescent="0.25">
      <c r="A783" t="s">
        <v>11</v>
      </c>
      <c r="B783" s="2">
        <v>42907</v>
      </c>
      <c r="C783">
        <v>2017</v>
      </c>
      <c r="D783">
        <f t="shared" si="21"/>
        <v>172</v>
      </c>
      <c r="E783" t="s">
        <v>6</v>
      </c>
      <c r="F783">
        <v>20.5625</v>
      </c>
    </row>
    <row r="784" spans="1:6" hidden="1" x14ac:dyDescent="0.25">
      <c r="A784" t="s">
        <v>11</v>
      </c>
      <c r="B784" s="2">
        <v>42907</v>
      </c>
      <c r="C784">
        <v>2017</v>
      </c>
      <c r="D784">
        <f t="shared" si="21"/>
        <v>172</v>
      </c>
      <c r="E784" t="s">
        <v>6</v>
      </c>
      <c r="F784">
        <v>21.905999999999999</v>
      </c>
    </row>
    <row r="785" spans="1:6" hidden="1" x14ac:dyDescent="0.25">
      <c r="A785" t="s">
        <v>11</v>
      </c>
      <c r="B785" s="2">
        <v>42908</v>
      </c>
      <c r="C785">
        <v>2017</v>
      </c>
      <c r="D785">
        <f t="shared" si="21"/>
        <v>173</v>
      </c>
      <c r="E785" t="s">
        <v>6</v>
      </c>
      <c r="F785">
        <v>23.157800000000002</v>
      </c>
    </row>
    <row r="786" spans="1:6" hidden="1" x14ac:dyDescent="0.25">
      <c r="A786" t="s">
        <v>12</v>
      </c>
      <c r="B786" s="2">
        <v>43116</v>
      </c>
      <c r="C786">
        <v>2018</v>
      </c>
      <c r="D786">
        <f t="shared" si="21"/>
        <v>16</v>
      </c>
      <c r="E786" t="s">
        <v>6</v>
      </c>
      <c r="F786">
        <v>4.8048000000000002</v>
      </c>
    </row>
    <row r="787" spans="1:6" hidden="1" x14ac:dyDescent="0.25">
      <c r="A787" t="s">
        <v>12</v>
      </c>
      <c r="B787" s="2">
        <v>43116</v>
      </c>
      <c r="C787">
        <v>2018</v>
      </c>
      <c r="D787">
        <f t="shared" si="21"/>
        <v>16</v>
      </c>
      <c r="E787" t="s">
        <v>6</v>
      </c>
      <c r="F787">
        <v>3.8827999999999996</v>
      </c>
    </row>
    <row r="788" spans="1:6" hidden="1" x14ac:dyDescent="0.25">
      <c r="A788" t="s">
        <v>12</v>
      </c>
      <c r="B788" s="2">
        <v>43151</v>
      </c>
      <c r="C788">
        <v>2018</v>
      </c>
      <c r="D788">
        <f t="shared" si="21"/>
        <v>51</v>
      </c>
      <c r="E788" t="s">
        <v>6</v>
      </c>
      <c r="F788">
        <v>10.344599999999998</v>
      </c>
    </row>
    <row r="789" spans="1:6" hidden="1" x14ac:dyDescent="0.25">
      <c r="A789" t="s">
        <v>12</v>
      </c>
      <c r="B789" s="2">
        <v>43151</v>
      </c>
      <c r="C789">
        <v>2018</v>
      </c>
      <c r="D789">
        <f t="shared" si="21"/>
        <v>51</v>
      </c>
      <c r="E789" t="s">
        <v>6</v>
      </c>
      <c r="F789">
        <v>9.0858000000000008</v>
      </c>
    </row>
    <row r="790" spans="1:6" hidden="1" x14ac:dyDescent="0.25">
      <c r="A790" t="s">
        <v>12</v>
      </c>
      <c r="B790" s="2">
        <v>43165</v>
      </c>
      <c r="C790">
        <v>2018</v>
      </c>
      <c r="D790">
        <f t="shared" si="21"/>
        <v>65</v>
      </c>
      <c r="E790" t="s">
        <v>6</v>
      </c>
      <c r="F790">
        <v>12.855700000000002</v>
      </c>
    </row>
    <row r="791" spans="1:6" hidden="1" x14ac:dyDescent="0.25">
      <c r="A791" t="s">
        <v>12</v>
      </c>
      <c r="B791" s="2">
        <v>43165</v>
      </c>
      <c r="C791">
        <v>2018</v>
      </c>
      <c r="D791">
        <f t="shared" si="21"/>
        <v>65</v>
      </c>
      <c r="E791" t="s">
        <v>6</v>
      </c>
      <c r="F791">
        <v>11.650799999999998</v>
      </c>
    </row>
    <row r="792" spans="1:6" hidden="1" x14ac:dyDescent="0.25">
      <c r="A792" t="s">
        <v>12</v>
      </c>
      <c r="B792" s="2">
        <v>43179</v>
      </c>
      <c r="C792">
        <v>2018</v>
      </c>
      <c r="D792">
        <f t="shared" si="21"/>
        <v>79</v>
      </c>
      <c r="E792" t="s">
        <v>6</v>
      </c>
      <c r="F792">
        <v>14.632400000000001</v>
      </c>
    </row>
    <row r="793" spans="1:6" hidden="1" x14ac:dyDescent="0.25">
      <c r="A793" t="s">
        <v>12</v>
      </c>
      <c r="B793" s="2">
        <v>43179</v>
      </c>
      <c r="C793">
        <v>2018</v>
      </c>
      <c r="D793">
        <f t="shared" si="21"/>
        <v>79</v>
      </c>
      <c r="E793" t="s">
        <v>6</v>
      </c>
      <c r="F793">
        <v>13.244699999999998</v>
      </c>
    </row>
    <row r="794" spans="1:6" hidden="1" x14ac:dyDescent="0.25">
      <c r="A794" t="s">
        <v>12</v>
      </c>
      <c r="B794" s="2">
        <v>43195</v>
      </c>
      <c r="C794">
        <v>2018</v>
      </c>
      <c r="D794">
        <f t="shared" si="21"/>
        <v>95</v>
      </c>
      <c r="E794" t="s">
        <v>6</v>
      </c>
      <c r="F794">
        <v>16.777199999999997</v>
      </c>
    </row>
    <row r="795" spans="1:6" hidden="1" x14ac:dyDescent="0.25">
      <c r="A795" t="s">
        <v>12</v>
      </c>
      <c r="B795" s="2">
        <v>43195</v>
      </c>
      <c r="C795">
        <v>2018</v>
      </c>
      <c r="D795">
        <f t="shared" si="21"/>
        <v>95</v>
      </c>
      <c r="E795" t="s">
        <v>6</v>
      </c>
      <c r="F795">
        <v>15.1228</v>
      </c>
    </row>
    <row r="796" spans="1:6" hidden="1" x14ac:dyDescent="0.25">
      <c r="A796" t="s">
        <v>12</v>
      </c>
      <c r="B796" s="2">
        <v>43201</v>
      </c>
      <c r="C796">
        <v>2018</v>
      </c>
      <c r="D796">
        <f t="shared" si="21"/>
        <v>101</v>
      </c>
      <c r="E796" t="s">
        <v>6</v>
      </c>
      <c r="F796">
        <v>17.513000000000002</v>
      </c>
    </row>
    <row r="797" spans="1:6" hidden="1" x14ac:dyDescent="0.25">
      <c r="A797" t="s">
        <v>12</v>
      </c>
      <c r="B797" s="2">
        <v>43201</v>
      </c>
      <c r="C797">
        <v>2018</v>
      </c>
      <c r="D797">
        <f t="shared" si="21"/>
        <v>101</v>
      </c>
      <c r="E797" t="s">
        <v>6</v>
      </c>
      <c r="F797">
        <v>15.6104</v>
      </c>
    </row>
    <row r="798" spans="1:6" hidden="1" x14ac:dyDescent="0.25">
      <c r="A798" t="s">
        <v>12</v>
      </c>
      <c r="B798" s="2">
        <v>43209</v>
      </c>
      <c r="C798">
        <v>2018</v>
      </c>
      <c r="D798">
        <f t="shared" si="21"/>
        <v>109</v>
      </c>
      <c r="E798" t="s">
        <v>6</v>
      </c>
      <c r="F798">
        <v>18.920000000000002</v>
      </c>
    </row>
    <row r="799" spans="1:6" hidden="1" x14ac:dyDescent="0.25">
      <c r="A799" t="s">
        <v>12</v>
      </c>
      <c r="B799" s="2">
        <v>43209</v>
      </c>
      <c r="C799">
        <v>2018</v>
      </c>
      <c r="D799">
        <f t="shared" si="21"/>
        <v>109</v>
      </c>
      <c r="E799" t="s">
        <v>6</v>
      </c>
      <c r="F799">
        <v>15.888</v>
      </c>
    </row>
    <row r="800" spans="1:6" hidden="1" x14ac:dyDescent="0.25">
      <c r="A800" t="s">
        <v>12</v>
      </c>
      <c r="B800" s="2">
        <v>43215</v>
      </c>
      <c r="C800">
        <v>2018</v>
      </c>
      <c r="D800">
        <f t="shared" si="21"/>
        <v>115</v>
      </c>
      <c r="E800" t="s">
        <v>6</v>
      </c>
      <c r="F800">
        <v>19.357200000000002</v>
      </c>
    </row>
    <row r="801" spans="1:8" hidden="1" x14ac:dyDescent="0.25">
      <c r="A801" t="s">
        <v>12</v>
      </c>
      <c r="B801" s="2">
        <v>43215</v>
      </c>
      <c r="C801">
        <v>2018</v>
      </c>
      <c r="D801">
        <f t="shared" si="21"/>
        <v>115</v>
      </c>
      <c r="E801" t="s">
        <v>6</v>
      </c>
      <c r="F801">
        <v>17.024000000000001</v>
      </c>
    </row>
    <row r="802" spans="1:8" hidden="1" x14ac:dyDescent="0.25">
      <c r="A802" t="s">
        <v>12</v>
      </c>
      <c r="B802" s="2">
        <v>43221</v>
      </c>
      <c r="C802">
        <v>2018</v>
      </c>
      <c r="D802">
        <f t="shared" si="21"/>
        <v>121</v>
      </c>
      <c r="E802" t="s">
        <v>6</v>
      </c>
      <c r="F802">
        <v>20.462399999999999</v>
      </c>
      <c r="G802">
        <f>Calculations!E4</f>
        <v>18.162852040311396</v>
      </c>
      <c r="H802" t="s">
        <v>27</v>
      </c>
    </row>
    <row r="803" spans="1:8" hidden="1" x14ac:dyDescent="0.25">
      <c r="A803" t="s">
        <v>12</v>
      </c>
      <c r="B803" s="2">
        <v>43221</v>
      </c>
      <c r="C803">
        <v>2018</v>
      </c>
      <c r="D803">
        <f t="shared" si="21"/>
        <v>121</v>
      </c>
      <c r="E803" t="s">
        <v>6</v>
      </c>
      <c r="F803">
        <v>18.094000000000001</v>
      </c>
    </row>
    <row r="804" spans="1:8" hidden="1" x14ac:dyDescent="0.25">
      <c r="A804" t="s">
        <v>12</v>
      </c>
      <c r="B804" s="2">
        <v>43235</v>
      </c>
      <c r="C804">
        <v>2018</v>
      </c>
      <c r="D804">
        <f t="shared" si="21"/>
        <v>135</v>
      </c>
      <c r="E804" t="s">
        <v>6</v>
      </c>
      <c r="F804">
        <v>20.833099999999998</v>
      </c>
    </row>
    <row r="805" spans="1:8" hidden="1" x14ac:dyDescent="0.25">
      <c r="A805" t="s">
        <v>12</v>
      </c>
      <c r="B805" s="2">
        <v>43235</v>
      </c>
      <c r="C805">
        <v>2018</v>
      </c>
      <c r="D805">
        <f t="shared" si="21"/>
        <v>135</v>
      </c>
      <c r="E805" t="s">
        <v>6</v>
      </c>
      <c r="F805">
        <v>17.977800000000002</v>
      </c>
    </row>
    <row r="806" spans="1:8" hidden="1" x14ac:dyDescent="0.25">
      <c r="A806" t="s">
        <v>12</v>
      </c>
      <c r="B806" s="2">
        <v>43249</v>
      </c>
      <c r="C806">
        <v>2018</v>
      </c>
      <c r="D806">
        <f t="shared" si="21"/>
        <v>149</v>
      </c>
      <c r="E806" t="s">
        <v>6</v>
      </c>
      <c r="F806">
        <v>20.935199999999998</v>
      </c>
    </row>
    <row r="807" spans="1:8" hidden="1" x14ac:dyDescent="0.25">
      <c r="A807" t="s">
        <v>12</v>
      </c>
      <c r="B807" s="2">
        <v>43249</v>
      </c>
      <c r="C807">
        <v>2018</v>
      </c>
      <c r="D807">
        <f t="shared" si="21"/>
        <v>149</v>
      </c>
      <c r="E807" t="s">
        <v>6</v>
      </c>
      <c r="F807">
        <v>18.2515</v>
      </c>
    </row>
    <row r="808" spans="1:8" hidden="1" x14ac:dyDescent="0.25">
      <c r="A808" t="s">
        <v>12</v>
      </c>
      <c r="B808" s="2">
        <v>43116</v>
      </c>
      <c r="C808">
        <v>2018</v>
      </c>
      <c r="D808">
        <f t="shared" si="21"/>
        <v>16</v>
      </c>
      <c r="E808" t="s">
        <v>6</v>
      </c>
      <c r="F808">
        <v>4.3664999999999994</v>
      </c>
    </row>
    <row r="809" spans="1:8" hidden="1" x14ac:dyDescent="0.25">
      <c r="A809" t="s">
        <v>12</v>
      </c>
      <c r="B809" s="2">
        <v>43151</v>
      </c>
      <c r="C809">
        <v>2018</v>
      </c>
      <c r="D809">
        <f t="shared" si="21"/>
        <v>51</v>
      </c>
      <c r="E809" t="s">
        <v>6</v>
      </c>
      <c r="F809">
        <v>9.3225000000000016</v>
      </c>
    </row>
    <row r="810" spans="1:8" hidden="1" x14ac:dyDescent="0.25">
      <c r="A810" t="s">
        <v>12</v>
      </c>
      <c r="B810" s="2">
        <v>43165</v>
      </c>
      <c r="C810">
        <v>2018</v>
      </c>
      <c r="D810">
        <f t="shared" si="21"/>
        <v>65</v>
      </c>
      <c r="E810" t="s">
        <v>6</v>
      </c>
      <c r="F810">
        <v>12.8369</v>
      </c>
    </row>
    <row r="811" spans="1:8" hidden="1" x14ac:dyDescent="0.25">
      <c r="A811" t="s">
        <v>12</v>
      </c>
      <c r="B811" s="2">
        <v>43179</v>
      </c>
      <c r="C811">
        <v>2018</v>
      </c>
      <c r="D811">
        <f t="shared" si="21"/>
        <v>79</v>
      </c>
      <c r="E811" t="s">
        <v>6</v>
      </c>
      <c r="F811">
        <v>14.657400000000001</v>
      </c>
    </row>
    <row r="812" spans="1:8" hidden="1" x14ac:dyDescent="0.25">
      <c r="A812" t="s">
        <v>12</v>
      </c>
      <c r="B812" s="2">
        <v>43194</v>
      </c>
      <c r="C812">
        <v>2018</v>
      </c>
      <c r="D812">
        <f t="shared" si="21"/>
        <v>94</v>
      </c>
      <c r="E812" t="s">
        <v>6</v>
      </c>
      <c r="F812">
        <v>16.758600000000001</v>
      </c>
    </row>
    <row r="813" spans="1:8" hidden="1" x14ac:dyDescent="0.25">
      <c r="A813" t="s">
        <v>12</v>
      </c>
      <c r="B813" s="2">
        <v>43201</v>
      </c>
      <c r="C813">
        <v>2018</v>
      </c>
      <c r="D813">
        <f t="shared" si="21"/>
        <v>101</v>
      </c>
      <c r="E813" t="s">
        <v>6</v>
      </c>
      <c r="F813">
        <v>17.236800000000002</v>
      </c>
    </row>
    <row r="814" spans="1:8" hidden="1" x14ac:dyDescent="0.25">
      <c r="A814" t="s">
        <v>12</v>
      </c>
      <c r="B814" s="2">
        <v>43209</v>
      </c>
      <c r="C814">
        <v>2018</v>
      </c>
      <c r="D814">
        <f t="shared" si="21"/>
        <v>109</v>
      </c>
      <c r="E814" t="s">
        <v>6</v>
      </c>
      <c r="F814">
        <v>17.750700000000002</v>
      </c>
    </row>
    <row r="815" spans="1:8" hidden="1" x14ac:dyDescent="0.25">
      <c r="A815" t="s">
        <v>12</v>
      </c>
      <c r="B815" s="2">
        <v>43215</v>
      </c>
      <c r="C815">
        <v>2018</v>
      </c>
      <c r="D815">
        <f t="shared" si="21"/>
        <v>115</v>
      </c>
      <c r="E815" t="s">
        <v>6</v>
      </c>
      <c r="F815">
        <v>18.916800000000002</v>
      </c>
    </row>
    <row r="816" spans="1:8" hidden="1" x14ac:dyDescent="0.25">
      <c r="A816" t="s">
        <v>12</v>
      </c>
      <c r="B816" s="2">
        <v>43221</v>
      </c>
      <c r="C816">
        <v>2018</v>
      </c>
      <c r="D816">
        <f t="shared" si="21"/>
        <v>121</v>
      </c>
      <c r="E816" t="s">
        <v>6</v>
      </c>
      <c r="F816">
        <v>19.771000000000001</v>
      </c>
    </row>
    <row r="817" spans="1:9" hidden="1" x14ac:dyDescent="0.25">
      <c r="A817" t="s">
        <v>12</v>
      </c>
      <c r="B817" s="2">
        <v>43235</v>
      </c>
      <c r="C817">
        <v>2018</v>
      </c>
      <c r="D817">
        <f t="shared" si="21"/>
        <v>135</v>
      </c>
      <c r="E817" t="s">
        <v>6</v>
      </c>
      <c r="F817">
        <v>19.929600000000001</v>
      </c>
    </row>
    <row r="818" spans="1:9" hidden="1" x14ac:dyDescent="0.25">
      <c r="A818" t="s">
        <v>12</v>
      </c>
      <c r="B818" s="2">
        <v>43249</v>
      </c>
      <c r="C818">
        <v>2018</v>
      </c>
      <c r="D818">
        <f t="shared" si="21"/>
        <v>149</v>
      </c>
      <c r="E818" t="s">
        <v>6</v>
      </c>
      <c r="F818">
        <v>20.310400000000001</v>
      </c>
    </row>
    <row r="819" spans="1:9" hidden="1" x14ac:dyDescent="0.25">
      <c r="A819" t="s">
        <v>12</v>
      </c>
      <c r="B819" s="2">
        <v>43115</v>
      </c>
      <c r="C819">
        <v>2018</v>
      </c>
      <c r="D819">
        <f t="shared" si="21"/>
        <v>15</v>
      </c>
      <c r="E819" t="s">
        <v>6</v>
      </c>
      <c r="F819">
        <v>4.2911999999999999</v>
      </c>
    </row>
    <row r="820" spans="1:9" hidden="1" x14ac:dyDescent="0.25">
      <c r="A820" t="s">
        <v>12</v>
      </c>
      <c r="B820" s="2">
        <v>43115</v>
      </c>
      <c r="C820">
        <v>2018</v>
      </c>
      <c r="D820">
        <f t="shared" si="21"/>
        <v>15</v>
      </c>
      <c r="E820" t="s">
        <v>6</v>
      </c>
      <c r="F820">
        <v>5.2806000000000006</v>
      </c>
      <c r="I820" s="8"/>
    </row>
    <row r="821" spans="1:9" hidden="1" x14ac:dyDescent="0.25">
      <c r="A821" t="s">
        <v>12</v>
      </c>
      <c r="B821" s="2">
        <v>43116</v>
      </c>
      <c r="C821">
        <v>2018</v>
      </c>
      <c r="D821">
        <f t="shared" si="21"/>
        <v>16</v>
      </c>
      <c r="E821" t="s">
        <v>6</v>
      </c>
      <c r="F821">
        <v>4.6694000000000004</v>
      </c>
    </row>
    <row r="822" spans="1:9" hidden="1" x14ac:dyDescent="0.25">
      <c r="A822" t="s">
        <v>12</v>
      </c>
      <c r="B822" s="2">
        <v>43116</v>
      </c>
      <c r="C822">
        <v>2018</v>
      </c>
      <c r="D822">
        <f t="shared" si="21"/>
        <v>16</v>
      </c>
      <c r="E822" t="s">
        <v>6</v>
      </c>
      <c r="F822">
        <v>5.0616000000000012</v>
      </c>
    </row>
    <row r="823" spans="1:9" hidden="1" x14ac:dyDescent="0.25">
      <c r="A823" t="s">
        <v>12</v>
      </c>
      <c r="B823" s="2">
        <v>43150</v>
      </c>
      <c r="C823">
        <v>2018</v>
      </c>
      <c r="D823">
        <f t="shared" si="21"/>
        <v>50</v>
      </c>
      <c r="E823" t="s">
        <v>6</v>
      </c>
      <c r="F823">
        <v>9.9429999999999996</v>
      </c>
    </row>
    <row r="824" spans="1:9" hidden="1" x14ac:dyDescent="0.25">
      <c r="A824" t="s">
        <v>12</v>
      </c>
      <c r="B824" s="2">
        <v>43150</v>
      </c>
      <c r="C824">
        <v>2018</v>
      </c>
      <c r="D824">
        <f t="shared" si="21"/>
        <v>50</v>
      </c>
      <c r="E824" t="s">
        <v>6</v>
      </c>
      <c r="F824">
        <v>10.384</v>
      </c>
    </row>
    <row r="825" spans="1:9" hidden="1" x14ac:dyDescent="0.25">
      <c r="A825" t="s">
        <v>12</v>
      </c>
      <c r="B825" s="2">
        <v>43151</v>
      </c>
      <c r="C825">
        <v>2018</v>
      </c>
      <c r="D825">
        <f t="shared" si="21"/>
        <v>51</v>
      </c>
      <c r="E825" t="s">
        <v>6</v>
      </c>
      <c r="F825">
        <v>8.9551999999999996</v>
      </c>
    </row>
    <row r="826" spans="1:9" hidden="1" x14ac:dyDescent="0.25">
      <c r="A826" t="s">
        <v>12</v>
      </c>
      <c r="B826" s="2">
        <v>43151</v>
      </c>
      <c r="C826">
        <v>2018</v>
      </c>
      <c r="D826">
        <f t="shared" si="21"/>
        <v>51</v>
      </c>
      <c r="E826" t="s">
        <v>6</v>
      </c>
      <c r="F826">
        <v>10.104000000000001</v>
      </c>
    </row>
    <row r="827" spans="1:9" hidden="1" x14ac:dyDescent="0.25">
      <c r="A827" t="s">
        <v>12</v>
      </c>
      <c r="B827" s="2">
        <v>43164</v>
      </c>
      <c r="C827">
        <v>2018</v>
      </c>
      <c r="D827">
        <f t="shared" si="21"/>
        <v>64</v>
      </c>
      <c r="E827" t="s">
        <v>6</v>
      </c>
      <c r="F827">
        <v>12.623800000000001</v>
      </c>
    </row>
    <row r="828" spans="1:9" hidden="1" x14ac:dyDescent="0.25">
      <c r="A828" t="s">
        <v>12</v>
      </c>
      <c r="B828" s="2">
        <v>43164</v>
      </c>
      <c r="C828">
        <v>2018</v>
      </c>
      <c r="D828">
        <f t="shared" si="21"/>
        <v>64</v>
      </c>
      <c r="E828" t="s">
        <v>6</v>
      </c>
      <c r="F828">
        <v>13.277000000000001</v>
      </c>
    </row>
    <row r="829" spans="1:9" hidden="1" x14ac:dyDescent="0.25">
      <c r="A829" t="s">
        <v>12</v>
      </c>
      <c r="B829" s="2">
        <v>43165</v>
      </c>
      <c r="C829">
        <v>2018</v>
      </c>
      <c r="D829">
        <f t="shared" si="21"/>
        <v>65</v>
      </c>
      <c r="E829" t="s">
        <v>6</v>
      </c>
      <c r="F829">
        <v>11.276800000000001</v>
      </c>
    </row>
    <row r="830" spans="1:9" hidden="1" x14ac:dyDescent="0.25">
      <c r="A830" t="s">
        <v>12</v>
      </c>
      <c r="B830" s="2">
        <v>43165</v>
      </c>
      <c r="C830">
        <v>2018</v>
      </c>
      <c r="D830">
        <f t="shared" si="21"/>
        <v>65</v>
      </c>
      <c r="E830" t="s">
        <v>6</v>
      </c>
      <c r="F830">
        <v>13.3527</v>
      </c>
    </row>
    <row r="831" spans="1:9" hidden="1" x14ac:dyDescent="0.25">
      <c r="A831" t="s">
        <v>12</v>
      </c>
      <c r="B831" s="2">
        <v>43178</v>
      </c>
      <c r="C831">
        <v>2018</v>
      </c>
      <c r="D831">
        <f t="shared" si="21"/>
        <v>78</v>
      </c>
      <c r="E831" t="s">
        <v>6</v>
      </c>
      <c r="F831">
        <v>14.0128</v>
      </c>
    </row>
    <row r="832" spans="1:9" hidden="1" x14ac:dyDescent="0.25">
      <c r="A832" t="s">
        <v>12</v>
      </c>
      <c r="B832" s="2">
        <v>43178</v>
      </c>
      <c r="C832">
        <v>2018</v>
      </c>
      <c r="D832">
        <f t="shared" si="21"/>
        <v>78</v>
      </c>
      <c r="E832" t="s">
        <v>6</v>
      </c>
      <c r="F832">
        <v>15.7628</v>
      </c>
    </row>
    <row r="833" spans="1:6" hidden="1" x14ac:dyDescent="0.25">
      <c r="A833" t="s">
        <v>12</v>
      </c>
      <c r="B833" s="2">
        <v>43179</v>
      </c>
      <c r="C833">
        <v>2018</v>
      </c>
      <c r="D833">
        <f t="shared" si="21"/>
        <v>79</v>
      </c>
      <c r="E833" t="s">
        <v>6</v>
      </c>
      <c r="F833">
        <v>13.127099999999999</v>
      </c>
    </row>
    <row r="834" spans="1:6" hidden="1" x14ac:dyDescent="0.25">
      <c r="A834" t="s">
        <v>12</v>
      </c>
      <c r="B834" s="2">
        <v>43179</v>
      </c>
      <c r="C834">
        <v>2018</v>
      </c>
      <c r="D834">
        <f t="shared" ref="D834:D897" si="22">B834-DATE(YEAR(B834),1,0)</f>
        <v>79</v>
      </c>
      <c r="E834" t="s">
        <v>6</v>
      </c>
      <c r="F834">
        <v>14.7339</v>
      </c>
    </row>
    <row r="835" spans="1:6" hidden="1" x14ac:dyDescent="0.25">
      <c r="A835" t="s">
        <v>12</v>
      </c>
      <c r="B835" s="2">
        <v>43194</v>
      </c>
      <c r="C835">
        <v>2018</v>
      </c>
      <c r="D835">
        <f t="shared" si="22"/>
        <v>94</v>
      </c>
      <c r="E835" t="s">
        <v>6</v>
      </c>
      <c r="F835">
        <v>16.005600000000001</v>
      </c>
    </row>
    <row r="836" spans="1:6" hidden="1" x14ac:dyDescent="0.25">
      <c r="A836" t="s">
        <v>12</v>
      </c>
      <c r="B836" s="2">
        <v>43194</v>
      </c>
      <c r="C836">
        <v>2018</v>
      </c>
      <c r="D836">
        <f t="shared" si="22"/>
        <v>94</v>
      </c>
      <c r="E836" t="s">
        <v>6</v>
      </c>
      <c r="F836">
        <v>18.276600000000002</v>
      </c>
    </row>
    <row r="837" spans="1:6" hidden="1" x14ac:dyDescent="0.25">
      <c r="A837" t="s">
        <v>12</v>
      </c>
      <c r="B837" s="2">
        <v>43195</v>
      </c>
      <c r="C837">
        <v>2018</v>
      </c>
      <c r="D837">
        <f t="shared" si="22"/>
        <v>95</v>
      </c>
      <c r="E837" t="s">
        <v>6</v>
      </c>
      <c r="F837">
        <v>14.439400000000001</v>
      </c>
    </row>
    <row r="838" spans="1:6" hidden="1" x14ac:dyDescent="0.25">
      <c r="A838" t="s">
        <v>12</v>
      </c>
      <c r="B838" s="2">
        <v>43195</v>
      </c>
      <c r="C838">
        <v>2018</v>
      </c>
      <c r="D838">
        <f t="shared" si="22"/>
        <v>95</v>
      </c>
      <c r="E838" t="s">
        <v>6</v>
      </c>
      <c r="F838">
        <v>16.700600000000001</v>
      </c>
    </row>
    <row r="839" spans="1:6" hidden="1" x14ac:dyDescent="0.25">
      <c r="A839" t="s">
        <v>12</v>
      </c>
      <c r="B839" s="2">
        <v>43200</v>
      </c>
      <c r="C839">
        <v>2018</v>
      </c>
      <c r="D839">
        <f t="shared" si="22"/>
        <v>100</v>
      </c>
      <c r="E839" t="s">
        <v>6</v>
      </c>
      <c r="F839">
        <v>16.164400000000004</v>
      </c>
    </row>
    <row r="840" spans="1:6" hidden="1" x14ac:dyDescent="0.25">
      <c r="A840" t="s">
        <v>12</v>
      </c>
      <c r="B840" s="2">
        <v>43200</v>
      </c>
      <c r="C840">
        <v>2018</v>
      </c>
      <c r="D840">
        <f t="shared" si="22"/>
        <v>100</v>
      </c>
      <c r="E840" t="s">
        <v>6</v>
      </c>
      <c r="F840">
        <v>18.335199999999997</v>
      </c>
    </row>
    <row r="841" spans="1:6" hidden="1" x14ac:dyDescent="0.25">
      <c r="A841" t="s">
        <v>12</v>
      </c>
      <c r="B841" s="2">
        <v>43201</v>
      </c>
      <c r="C841">
        <v>2018</v>
      </c>
      <c r="D841">
        <f t="shared" si="22"/>
        <v>101</v>
      </c>
      <c r="E841" t="s">
        <v>6</v>
      </c>
      <c r="F841">
        <v>14.702199999999999</v>
      </c>
    </row>
    <row r="842" spans="1:6" hidden="1" x14ac:dyDescent="0.25">
      <c r="A842" t="s">
        <v>12</v>
      </c>
      <c r="B842" s="2">
        <v>43201</v>
      </c>
      <c r="C842">
        <v>2018</v>
      </c>
      <c r="D842">
        <f t="shared" si="22"/>
        <v>101</v>
      </c>
      <c r="E842" t="s">
        <v>6</v>
      </c>
      <c r="F842">
        <v>17.832200000000004</v>
      </c>
    </row>
    <row r="843" spans="1:6" hidden="1" x14ac:dyDescent="0.25">
      <c r="A843" t="s">
        <v>12</v>
      </c>
      <c r="B843" s="2">
        <v>43206</v>
      </c>
      <c r="C843">
        <v>2018</v>
      </c>
      <c r="D843">
        <f t="shared" si="22"/>
        <v>106</v>
      </c>
      <c r="E843" t="s">
        <v>6</v>
      </c>
      <c r="F843">
        <v>16.367999999999999</v>
      </c>
    </row>
    <row r="844" spans="1:6" hidden="1" x14ac:dyDescent="0.25">
      <c r="A844" t="s">
        <v>12</v>
      </c>
      <c r="B844" s="2">
        <v>43206</v>
      </c>
      <c r="C844">
        <v>2018</v>
      </c>
      <c r="D844">
        <f t="shared" si="22"/>
        <v>106</v>
      </c>
      <c r="E844" t="s">
        <v>6</v>
      </c>
      <c r="F844">
        <v>18.904</v>
      </c>
    </row>
    <row r="845" spans="1:6" hidden="1" x14ac:dyDescent="0.25">
      <c r="A845" t="s">
        <v>12</v>
      </c>
      <c r="B845" s="2">
        <v>43209</v>
      </c>
      <c r="C845">
        <v>2018</v>
      </c>
      <c r="D845">
        <f t="shared" si="22"/>
        <v>109</v>
      </c>
      <c r="E845" t="s">
        <v>6</v>
      </c>
      <c r="F845">
        <v>15.820200000000002</v>
      </c>
    </row>
    <row r="846" spans="1:6" hidden="1" x14ac:dyDescent="0.25">
      <c r="A846" t="s">
        <v>12</v>
      </c>
      <c r="B846" s="2">
        <v>43209</v>
      </c>
      <c r="C846">
        <v>2018</v>
      </c>
      <c r="D846">
        <f t="shared" si="22"/>
        <v>109</v>
      </c>
      <c r="E846" t="s">
        <v>6</v>
      </c>
      <c r="F846">
        <v>18.990400000000001</v>
      </c>
    </row>
    <row r="847" spans="1:6" hidden="1" x14ac:dyDescent="0.25">
      <c r="A847" t="s">
        <v>12</v>
      </c>
      <c r="B847" s="2">
        <v>43215</v>
      </c>
      <c r="C847">
        <v>2018</v>
      </c>
      <c r="D847">
        <f t="shared" si="22"/>
        <v>115</v>
      </c>
      <c r="E847" t="s">
        <v>6</v>
      </c>
      <c r="F847">
        <v>15.709200000000001</v>
      </c>
    </row>
    <row r="848" spans="1:6" hidden="1" x14ac:dyDescent="0.25">
      <c r="A848" t="s">
        <v>12</v>
      </c>
      <c r="B848" s="2">
        <v>43215</v>
      </c>
      <c r="C848">
        <v>2018</v>
      </c>
      <c r="D848">
        <f t="shared" si="22"/>
        <v>115</v>
      </c>
      <c r="E848" t="s">
        <v>6</v>
      </c>
      <c r="F848">
        <v>17.629200000000004</v>
      </c>
    </row>
    <row r="849" spans="1:6" hidden="1" x14ac:dyDescent="0.25">
      <c r="A849" t="s">
        <v>12</v>
      </c>
      <c r="B849" s="2">
        <v>43215</v>
      </c>
      <c r="C849">
        <v>2018</v>
      </c>
      <c r="D849">
        <f t="shared" si="22"/>
        <v>115</v>
      </c>
      <c r="E849" t="s">
        <v>6</v>
      </c>
      <c r="F849">
        <v>20.212200000000003</v>
      </c>
    </row>
    <row r="850" spans="1:6" hidden="1" x14ac:dyDescent="0.25">
      <c r="A850" t="s">
        <v>12</v>
      </c>
      <c r="B850" s="2">
        <v>43215</v>
      </c>
      <c r="C850">
        <v>2018</v>
      </c>
      <c r="D850">
        <f t="shared" si="22"/>
        <v>115</v>
      </c>
      <c r="E850" t="s">
        <v>6</v>
      </c>
      <c r="F850">
        <v>19.511100000000003</v>
      </c>
    </row>
    <row r="851" spans="1:6" hidden="1" x14ac:dyDescent="0.25">
      <c r="A851" t="s">
        <v>12</v>
      </c>
      <c r="B851" s="2">
        <v>43221</v>
      </c>
      <c r="C851">
        <v>2018</v>
      </c>
      <c r="D851">
        <f t="shared" si="22"/>
        <v>121</v>
      </c>
      <c r="E851" t="s">
        <v>6</v>
      </c>
      <c r="F851">
        <v>17.254300000000001</v>
      </c>
    </row>
    <row r="852" spans="1:6" hidden="1" x14ac:dyDescent="0.25">
      <c r="A852" t="s">
        <v>12</v>
      </c>
      <c r="B852" s="2">
        <v>43221</v>
      </c>
      <c r="C852">
        <v>2018</v>
      </c>
      <c r="D852">
        <f t="shared" si="22"/>
        <v>121</v>
      </c>
      <c r="E852" t="s">
        <v>6</v>
      </c>
      <c r="F852">
        <v>18.990400000000001</v>
      </c>
    </row>
    <row r="853" spans="1:6" hidden="1" x14ac:dyDescent="0.25">
      <c r="A853" t="s">
        <v>12</v>
      </c>
      <c r="B853" s="2">
        <v>43221</v>
      </c>
      <c r="C853">
        <v>2018</v>
      </c>
      <c r="D853">
        <f t="shared" si="22"/>
        <v>121</v>
      </c>
      <c r="E853" t="s">
        <v>6</v>
      </c>
      <c r="F853">
        <v>20.213000000000001</v>
      </c>
    </row>
    <row r="854" spans="1:6" hidden="1" x14ac:dyDescent="0.25">
      <c r="A854" t="s">
        <v>12</v>
      </c>
      <c r="B854" s="2">
        <v>43221</v>
      </c>
      <c r="C854">
        <v>2018</v>
      </c>
      <c r="D854">
        <f t="shared" si="22"/>
        <v>121</v>
      </c>
      <c r="E854" t="s">
        <v>6</v>
      </c>
      <c r="F854">
        <v>20.743199999999998</v>
      </c>
    </row>
    <row r="855" spans="1:6" hidden="1" x14ac:dyDescent="0.25">
      <c r="A855" t="s">
        <v>12</v>
      </c>
      <c r="B855" s="2">
        <v>43234</v>
      </c>
      <c r="C855">
        <v>2018</v>
      </c>
      <c r="D855">
        <f t="shared" si="22"/>
        <v>134</v>
      </c>
      <c r="E855" t="s">
        <v>6</v>
      </c>
      <c r="F855">
        <v>18.177</v>
      </c>
    </row>
    <row r="856" spans="1:6" hidden="1" x14ac:dyDescent="0.25">
      <c r="A856" t="s">
        <v>12</v>
      </c>
      <c r="B856" s="2">
        <v>43234</v>
      </c>
      <c r="C856">
        <v>2018</v>
      </c>
      <c r="D856">
        <f t="shared" si="22"/>
        <v>134</v>
      </c>
      <c r="E856" t="s">
        <v>6</v>
      </c>
      <c r="F856">
        <v>21.1936</v>
      </c>
    </row>
    <row r="857" spans="1:6" hidden="1" x14ac:dyDescent="0.25">
      <c r="A857" t="s">
        <v>12</v>
      </c>
      <c r="B857" s="2">
        <v>43235</v>
      </c>
      <c r="C857">
        <v>2018</v>
      </c>
      <c r="D857">
        <f t="shared" si="22"/>
        <v>135</v>
      </c>
      <c r="E857" t="s">
        <v>6</v>
      </c>
      <c r="F857">
        <v>17.12</v>
      </c>
    </row>
    <row r="858" spans="1:6" hidden="1" x14ac:dyDescent="0.25">
      <c r="A858" t="s">
        <v>12</v>
      </c>
      <c r="B858" s="2">
        <v>43235</v>
      </c>
      <c r="C858">
        <v>2018</v>
      </c>
      <c r="D858">
        <f t="shared" si="22"/>
        <v>135</v>
      </c>
      <c r="E858" t="s">
        <v>6</v>
      </c>
      <c r="F858">
        <v>20.638199999999998</v>
      </c>
    </row>
    <row r="859" spans="1:6" hidden="1" x14ac:dyDescent="0.25">
      <c r="A859" t="s">
        <v>12</v>
      </c>
      <c r="B859" s="2">
        <v>43248</v>
      </c>
      <c r="C859">
        <v>2018</v>
      </c>
      <c r="D859">
        <f t="shared" si="22"/>
        <v>148</v>
      </c>
      <c r="E859" t="s">
        <v>6</v>
      </c>
      <c r="F859">
        <v>19.418800000000001</v>
      </c>
    </row>
    <row r="860" spans="1:6" hidden="1" x14ac:dyDescent="0.25">
      <c r="A860" t="s">
        <v>12</v>
      </c>
      <c r="B860" s="2">
        <v>43248</v>
      </c>
      <c r="C860">
        <v>2018</v>
      </c>
      <c r="D860">
        <f t="shared" si="22"/>
        <v>148</v>
      </c>
      <c r="E860" t="s">
        <v>6</v>
      </c>
      <c r="F860">
        <v>21.730399999999996</v>
      </c>
    </row>
    <row r="861" spans="1:6" hidden="1" x14ac:dyDescent="0.25">
      <c r="A861" t="s">
        <v>12</v>
      </c>
      <c r="B861" s="2">
        <v>43249</v>
      </c>
      <c r="C861">
        <v>2018</v>
      </c>
      <c r="D861">
        <f t="shared" si="22"/>
        <v>149</v>
      </c>
      <c r="E861" t="s">
        <v>6</v>
      </c>
      <c r="F861">
        <v>17.313800000000001</v>
      </c>
    </row>
    <row r="862" spans="1:6" hidden="1" x14ac:dyDescent="0.25">
      <c r="A862" t="s">
        <v>12</v>
      </c>
      <c r="B862" s="2">
        <v>43249</v>
      </c>
      <c r="C862">
        <v>2018</v>
      </c>
      <c r="D862">
        <f t="shared" si="22"/>
        <v>149</v>
      </c>
      <c r="E862" t="s">
        <v>6</v>
      </c>
      <c r="F862">
        <v>21.0396</v>
      </c>
    </row>
    <row r="863" spans="1:6" hidden="1" x14ac:dyDescent="0.25">
      <c r="A863" t="s">
        <v>13</v>
      </c>
      <c r="B863" s="2">
        <v>43479</v>
      </c>
      <c r="C863">
        <v>2019</v>
      </c>
      <c r="D863">
        <f t="shared" si="22"/>
        <v>14</v>
      </c>
      <c r="E863" t="s">
        <v>6</v>
      </c>
      <c r="F863">
        <v>3.7132999999999998</v>
      </c>
    </row>
    <row r="864" spans="1:6" hidden="1" x14ac:dyDescent="0.25">
      <c r="A864" t="s">
        <v>13</v>
      </c>
      <c r="B864" s="2">
        <v>43515</v>
      </c>
      <c r="C864">
        <v>2019</v>
      </c>
      <c r="D864">
        <f t="shared" si="22"/>
        <v>50</v>
      </c>
      <c r="E864" t="s">
        <v>6</v>
      </c>
      <c r="F864">
        <v>9.0846</v>
      </c>
    </row>
    <row r="865" spans="1:8" hidden="1" x14ac:dyDescent="0.25">
      <c r="A865" t="s">
        <v>13</v>
      </c>
      <c r="B865" s="2">
        <v>43529</v>
      </c>
      <c r="C865">
        <v>2019</v>
      </c>
      <c r="D865">
        <f t="shared" si="22"/>
        <v>64</v>
      </c>
      <c r="E865" t="s">
        <v>6</v>
      </c>
      <c r="F865">
        <v>11.282700000000002</v>
      </c>
    </row>
    <row r="866" spans="1:8" hidden="1" x14ac:dyDescent="0.25">
      <c r="A866" t="s">
        <v>13</v>
      </c>
      <c r="B866" s="2">
        <v>43543</v>
      </c>
      <c r="C866">
        <v>2019</v>
      </c>
      <c r="D866">
        <f t="shared" si="22"/>
        <v>78</v>
      </c>
      <c r="E866" t="s">
        <v>6</v>
      </c>
      <c r="F866">
        <v>14.1492</v>
      </c>
    </row>
    <row r="867" spans="1:8" hidden="1" x14ac:dyDescent="0.25">
      <c r="A867" t="s">
        <v>13</v>
      </c>
      <c r="B867" s="2">
        <v>43557</v>
      </c>
      <c r="C867">
        <v>2019</v>
      </c>
      <c r="D867">
        <f t="shared" si="22"/>
        <v>92</v>
      </c>
      <c r="E867" t="s">
        <v>6</v>
      </c>
      <c r="F867">
        <v>15.68</v>
      </c>
    </row>
    <row r="868" spans="1:8" hidden="1" x14ac:dyDescent="0.25">
      <c r="A868" t="s">
        <v>13</v>
      </c>
      <c r="B868" s="2">
        <v>43564</v>
      </c>
      <c r="C868">
        <v>2019</v>
      </c>
      <c r="D868">
        <f t="shared" si="22"/>
        <v>99</v>
      </c>
      <c r="E868" t="s">
        <v>6</v>
      </c>
      <c r="F868">
        <v>16.533000000000001</v>
      </c>
    </row>
    <row r="869" spans="1:8" hidden="1" x14ac:dyDescent="0.25">
      <c r="A869" t="s">
        <v>13</v>
      </c>
      <c r="B869" s="2">
        <v>43570</v>
      </c>
      <c r="C869">
        <v>2019</v>
      </c>
      <c r="D869">
        <f t="shared" si="22"/>
        <v>105</v>
      </c>
      <c r="E869" t="s">
        <v>6</v>
      </c>
      <c r="F869">
        <v>17.297200000000004</v>
      </c>
    </row>
    <row r="870" spans="1:8" hidden="1" x14ac:dyDescent="0.25">
      <c r="A870" t="s">
        <v>13</v>
      </c>
      <c r="B870" s="2">
        <v>43577</v>
      </c>
      <c r="C870">
        <v>2019</v>
      </c>
      <c r="D870">
        <f t="shared" si="22"/>
        <v>112</v>
      </c>
      <c r="E870" t="s">
        <v>6</v>
      </c>
      <c r="F870">
        <v>16.7501</v>
      </c>
      <c r="G870">
        <f>Calculations!E5</f>
        <v>17.547891616053807</v>
      </c>
      <c r="H870" t="s">
        <v>27</v>
      </c>
    </row>
    <row r="871" spans="1:8" hidden="1" x14ac:dyDescent="0.25">
      <c r="A871" t="s">
        <v>13</v>
      </c>
      <c r="B871" s="2">
        <v>43584</v>
      </c>
      <c r="C871">
        <v>2019</v>
      </c>
      <c r="D871">
        <f t="shared" si="22"/>
        <v>119</v>
      </c>
      <c r="E871" t="s">
        <v>6</v>
      </c>
      <c r="F871">
        <v>16.0398</v>
      </c>
    </row>
    <row r="872" spans="1:8" hidden="1" x14ac:dyDescent="0.25">
      <c r="A872" t="s">
        <v>13</v>
      </c>
      <c r="B872" s="2">
        <v>43613</v>
      </c>
      <c r="C872">
        <v>2019</v>
      </c>
      <c r="D872">
        <f t="shared" si="22"/>
        <v>148</v>
      </c>
      <c r="E872" t="s">
        <v>6</v>
      </c>
      <c r="F872">
        <v>18.956099999999999</v>
      </c>
    </row>
    <row r="873" spans="1:8" hidden="1" x14ac:dyDescent="0.25">
      <c r="A873" t="s">
        <v>13</v>
      </c>
      <c r="B873" s="2">
        <v>43479</v>
      </c>
      <c r="C873">
        <v>2019</v>
      </c>
      <c r="D873">
        <f t="shared" si="22"/>
        <v>14</v>
      </c>
      <c r="E873" t="s">
        <v>6</v>
      </c>
      <c r="F873">
        <v>4.1318000000000001</v>
      </c>
    </row>
    <row r="874" spans="1:8" hidden="1" x14ac:dyDescent="0.25">
      <c r="A874" t="s">
        <v>13</v>
      </c>
      <c r="B874" s="2">
        <v>43515</v>
      </c>
      <c r="C874">
        <v>2019</v>
      </c>
      <c r="D874">
        <f t="shared" si="22"/>
        <v>50</v>
      </c>
      <c r="E874" t="s">
        <v>6</v>
      </c>
      <c r="F874">
        <v>9.7136999999999993</v>
      </c>
    </row>
    <row r="875" spans="1:8" hidden="1" x14ac:dyDescent="0.25">
      <c r="A875" t="s">
        <v>13</v>
      </c>
      <c r="B875" s="2">
        <v>43529</v>
      </c>
      <c r="C875">
        <v>2019</v>
      </c>
      <c r="D875">
        <f t="shared" si="22"/>
        <v>64</v>
      </c>
      <c r="E875" t="s">
        <v>6</v>
      </c>
      <c r="F875">
        <v>12.059599999999998</v>
      </c>
    </row>
    <row r="876" spans="1:8" hidden="1" x14ac:dyDescent="0.25">
      <c r="A876" t="s">
        <v>13</v>
      </c>
      <c r="B876" s="2">
        <v>43543</v>
      </c>
      <c r="C876">
        <v>2019</v>
      </c>
      <c r="D876">
        <f t="shared" si="22"/>
        <v>78</v>
      </c>
      <c r="E876" t="s">
        <v>6</v>
      </c>
      <c r="F876">
        <v>14.828099999999999</v>
      </c>
    </row>
    <row r="877" spans="1:8" hidden="1" x14ac:dyDescent="0.25">
      <c r="A877" t="s">
        <v>13</v>
      </c>
      <c r="B877" s="2">
        <v>43557</v>
      </c>
      <c r="C877">
        <v>2019</v>
      </c>
      <c r="D877">
        <f t="shared" si="22"/>
        <v>92</v>
      </c>
      <c r="E877" t="s">
        <v>6</v>
      </c>
      <c r="F877">
        <v>17.16</v>
      </c>
    </row>
    <row r="878" spans="1:8" hidden="1" x14ac:dyDescent="0.25">
      <c r="A878" t="s">
        <v>13</v>
      </c>
      <c r="B878" s="2">
        <v>43564</v>
      </c>
      <c r="C878">
        <v>2019</v>
      </c>
      <c r="D878">
        <f t="shared" si="22"/>
        <v>99</v>
      </c>
      <c r="E878" t="s">
        <v>6</v>
      </c>
      <c r="F878">
        <v>17.0183</v>
      </c>
    </row>
    <row r="879" spans="1:8" hidden="1" x14ac:dyDescent="0.25">
      <c r="A879" t="s">
        <v>13</v>
      </c>
      <c r="B879" s="2">
        <v>43570</v>
      </c>
      <c r="C879">
        <v>2019</v>
      </c>
      <c r="D879">
        <f t="shared" si="22"/>
        <v>105</v>
      </c>
      <c r="E879" t="s">
        <v>6</v>
      </c>
      <c r="F879">
        <v>17.153000000000002</v>
      </c>
    </row>
    <row r="880" spans="1:8" hidden="1" x14ac:dyDescent="0.25">
      <c r="A880" t="s">
        <v>13</v>
      </c>
      <c r="B880" s="2">
        <v>43577</v>
      </c>
      <c r="C880">
        <v>2019</v>
      </c>
      <c r="D880">
        <f t="shared" si="22"/>
        <v>112</v>
      </c>
      <c r="E880" t="s">
        <v>6</v>
      </c>
      <c r="F880">
        <v>18.1996</v>
      </c>
    </row>
    <row r="881" spans="1:10" hidden="1" x14ac:dyDescent="0.25">
      <c r="A881" t="s">
        <v>13</v>
      </c>
      <c r="B881" s="2">
        <v>43584</v>
      </c>
      <c r="C881">
        <v>2019</v>
      </c>
      <c r="D881">
        <f t="shared" si="22"/>
        <v>119</v>
      </c>
      <c r="E881" t="s">
        <v>6</v>
      </c>
      <c r="F881">
        <v>16.344999999999999</v>
      </c>
    </row>
    <row r="882" spans="1:10" hidden="1" x14ac:dyDescent="0.25">
      <c r="A882" t="s">
        <v>13</v>
      </c>
      <c r="B882" s="2">
        <v>43613</v>
      </c>
      <c r="C882">
        <v>2019</v>
      </c>
      <c r="D882">
        <f t="shared" si="22"/>
        <v>148</v>
      </c>
      <c r="E882" t="s">
        <v>6</v>
      </c>
      <c r="F882">
        <v>20.093399999999999</v>
      </c>
    </row>
    <row r="883" spans="1:10" hidden="1" x14ac:dyDescent="0.25">
      <c r="A883" t="s">
        <v>13</v>
      </c>
      <c r="B883" s="2">
        <v>43479</v>
      </c>
      <c r="C883">
        <v>2019</v>
      </c>
      <c r="D883">
        <f t="shared" si="22"/>
        <v>14</v>
      </c>
      <c r="E883" t="s">
        <v>6</v>
      </c>
      <c r="F883">
        <v>4.6560000000000006</v>
      </c>
    </row>
    <row r="884" spans="1:10" hidden="1" x14ac:dyDescent="0.25">
      <c r="A884" t="s">
        <v>13</v>
      </c>
      <c r="B884" s="2">
        <v>43479</v>
      </c>
      <c r="C884">
        <v>2019</v>
      </c>
      <c r="D884">
        <f t="shared" si="22"/>
        <v>14</v>
      </c>
      <c r="E884" t="s">
        <v>6</v>
      </c>
      <c r="F884">
        <v>4.2772000000000006</v>
      </c>
    </row>
    <row r="885" spans="1:10" hidden="1" x14ac:dyDescent="0.25">
      <c r="A885" t="s">
        <v>13</v>
      </c>
      <c r="B885" s="2">
        <v>43479</v>
      </c>
      <c r="C885">
        <v>2019</v>
      </c>
      <c r="D885">
        <f t="shared" si="22"/>
        <v>14</v>
      </c>
      <c r="E885" t="s">
        <v>6</v>
      </c>
      <c r="F885">
        <v>4.8944000000000001</v>
      </c>
    </row>
    <row r="886" spans="1:10" hidden="1" x14ac:dyDescent="0.25">
      <c r="A886" t="s">
        <v>13</v>
      </c>
      <c r="B886" s="2">
        <v>43479</v>
      </c>
      <c r="C886">
        <v>2019</v>
      </c>
      <c r="D886">
        <f t="shared" si="22"/>
        <v>14</v>
      </c>
      <c r="E886" t="s">
        <v>6</v>
      </c>
      <c r="F886">
        <v>3.9389999999999996</v>
      </c>
    </row>
    <row r="887" spans="1:10" hidden="1" x14ac:dyDescent="0.25">
      <c r="A887" t="s">
        <v>13</v>
      </c>
      <c r="B887" s="2">
        <v>43514</v>
      </c>
      <c r="C887">
        <v>2019</v>
      </c>
      <c r="D887">
        <f t="shared" si="22"/>
        <v>49</v>
      </c>
      <c r="E887" t="s">
        <v>6</v>
      </c>
      <c r="F887">
        <v>10.8528</v>
      </c>
    </row>
    <row r="888" spans="1:10" hidden="1" x14ac:dyDescent="0.25">
      <c r="A888" t="s">
        <v>13</v>
      </c>
      <c r="B888" s="2">
        <v>43514</v>
      </c>
      <c r="C888">
        <v>2019</v>
      </c>
      <c r="D888">
        <f t="shared" si="22"/>
        <v>49</v>
      </c>
      <c r="E888" t="s">
        <v>6</v>
      </c>
      <c r="F888">
        <v>10.956800000000001</v>
      </c>
    </row>
    <row r="889" spans="1:10" hidden="1" x14ac:dyDescent="0.25">
      <c r="A889" t="s">
        <v>13</v>
      </c>
      <c r="B889" s="2">
        <v>43514</v>
      </c>
      <c r="C889">
        <v>2019</v>
      </c>
      <c r="D889">
        <f t="shared" si="22"/>
        <v>49</v>
      </c>
      <c r="E889" t="s">
        <v>6</v>
      </c>
      <c r="F889">
        <v>11.326199999999998</v>
      </c>
    </row>
    <row r="890" spans="1:10" hidden="1" x14ac:dyDescent="0.25">
      <c r="A890" t="s">
        <v>13</v>
      </c>
      <c r="B890" s="2">
        <v>43514</v>
      </c>
      <c r="C890">
        <v>2019</v>
      </c>
      <c r="D890">
        <f t="shared" si="22"/>
        <v>49</v>
      </c>
      <c r="E890" t="s">
        <v>6</v>
      </c>
      <c r="F890">
        <v>9.9293999999999993</v>
      </c>
    </row>
    <row r="891" spans="1:10" hidden="1" x14ac:dyDescent="0.25">
      <c r="A891" t="s">
        <v>13</v>
      </c>
      <c r="B891" s="2">
        <v>43528</v>
      </c>
      <c r="C891">
        <v>2019</v>
      </c>
      <c r="D891">
        <f t="shared" si="22"/>
        <v>63</v>
      </c>
      <c r="E891" t="s">
        <v>6</v>
      </c>
      <c r="F891">
        <v>13.165999999999999</v>
      </c>
    </row>
    <row r="892" spans="1:10" hidden="1" x14ac:dyDescent="0.25">
      <c r="A892" t="s">
        <v>13</v>
      </c>
      <c r="B892" s="2">
        <v>43528</v>
      </c>
      <c r="C892">
        <v>2019</v>
      </c>
      <c r="D892">
        <f t="shared" si="22"/>
        <v>63</v>
      </c>
      <c r="E892" t="s">
        <v>6</v>
      </c>
      <c r="F892">
        <v>10.804500000000001</v>
      </c>
    </row>
    <row r="893" spans="1:10" hidden="1" x14ac:dyDescent="0.25">
      <c r="A893" t="s">
        <v>13</v>
      </c>
      <c r="B893" s="2">
        <v>43529</v>
      </c>
      <c r="C893">
        <v>2019</v>
      </c>
      <c r="D893">
        <f t="shared" si="22"/>
        <v>64</v>
      </c>
      <c r="E893" t="s">
        <v>6</v>
      </c>
      <c r="F893">
        <v>12.7376</v>
      </c>
      <c r="J893" s="8"/>
    </row>
    <row r="894" spans="1:10" hidden="1" x14ac:dyDescent="0.25">
      <c r="A894" t="s">
        <v>13</v>
      </c>
      <c r="B894" s="2">
        <v>43542</v>
      </c>
      <c r="C894">
        <v>2019</v>
      </c>
      <c r="D894">
        <f t="shared" si="22"/>
        <v>77</v>
      </c>
      <c r="E894" t="s">
        <v>6</v>
      </c>
      <c r="F894">
        <v>15.515600000000001</v>
      </c>
    </row>
    <row r="895" spans="1:10" hidden="1" x14ac:dyDescent="0.25">
      <c r="A895" t="s">
        <v>13</v>
      </c>
      <c r="B895" s="2">
        <v>43542</v>
      </c>
      <c r="C895">
        <v>2019</v>
      </c>
      <c r="D895">
        <f t="shared" si="22"/>
        <v>77</v>
      </c>
      <c r="E895" t="s">
        <v>6</v>
      </c>
      <c r="F895">
        <v>12.581800000000001</v>
      </c>
    </row>
    <row r="896" spans="1:10" hidden="1" x14ac:dyDescent="0.25">
      <c r="A896" t="s">
        <v>13</v>
      </c>
      <c r="B896" s="2">
        <v>43543</v>
      </c>
      <c r="C896">
        <v>2019</v>
      </c>
      <c r="D896">
        <f t="shared" si="22"/>
        <v>78</v>
      </c>
      <c r="E896" t="s">
        <v>6</v>
      </c>
      <c r="F896">
        <v>15.232000000000001</v>
      </c>
    </row>
    <row r="897" spans="1:6" hidden="1" x14ac:dyDescent="0.25">
      <c r="A897" t="s">
        <v>13</v>
      </c>
      <c r="B897" s="2">
        <v>43557</v>
      </c>
      <c r="C897">
        <v>2019</v>
      </c>
      <c r="D897">
        <f t="shared" si="22"/>
        <v>92</v>
      </c>
      <c r="E897" t="s">
        <v>6</v>
      </c>
      <c r="F897">
        <v>16.212700000000002</v>
      </c>
    </row>
    <row r="898" spans="1:6" hidden="1" x14ac:dyDescent="0.25">
      <c r="A898" t="s">
        <v>13</v>
      </c>
      <c r="B898" s="2">
        <v>43557</v>
      </c>
      <c r="C898">
        <v>2019</v>
      </c>
      <c r="D898">
        <f t="shared" ref="D898:D961" si="23">B898-DATE(YEAR(B898),1,0)</f>
        <v>92</v>
      </c>
      <c r="E898" t="s">
        <v>6</v>
      </c>
      <c r="F898">
        <v>17.384</v>
      </c>
    </row>
    <row r="899" spans="1:6" hidden="1" x14ac:dyDescent="0.25">
      <c r="A899" t="s">
        <v>13</v>
      </c>
      <c r="B899" s="2">
        <v>43557</v>
      </c>
      <c r="C899">
        <v>2019</v>
      </c>
      <c r="D899">
        <f t="shared" si="23"/>
        <v>92</v>
      </c>
      <c r="E899" t="s">
        <v>6</v>
      </c>
      <c r="F899">
        <v>17.828400000000002</v>
      </c>
    </row>
    <row r="900" spans="1:6" hidden="1" x14ac:dyDescent="0.25">
      <c r="A900" t="s">
        <v>13</v>
      </c>
      <c r="B900" s="2">
        <v>43557</v>
      </c>
      <c r="C900">
        <v>2019</v>
      </c>
      <c r="D900">
        <f t="shared" si="23"/>
        <v>92</v>
      </c>
      <c r="E900" t="s">
        <v>6</v>
      </c>
      <c r="F900">
        <v>14.051499999999999</v>
      </c>
    </row>
    <row r="901" spans="1:6" hidden="1" x14ac:dyDescent="0.25">
      <c r="A901" t="s">
        <v>13</v>
      </c>
      <c r="B901" s="2">
        <v>43564</v>
      </c>
      <c r="C901">
        <v>2019</v>
      </c>
      <c r="D901">
        <f t="shared" si="23"/>
        <v>99</v>
      </c>
      <c r="E901" t="s">
        <v>6</v>
      </c>
      <c r="F901">
        <v>16.912500000000001</v>
      </c>
    </row>
    <row r="902" spans="1:6" hidden="1" x14ac:dyDescent="0.25">
      <c r="A902" t="s">
        <v>13</v>
      </c>
      <c r="B902" s="2">
        <v>43564</v>
      </c>
      <c r="C902">
        <v>2019</v>
      </c>
      <c r="D902">
        <f t="shared" si="23"/>
        <v>99</v>
      </c>
      <c r="E902" t="s">
        <v>6</v>
      </c>
      <c r="F902">
        <v>17.995200000000001</v>
      </c>
    </row>
    <row r="903" spans="1:6" hidden="1" x14ac:dyDescent="0.25">
      <c r="A903" t="s">
        <v>13</v>
      </c>
      <c r="B903" s="2">
        <v>43564</v>
      </c>
      <c r="C903">
        <v>2019</v>
      </c>
      <c r="D903">
        <f t="shared" si="23"/>
        <v>99</v>
      </c>
      <c r="E903" t="s">
        <v>6</v>
      </c>
      <c r="F903">
        <v>18.420999999999999</v>
      </c>
    </row>
    <row r="904" spans="1:6" hidden="1" x14ac:dyDescent="0.25">
      <c r="A904" t="s">
        <v>13</v>
      </c>
      <c r="B904" s="2">
        <v>43564</v>
      </c>
      <c r="C904">
        <v>2019</v>
      </c>
      <c r="D904">
        <f t="shared" si="23"/>
        <v>99</v>
      </c>
      <c r="E904" t="s">
        <v>6</v>
      </c>
      <c r="F904">
        <v>15.370899999999999</v>
      </c>
    </row>
    <row r="905" spans="1:6" hidden="1" x14ac:dyDescent="0.25">
      <c r="A905" t="s">
        <v>13</v>
      </c>
      <c r="B905" s="2">
        <v>43570</v>
      </c>
      <c r="C905">
        <v>2019</v>
      </c>
      <c r="D905">
        <f t="shared" si="23"/>
        <v>105</v>
      </c>
      <c r="E905" t="s">
        <v>6</v>
      </c>
      <c r="F905">
        <v>17.330400000000001</v>
      </c>
    </row>
    <row r="906" spans="1:6" hidden="1" x14ac:dyDescent="0.25">
      <c r="A906" t="s">
        <v>13</v>
      </c>
      <c r="B906" s="2">
        <v>43570</v>
      </c>
      <c r="C906">
        <v>2019</v>
      </c>
      <c r="D906">
        <f t="shared" si="23"/>
        <v>105</v>
      </c>
      <c r="E906" t="s">
        <v>6</v>
      </c>
      <c r="F906">
        <v>18.035999999999998</v>
      </c>
    </row>
    <row r="907" spans="1:6" hidden="1" x14ac:dyDescent="0.25">
      <c r="A907" t="s">
        <v>13</v>
      </c>
      <c r="B907" s="2">
        <v>43570</v>
      </c>
      <c r="C907">
        <v>2019</v>
      </c>
      <c r="D907">
        <f t="shared" si="23"/>
        <v>105</v>
      </c>
      <c r="E907" t="s">
        <v>6</v>
      </c>
      <c r="F907">
        <v>19.583600000000001</v>
      </c>
    </row>
    <row r="908" spans="1:6" hidden="1" x14ac:dyDescent="0.25">
      <c r="A908" t="s">
        <v>13</v>
      </c>
      <c r="B908" s="2">
        <v>43570</v>
      </c>
      <c r="C908">
        <v>2019</v>
      </c>
      <c r="D908">
        <f t="shared" si="23"/>
        <v>105</v>
      </c>
      <c r="E908" t="s">
        <v>6</v>
      </c>
      <c r="F908">
        <v>15.481599999999998</v>
      </c>
    </row>
    <row r="909" spans="1:6" hidden="1" x14ac:dyDescent="0.25">
      <c r="A909" t="s">
        <v>13</v>
      </c>
      <c r="B909" s="2">
        <v>43577</v>
      </c>
      <c r="C909">
        <v>2019</v>
      </c>
      <c r="D909">
        <f t="shared" si="23"/>
        <v>112</v>
      </c>
      <c r="E909" t="s">
        <v>6</v>
      </c>
      <c r="F909">
        <v>16.8264</v>
      </c>
    </row>
    <row r="910" spans="1:6" hidden="1" x14ac:dyDescent="0.25">
      <c r="A910" t="s">
        <v>13</v>
      </c>
      <c r="B910" s="2">
        <v>43577</v>
      </c>
      <c r="C910">
        <v>2019</v>
      </c>
      <c r="D910">
        <f t="shared" si="23"/>
        <v>112</v>
      </c>
      <c r="E910" t="s">
        <v>6</v>
      </c>
      <c r="F910">
        <v>18.564</v>
      </c>
    </row>
    <row r="911" spans="1:6" hidden="1" x14ac:dyDescent="0.25">
      <c r="A911" t="s">
        <v>13</v>
      </c>
      <c r="B911" s="2">
        <v>43577</v>
      </c>
      <c r="C911">
        <v>2019</v>
      </c>
      <c r="D911">
        <f t="shared" si="23"/>
        <v>112</v>
      </c>
      <c r="E911" t="s">
        <v>6</v>
      </c>
      <c r="F911">
        <v>18.948599999999999</v>
      </c>
    </row>
    <row r="912" spans="1:6" hidden="1" x14ac:dyDescent="0.25">
      <c r="A912" t="s">
        <v>13</v>
      </c>
      <c r="B912" s="2">
        <v>43577</v>
      </c>
      <c r="C912">
        <v>2019</v>
      </c>
      <c r="D912">
        <f t="shared" si="23"/>
        <v>112</v>
      </c>
      <c r="E912" t="s">
        <v>6</v>
      </c>
      <c r="F912">
        <v>15.484999999999999</v>
      </c>
    </row>
    <row r="913" spans="1:6" hidden="1" x14ac:dyDescent="0.25">
      <c r="A913" t="s">
        <v>13</v>
      </c>
      <c r="B913" s="2">
        <v>43584</v>
      </c>
      <c r="C913">
        <v>2019</v>
      </c>
      <c r="D913">
        <f t="shared" si="23"/>
        <v>119</v>
      </c>
      <c r="E913" t="s">
        <v>6</v>
      </c>
      <c r="F913">
        <v>15.664599999999998</v>
      </c>
    </row>
    <row r="914" spans="1:6" hidden="1" x14ac:dyDescent="0.25">
      <c r="A914" t="s">
        <v>13</v>
      </c>
      <c r="B914" s="2">
        <v>43584</v>
      </c>
      <c r="C914">
        <v>2019</v>
      </c>
      <c r="D914">
        <f t="shared" si="23"/>
        <v>119</v>
      </c>
      <c r="E914" t="s">
        <v>6</v>
      </c>
      <c r="F914">
        <v>16.6465</v>
      </c>
    </row>
    <row r="915" spans="1:6" hidden="1" x14ac:dyDescent="0.25">
      <c r="A915" t="s">
        <v>13</v>
      </c>
      <c r="B915" s="2">
        <v>43584</v>
      </c>
      <c r="C915">
        <v>2019</v>
      </c>
      <c r="D915">
        <f t="shared" si="23"/>
        <v>119</v>
      </c>
      <c r="E915" t="s">
        <v>6</v>
      </c>
      <c r="F915">
        <v>18.004799999999999</v>
      </c>
    </row>
    <row r="916" spans="1:6" hidden="1" x14ac:dyDescent="0.25">
      <c r="A916" t="s">
        <v>13</v>
      </c>
      <c r="B916" s="2">
        <v>43584</v>
      </c>
      <c r="C916">
        <v>2019</v>
      </c>
      <c r="D916">
        <f t="shared" si="23"/>
        <v>119</v>
      </c>
      <c r="E916" t="s">
        <v>6</v>
      </c>
      <c r="F916">
        <v>14.176400000000003</v>
      </c>
    </row>
    <row r="917" spans="1:6" hidden="1" x14ac:dyDescent="0.25">
      <c r="A917" t="s">
        <v>13</v>
      </c>
      <c r="B917" s="2">
        <v>43612</v>
      </c>
      <c r="C917">
        <v>2019</v>
      </c>
      <c r="D917">
        <f t="shared" si="23"/>
        <v>147</v>
      </c>
      <c r="E917" t="s">
        <v>6</v>
      </c>
      <c r="F917">
        <v>21.337800000000001</v>
      </c>
    </row>
    <row r="918" spans="1:6" hidden="1" x14ac:dyDescent="0.25">
      <c r="A918" t="s">
        <v>13</v>
      </c>
      <c r="B918" s="2">
        <v>43612</v>
      </c>
      <c r="C918">
        <v>2019</v>
      </c>
      <c r="D918">
        <f t="shared" si="23"/>
        <v>147</v>
      </c>
      <c r="E918" t="s">
        <v>6</v>
      </c>
      <c r="F918">
        <v>17.0625</v>
      </c>
    </row>
    <row r="919" spans="1:6" hidden="1" x14ac:dyDescent="0.25">
      <c r="A919" t="s">
        <v>13</v>
      </c>
      <c r="B919" s="2">
        <v>43613</v>
      </c>
      <c r="C919">
        <v>2019</v>
      </c>
      <c r="D919">
        <f t="shared" si="23"/>
        <v>148</v>
      </c>
      <c r="E919" t="s">
        <v>6</v>
      </c>
      <c r="F919">
        <v>18.391999999999999</v>
      </c>
    </row>
    <row r="920" spans="1:6" hidden="1" x14ac:dyDescent="0.25">
      <c r="A920" t="s">
        <v>13</v>
      </c>
      <c r="B920" s="2">
        <v>43613</v>
      </c>
      <c r="C920">
        <v>2019</v>
      </c>
      <c r="D920">
        <f t="shared" si="23"/>
        <v>148</v>
      </c>
      <c r="E920" t="s">
        <v>6</v>
      </c>
      <c r="F920">
        <v>20.178000000000001</v>
      </c>
    </row>
    <row r="921" spans="1:6" hidden="1" x14ac:dyDescent="0.25">
      <c r="A921" t="s">
        <v>14</v>
      </c>
      <c r="B921" s="2">
        <v>43850</v>
      </c>
      <c r="C921">
        <v>2020</v>
      </c>
      <c r="D921">
        <f t="shared" si="23"/>
        <v>20</v>
      </c>
      <c r="E921" t="s">
        <v>6</v>
      </c>
      <c r="F921">
        <v>4.7547000000000006</v>
      </c>
    </row>
    <row r="922" spans="1:6" hidden="1" x14ac:dyDescent="0.25">
      <c r="A922" t="s">
        <v>14</v>
      </c>
      <c r="B922" s="2">
        <v>43880</v>
      </c>
      <c r="C922">
        <v>2020</v>
      </c>
      <c r="D922">
        <f t="shared" si="23"/>
        <v>50</v>
      </c>
      <c r="E922" t="s">
        <v>6</v>
      </c>
      <c r="F922">
        <v>9.8704000000000001</v>
      </c>
    </row>
    <row r="923" spans="1:6" hidden="1" x14ac:dyDescent="0.25">
      <c r="A923" t="s">
        <v>14</v>
      </c>
      <c r="B923" s="2">
        <v>43892</v>
      </c>
      <c r="C923">
        <v>2020</v>
      </c>
      <c r="D923">
        <f t="shared" si="23"/>
        <v>62</v>
      </c>
      <c r="E923" t="s">
        <v>6</v>
      </c>
      <c r="F923">
        <v>10.906000000000001</v>
      </c>
    </row>
    <row r="924" spans="1:6" hidden="1" x14ac:dyDescent="0.25">
      <c r="A924" t="s">
        <v>14</v>
      </c>
      <c r="B924" s="2">
        <v>43906</v>
      </c>
      <c r="C924">
        <v>2020</v>
      </c>
      <c r="D924">
        <f t="shared" si="23"/>
        <v>76</v>
      </c>
      <c r="E924" t="s">
        <v>6</v>
      </c>
      <c r="F924">
        <v>13.64</v>
      </c>
    </row>
    <row r="925" spans="1:6" hidden="1" x14ac:dyDescent="0.25">
      <c r="A925" t="s">
        <v>14</v>
      </c>
      <c r="B925" s="2">
        <v>43950</v>
      </c>
      <c r="C925">
        <v>2020</v>
      </c>
      <c r="D925">
        <f t="shared" si="23"/>
        <v>120</v>
      </c>
      <c r="E925" t="s">
        <v>6</v>
      </c>
      <c r="F925">
        <v>18.305</v>
      </c>
    </row>
    <row r="926" spans="1:6" hidden="1" x14ac:dyDescent="0.25">
      <c r="A926" t="s">
        <v>14</v>
      </c>
      <c r="B926" s="2">
        <v>43963</v>
      </c>
      <c r="C926">
        <v>2020</v>
      </c>
      <c r="D926">
        <f t="shared" si="23"/>
        <v>133</v>
      </c>
      <c r="E926" t="s">
        <v>6</v>
      </c>
      <c r="F926">
        <v>18.266399999999997</v>
      </c>
    </row>
    <row r="927" spans="1:6" hidden="1" x14ac:dyDescent="0.25">
      <c r="A927" t="s">
        <v>14</v>
      </c>
      <c r="B927" s="2">
        <v>43977</v>
      </c>
      <c r="C927">
        <v>2020</v>
      </c>
      <c r="D927">
        <f t="shared" si="23"/>
        <v>147</v>
      </c>
      <c r="E927" t="s">
        <v>6</v>
      </c>
      <c r="F927">
        <v>17.912400000000002</v>
      </c>
    </row>
    <row r="928" spans="1:6" hidden="1" x14ac:dyDescent="0.25">
      <c r="A928" t="s">
        <v>14</v>
      </c>
      <c r="B928" s="2">
        <v>43851</v>
      </c>
      <c r="C928">
        <v>2020</v>
      </c>
      <c r="D928">
        <f t="shared" si="23"/>
        <v>21</v>
      </c>
      <c r="E928" t="s">
        <v>6</v>
      </c>
      <c r="F928">
        <v>5.3330999999999991</v>
      </c>
    </row>
    <row r="929" spans="1:8" hidden="1" x14ac:dyDescent="0.25">
      <c r="A929" t="s">
        <v>14</v>
      </c>
      <c r="B929" s="2">
        <v>43880</v>
      </c>
      <c r="C929">
        <v>2020</v>
      </c>
      <c r="D929">
        <f t="shared" si="23"/>
        <v>50</v>
      </c>
      <c r="E929" t="s">
        <v>6</v>
      </c>
      <c r="F929">
        <v>11.4168</v>
      </c>
    </row>
    <row r="930" spans="1:8" hidden="1" x14ac:dyDescent="0.25">
      <c r="A930" t="s">
        <v>14</v>
      </c>
      <c r="B930" s="2">
        <v>43894</v>
      </c>
      <c r="C930">
        <v>2020</v>
      </c>
      <c r="D930">
        <f t="shared" si="23"/>
        <v>64</v>
      </c>
      <c r="E930" t="s">
        <v>6</v>
      </c>
      <c r="F930">
        <v>12.3223</v>
      </c>
    </row>
    <row r="931" spans="1:8" hidden="1" x14ac:dyDescent="0.25">
      <c r="A931" t="s">
        <v>14</v>
      </c>
      <c r="B931" s="2">
        <v>43907</v>
      </c>
      <c r="C931">
        <v>2020</v>
      </c>
      <c r="D931">
        <f t="shared" si="23"/>
        <v>77</v>
      </c>
      <c r="E931" t="s">
        <v>6</v>
      </c>
      <c r="F931">
        <v>15.345000000000001</v>
      </c>
    </row>
    <row r="932" spans="1:8" hidden="1" x14ac:dyDescent="0.25">
      <c r="A932" t="s">
        <v>14</v>
      </c>
      <c r="B932" s="2">
        <v>43951</v>
      </c>
      <c r="C932">
        <v>2020</v>
      </c>
      <c r="D932">
        <f t="shared" si="23"/>
        <v>121</v>
      </c>
      <c r="E932" t="s">
        <v>6</v>
      </c>
      <c r="F932">
        <v>20.304000000000002</v>
      </c>
      <c r="G932">
        <f>Calculations!E6</f>
        <v>18.772042559291698</v>
      </c>
      <c r="H932" t="s">
        <v>27</v>
      </c>
    </row>
    <row r="933" spans="1:8" hidden="1" x14ac:dyDescent="0.25">
      <c r="A933" t="s">
        <v>14</v>
      </c>
      <c r="B933" s="2">
        <v>43963</v>
      </c>
      <c r="C933">
        <v>2020</v>
      </c>
      <c r="D933">
        <f t="shared" si="23"/>
        <v>133</v>
      </c>
      <c r="E933" t="s">
        <v>6</v>
      </c>
      <c r="F933">
        <v>20.374199999999998</v>
      </c>
    </row>
    <row r="934" spans="1:8" hidden="1" x14ac:dyDescent="0.25">
      <c r="A934" t="s">
        <v>14</v>
      </c>
      <c r="B934" s="2">
        <v>43979</v>
      </c>
      <c r="C934">
        <v>2020</v>
      </c>
      <c r="D934">
        <f t="shared" si="23"/>
        <v>149</v>
      </c>
      <c r="E934" t="s">
        <v>6</v>
      </c>
      <c r="F934">
        <v>21.040500000000002</v>
      </c>
    </row>
    <row r="935" spans="1:8" hidden="1" x14ac:dyDescent="0.25">
      <c r="A935" t="s">
        <v>14</v>
      </c>
      <c r="B935" s="2">
        <v>43850</v>
      </c>
      <c r="C935">
        <v>2020</v>
      </c>
      <c r="D935">
        <f t="shared" si="23"/>
        <v>20</v>
      </c>
      <c r="E935" t="s">
        <v>6</v>
      </c>
      <c r="F935">
        <v>4.8761999999999999</v>
      </c>
    </row>
    <row r="936" spans="1:8" hidden="1" x14ac:dyDescent="0.25">
      <c r="A936" t="s">
        <v>14</v>
      </c>
      <c r="B936" s="2">
        <v>43850</v>
      </c>
      <c r="C936">
        <v>2020</v>
      </c>
      <c r="D936">
        <f t="shared" si="23"/>
        <v>20</v>
      </c>
      <c r="E936" t="s">
        <v>6</v>
      </c>
      <c r="F936">
        <v>6.0888</v>
      </c>
    </row>
    <row r="937" spans="1:8" hidden="1" x14ac:dyDescent="0.25">
      <c r="A937" t="s">
        <v>14</v>
      </c>
      <c r="B937" s="2">
        <v>43851</v>
      </c>
      <c r="C937">
        <v>2020</v>
      </c>
      <c r="D937">
        <f t="shared" si="23"/>
        <v>21</v>
      </c>
      <c r="E937" t="s">
        <v>6</v>
      </c>
      <c r="F937">
        <v>6.6393999999999993</v>
      </c>
    </row>
    <row r="938" spans="1:8" hidden="1" x14ac:dyDescent="0.25">
      <c r="A938" t="s">
        <v>14</v>
      </c>
      <c r="B938" s="2">
        <v>43878</v>
      </c>
      <c r="C938">
        <v>2020</v>
      </c>
      <c r="D938">
        <f t="shared" si="23"/>
        <v>48</v>
      </c>
      <c r="E938" t="s">
        <v>6</v>
      </c>
      <c r="F938">
        <v>10.094700000000001</v>
      </c>
    </row>
    <row r="939" spans="1:8" hidden="1" x14ac:dyDescent="0.25">
      <c r="A939" t="s">
        <v>14</v>
      </c>
      <c r="B939" s="2">
        <v>43878</v>
      </c>
      <c r="C939">
        <v>2020</v>
      </c>
      <c r="D939">
        <f t="shared" si="23"/>
        <v>48</v>
      </c>
      <c r="E939" t="s">
        <v>6</v>
      </c>
      <c r="F939">
        <v>11.238399999999999</v>
      </c>
    </row>
    <row r="940" spans="1:8" hidden="1" x14ac:dyDescent="0.25">
      <c r="A940" t="s">
        <v>14</v>
      </c>
      <c r="B940" s="2">
        <v>43880</v>
      </c>
      <c r="C940">
        <v>2020</v>
      </c>
      <c r="D940">
        <f t="shared" si="23"/>
        <v>50</v>
      </c>
      <c r="E940" t="s">
        <v>6</v>
      </c>
      <c r="F940">
        <v>11.596500000000001</v>
      </c>
    </row>
    <row r="941" spans="1:8" hidden="1" x14ac:dyDescent="0.25">
      <c r="A941" t="s">
        <v>14</v>
      </c>
      <c r="B941" s="2">
        <v>43892</v>
      </c>
      <c r="C941">
        <v>2020</v>
      </c>
      <c r="D941">
        <f t="shared" si="23"/>
        <v>62</v>
      </c>
      <c r="E941" t="s">
        <v>6</v>
      </c>
      <c r="F941">
        <v>11.636900000000001</v>
      </c>
    </row>
    <row r="942" spans="1:8" hidden="1" x14ac:dyDescent="0.25">
      <c r="A942" t="s">
        <v>14</v>
      </c>
      <c r="B942" s="2">
        <v>43892</v>
      </c>
      <c r="C942">
        <v>2020</v>
      </c>
      <c r="D942">
        <f t="shared" si="23"/>
        <v>62</v>
      </c>
      <c r="E942" t="s">
        <v>6</v>
      </c>
      <c r="F942">
        <v>14.870200000000001</v>
      </c>
    </row>
    <row r="943" spans="1:8" hidden="1" x14ac:dyDescent="0.25">
      <c r="A943" t="s">
        <v>14</v>
      </c>
      <c r="B943" s="2">
        <v>43894</v>
      </c>
      <c r="C943">
        <v>2020</v>
      </c>
      <c r="D943">
        <f t="shared" si="23"/>
        <v>64</v>
      </c>
      <c r="E943" t="s">
        <v>6</v>
      </c>
      <c r="F943">
        <v>13.32</v>
      </c>
    </row>
    <row r="944" spans="1:8" hidden="1" x14ac:dyDescent="0.25">
      <c r="A944" t="s">
        <v>14</v>
      </c>
      <c r="B944" s="2">
        <v>43906</v>
      </c>
      <c r="C944">
        <v>2020</v>
      </c>
      <c r="D944">
        <f t="shared" si="23"/>
        <v>76</v>
      </c>
      <c r="E944" t="s">
        <v>6</v>
      </c>
      <c r="F944">
        <v>13.488</v>
      </c>
    </row>
    <row r="945" spans="1:10" hidden="1" x14ac:dyDescent="0.25">
      <c r="A945" t="s">
        <v>14</v>
      </c>
      <c r="B945" s="2">
        <v>43906</v>
      </c>
      <c r="C945">
        <v>2020</v>
      </c>
      <c r="D945">
        <f t="shared" si="23"/>
        <v>76</v>
      </c>
      <c r="E945" t="s">
        <v>6</v>
      </c>
      <c r="F945">
        <v>17.408000000000001</v>
      </c>
    </row>
    <row r="946" spans="1:10" hidden="1" x14ac:dyDescent="0.25">
      <c r="A946" t="s">
        <v>14</v>
      </c>
      <c r="B946" s="2">
        <v>43907</v>
      </c>
      <c r="C946">
        <v>2020</v>
      </c>
      <c r="D946">
        <f t="shared" si="23"/>
        <v>77</v>
      </c>
      <c r="E946" t="s">
        <v>6</v>
      </c>
      <c r="F946">
        <v>15.384600000000001</v>
      </c>
    </row>
    <row r="947" spans="1:10" hidden="1" x14ac:dyDescent="0.25">
      <c r="A947" t="s">
        <v>14</v>
      </c>
      <c r="B947" s="2">
        <v>43950</v>
      </c>
      <c r="C947">
        <v>2020</v>
      </c>
      <c r="D947">
        <f t="shared" si="23"/>
        <v>120</v>
      </c>
      <c r="E947" t="s">
        <v>6</v>
      </c>
      <c r="F947">
        <v>17.500999999999998</v>
      </c>
      <c r="J947" s="8"/>
    </row>
    <row r="948" spans="1:10" hidden="1" x14ac:dyDescent="0.25">
      <c r="A948" t="s">
        <v>14</v>
      </c>
      <c r="B948" s="2">
        <v>43950</v>
      </c>
      <c r="C948">
        <v>2020</v>
      </c>
      <c r="D948">
        <f t="shared" si="23"/>
        <v>120</v>
      </c>
      <c r="E948" t="s">
        <v>6</v>
      </c>
      <c r="F948">
        <v>22.477499999999999</v>
      </c>
    </row>
    <row r="949" spans="1:10" hidden="1" x14ac:dyDescent="0.25">
      <c r="A949" t="s">
        <v>14</v>
      </c>
      <c r="B949" s="2">
        <v>43950</v>
      </c>
      <c r="C949">
        <v>2020</v>
      </c>
      <c r="D949">
        <f t="shared" si="23"/>
        <v>120</v>
      </c>
      <c r="E949" t="s">
        <v>6</v>
      </c>
      <c r="F949">
        <v>19.583600000000001</v>
      </c>
    </row>
    <row r="950" spans="1:10" hidden="1" x14ac:dyDescent="0.25">
      <c r="A950" t="s">
        <v>14</v>
      </c>
      <c r="B950" s="2">
        <v>43963</v>
      </c>
      <c r="C950">
        <v>2020</v>
      </c>
      <c r="D950">
        <f t="shared" si="23"/>
        <v>133</v>
      </c>
      <c r="E950" t="s">
        <v>6</v>
      </c>
      <c r="F950">
        <v>23.190299999999997</v>
      </c>
    </row>
    <row r="951" spans="1:10" hidden="1" x14ac:dyDescent="0.25">
      <c r="A951" t="s">
        <v>14</v>
      </c>
      <c r="B951" s="2">
        <v>43964</v>
      </c>
      <c r="C951">
        <v>2020</v>
      </c>
      <c r="D951">
        <f t="shared" si="23"/>
        <v>134</v>
      </c>
      <c r="E951" t="s">
        <v>6</v>
      </c>
      <c r="F951">
        <v>18.668399999999998</v>
      </c>
    </row>
    <row r="952" spans="1:10" hidden="1" x14ac:dyDescent="0.25">
      <c r="A952" t="s">
        <v>14</v>
      </c>
      <c r="B952" s="2">
        <v>43964</v>
      </c>
      <c r="C952">
        <v>2020</v>
      </c>
      <c r="D952">
        <f t="shared" si="23"/>
        <v>134</v>
      </c>
      <c r="E952" t="s">
        <v>6</v>
      </c>
      <c r="F952">
        <v>21.14</v>
      </c>
    </row>
    <row r="953" spans="1:10" hidden="1" x14ac:dyDescent="0.25">
      <c r="A953" t="s">
        <v>14</v>
      </c>
      <c r="B953" s="2">
        <v>43978</v>
      </c>
      <c r="C953">
        <v>2020</v>
      </c>
      <c r="D953">
        <f t="shared" si="23"/>
        <v>148</v>
      </c>
      <c r="E953" t="s">
        <v>6</v>
      </c>
      <c r="F953">
        <v>17.422999999999998</v>
      </c>
    </row>
    <row r="954" spans="1:10" hidden="1" x14ac:dyDescent="0.25">
      <c r="A954" t="s">
        <v>14</v>
      </c>
      <c r="B954" s="2">
        <v>43978</v>
      </c>
      <c r="C954">
        <v>2020</v>
      </c>
      <c r="D954">
        <f t="shared" si="23"/>
        <v>148</v>
      </c>
      <c r="E954" t="s">
        <v>6</v>
      </c>
      <c r="F954">
        <v>21.057399999999998</v>
      </c>
    </row>
    <row r="955" spans="1:10" hidden="1" x14ac:dyDescent="0.25">
      <c r="A955" t="s">
        <v>19</v>
      </c>
      <c r="B955" s="2">
        <v>43850</v>
      </c>
      <c r="C955">
        <v>2020</v>
      </c>
      <c r="D955">
        <f t="shared" si="23"/>
        <v>20</v>
      </c>
      <c r="E955" t="s">
        <v>9</v>
      </c>
      <c r="F955">
        <v>6.0801999999999996</v>
      </c>
    </row>
    <row r="956" spans="1:10" hidden="1" x14ac:dyDescent="0.25">
      <c r="A956" t="s">
        <v>19</v>
      </c>
      <c r="B956" s="2">
        <v>43880</v>
      </c>
      <c r="C956">
        <v>2020</v>
      </c>
      <c r="D956">
        <f t="shared" si="23"/>
        <v>50</v>
      </c>
      <c r="E956" t="s">
        <v>9</v>
      </c>
      <c r="F956">
        <v>12.821400000000001</v>
      </c>
    </row>
    <row r="957" spans="1:10" hidden="1" x14ac:dyDescent="0.25">
      <c r="A957" t="s">
        <v>19</v>
      </c>
      <c r="B957" s="2">
        <v>43892</v>
      </c>
      <c r="C957">
        <v>2020</v>
      </c>
      <c r="D957">
        <f t="shared" si="23"/>
        <v>62</v>
      </c>
      <c r="E957" t="s">
        <v>9</v>
      </c>
      <c r="F957">
        <v>14.503500000000001</v>
      </c>
    </row>
    <row r="958" spans="1:10" hidden="1" x14ac:dyDescent="0.25">
      <c r="A958" t="s">
        <v>19</v>
      </c>
      <c r="B958" s="2">
        <v>43906</v>
      </c>
      <c r="C958">
        <v>2020</v>
      </c>
      <c r="D958">
        <f t="shared" si="23"/>
        <v>76</v>
      </c>
      <c r="E958" t="s">
        <v>9</v>
      </c>
      <c r="F958">
        <v>15.633099999999999</v>
      </c>
    </row>
    <row r="959" spans="1:10" hidden="1" x14ac:dyDescent="0.25">
      <c r="A959" t="s">
        <v>19</v>
      </c>
      <c r="B959" s="2">
        <v>43949</v>
      </c>
      <c r="C959">
        <v>2020</v>
      </c>
      <c r="D959">
        <f t="shared" si="23"/>
        <v>119</v>
      </c>
      <c r="E959" t="s">
        <v>9</v>
      </c>
      <c r="F959">
        <v>18.143800000000002</v>
      </c>
      <c r="G959">
        <f>Calculations!E11</f>
        <v>18.931393555147224</v>
      </c>
      <c r="H959" t="s">
        <v>27</v>
      </c>
    </row>
    <row r="960" spans="1:10" hidden="1" x14ac:dyDescent="0.25">
      <c r="A960" t="s">
        <v>19</v>
      </c>
      <c r="B960" s="2">
        <v>43963</v>
      </c>
      <c r="C960">
        <v>2020</v>
      </c>
      <c r="D960">
        <f t="shared" si="23"/>
        <v>133</v>
      </c>
      <c r="E960" t="s">
        <v>9</v>
      </c>
      <c r="F960">
        <v>19.821999999999999</v>
      </c>
    </row>
    <row r="961" spans="1:8" hidden="1" x14ac:dyDescent="0.25">
      <c r="A961" t="s">
        <v>19</v>
      </c>
      <c r="B961" s="2">
        <v>43976</v>
      </c>
      <c r="C961">
        <v>2020</v>
      </c>
      <c r="D961">
        <f t="shared" si="23"/>
        <v>146</v>
      </c>
      <c r="E961" t="s">
        <v>9</v>
      </c>
      <c r="F961">
        <v>20.206400000000002</v>
      </c>
    </row>
    <row r="962" spans="1:8" hidden="1" x14ac:dyDescent="0.25">
      <c r="A962" t="s">
        <v>15</v>
      </c>
      <c r="B962" s="2">
        <v>44223</v>
      </c>
      <c r="C962">
        <v>2021</v>
      </c>
      <c r="D962">
        <f t="shared" ref="D962:D1025" si="24">B962-DATE(YEAR(B962),1,0)</f>
        <v>27</v>
      </c>
      <c r="E962" t="s">
        <v>6</v>
      </c>
      <c r="F962">
        <v>6.2172349019108983</v>
      </c>
    </row>
    <row r="963" spans="1:8" hidden="1" x14ac:dyDescent="0.25">
      <c r="A963" t="s">
        <v>15</v>
      </c>
      <c r="B963" s="2">
        <v>44244</v>
      </c>
      <c r="C963">
        <v>2021</v>
      </c>
      <c r="D963">
        <f t="shared" si="24"/>
        <v>48</v>
      </c>
      <c r="E963" t="s">
        <v>6</v>
      </c>
      <c r="F963">
        <v>8.8543295541579354</v>
      </c>
    </row>
    <row r="964" spans="1:8" hidden="1" x14ac:dyDescent="0.25">
      <c r="A964" t="s">
        <v>15</v>
      </c>
      <c r="B964" s="2">
        <v>44258</v>
      </c>
      <c r="C964">
        <v>2021</v>
      </c>
      <c r="D964">
        <f t="shared" si="24"/>
        <v>62</v>
      </c>
      <c r="E964" t="s">
        <v>6</v>
      </c>
      <c r="F964">
        <v>11.907888730774177</v>
      </c>
    </row>
    <row r="965" spans="1:8" hidden="1" x14ac:dyDescent="0.25">
      <c r="A965" t="s">
        <v>15</v>
      </c>
      <c r="B965" s="2">
        <v>44272</v>
      </c>
      <c r="C965">
        <v>2021</v>
      </c>
      <c r="D965">
        <f t="shared" si="24"/>
        <v>76</v>
      </c>
      <c r="E965" t="s">
        <v>6</v>
      </c>
      <c r="F965">
        <v>13.959946145677179</v>
      </c>
    </row>
    <row r="966" spans="1:8" hidden="1" x14ac:dyDescent="0.25">
      <c r="A966" t="s">
        <v>15</v>
      </c>
      <c r="B966" s="2">
        <v>44286</v>
      </c>
      <c r="C966">
        <v>2021</v>
      </c>
      <c r="D966">
        <f t="shared" si="24"/>
        <v>90</v>
      </c>
      <c r="E966" t="s">
        <v>6</v>
      </c>
      <c r="F966">
        <v>15.94766682715896</v>
      </c>
    </row>
    <row r="967" spans="1:8" hidden="1" x14ac:dyDescent="0.25">
      <c r="A967" t="s">
        <v>15</v>
      </c>
      <c r="B967" s="2">
        <v>44300</v>
      </c>
      <c r="C967">
        <v>2021</v>
      </c>
      <c r="D967">
        <f t="shared" si="24"/>
        <v>104</v>
      </c>
      <c r="E967" t="s">
        <v>6</v>
      </c>
      <c r="F967">
        <v>16.847079172988892</v>
      </c>
    </row>
    <row r="968" spans="1:8" hidden="1" x14ac:dyDescent="0.25">
      <c r="A968" t="s">
        <v>15</v>
      </c>
      <c r="B968" s="2">
        <v>44307</v>
      </c>
      <c r="C968">
        <v>2021</v>
      </c>
      <c r="D968">
        <f t="shared" si="24"/>
        <v>111</v>
      </c>
      <c r="E968" t="s">
        <v>6</v>
      </c>
      <c r="F968">
        <v>17.673615128971232</v>
      </c>
      <c r="G968">
        <f>Calculations!E7</f>
        <v>18.452075066553718</v>
      </c>
      <c r="H968" t="s">
        <v>27</v>
      </c>
    </row>
    <row r="969" spans="1:8" hidden="1" x14ac:dyDescent="0.25">
      <c r="A969" t="s">
        <v>15</v>
      </c>
      <c r="B969" s="2">
        <v>44315</v>
      </c>
      <c r="C969">
        <v>2021</v>
      </c>
      <c r="D969">
        <f t="shared" si="24"/>
        <v>119</v>
      </c>
      <c r="E969" t="s">
        <v>6</v>
      </c>
      <c r="F969">
        <v>17.494817081223879</v>
      </c>
    </row>
    <row r="970" spans="1:8" hidden="1" x14ac:dyDescent="0.25">
      <c r="A970" t="s">
        <v>15</v>
      </c>
      <c r="B970" s="2">
        <v>44321</v>
      </c>
      <c r="C970">
        <v>2021</v>
      </c>
      <c r="D970">
        <f t="shared" si="24"/>
        <v>125</v>
      </c>
      <c r="E970" t="s">
        <v>6</v>
      </c>
      <c r="F970">
        <v>19.714894814967227</v>
      </c>
    </row>
    <row r="971" spans="1:8" hidden="1" x14ac:dyDescent="0.25">
      <c r="A971" t="s">
        <v>15</v>
      </c>
      <c r="B971" s="2">
        <v>44335</v>
      </c>
      <c r="C971">
        <v>2021</v>
      </c>
      <c r="D971">
        <f t="shared" si="24"/>
        <v>139</v>
      </c>
      <c r="E971" t="s">
        <v>6</v>
      </c>
      <c r="F971">
        <v>19.764897653038307</v>
      </c>
    </row>
    <row r="972" spans="1:8" hidden="1" x14ac:dyDescent="0.25">
      <c r="A972" t="s">
        <v>15</v>
      </c>
      <c r="B972" s="2">
        <v>44348</v>
      </c>
      <c r="C972">
        <v>2021</v>
      </c>
      <c r="D972">
        <f t="shared" si="24"/>
        <v>152</v>
      </c>
      <c r="E972" t="s">
        <v>6</v>
      </c>
      <c r="F972">
        <v>20.837102416927618</v>
      </c>
    </row>
    <row r="973" spans="1:8" hidden="1" x14ac:dyDescent="0.25">
      <c r="A973" t="s">
        <v>15</v>
      </c>
      <c r="B973" s="2">
        <v>44223</v>
      </c>
      <c r="C973">
        <v>2021</v>
      </c>
      <c r="D973">
        <f t="shared" si="24"/>
        <v>27</v>
      </c>
      <c r="E973" t="s">
        <v>6</v>
      </c>
      <c r="F973">
        <v>6.9319183664277553</v>
      </c>
    </row>
    <row r="974" spans="1:8" hidden="1" x14ac:dyDescent="0.25">
      <c r="A974" t="s">
        <v>15</v>
      </c>
      <c r="B974" s="2">
        <v>44258</v>
      </c>
      <c r="C974">
        <v>2021</v>
      </c>
      <c r="D974">
        <f t="shared" si="24"/>
        <v>62</v>
      </c>
      <c r="E974" t="s">
        <v>6</v>
      </c>
      <c r="F974">
        <v>13.780894783470638</v>
      </c>
    </row>
    <row r="975" spans="1:8" hidden="1" x14ac:dyDescent="0.25">
      <c r="A975" t="s">
        <v>15</v>
      </c>
      <c r="B975" s="2">
        <v>44272</v>
      </c>
      <c r="C975">
        <v>2021</v>
      </c>
      <c r="D975">
        <f t="shared" si="24"/>
        <v>76</v>
      </c>
      <c r="E975" t="s">
        <v>6</v>
      </c>
      <c r="F975">
        <v>16.191051188890199</v>
      </c>
    </row>
    <row r="976" spans="1:8" hidden="1" x14ac:dyDescent="0.25">
      <c r="A976" t="s">
        <v>15</v>
      </c>
      <c r="B976" s="2">
        <v>44286</v>
      </c>
      <c r="C976">
        <v>2021</v>
      </c>
      <c r="D976">
        <f t="shared" si="24"/>
        <v>90</v>
      </c>
      <c r="E976" t="s">
        <v>6</v>
      </c>
      <c r="F976">
        <v>17.405492056011052</v>
      </c>
    </row>
    <row r="977" spans="1:10" hidden="1" x14ac:dyDescent="0.25">
      <c r="A977" t="s">
        <v>15</v>
      </c>
      <c r="B977" s="2">
        <v>44300</v>
      </c>
      <c r="C977">
        <v>2021</v>
      </c>
      <c r="D977">
        <f t="shared" si="24"/>
        <v>104</v>
      </c>
      <c r="E977" t="s">
        <v>6</v>
      </c>
      <c r="F977">
        <v>18.476749288753865</v>
      </c>
    </row>
    <row r="978" spans="1:10" hidden="1" x14ac:dyDescent="0.25">
      <c r="A978" t="s">
        <v>15</v>
      </c>
      <c r="B978" s="2">
        <v>44307</v>
      </c>
      <c r="C978">
        <v>2021</v>
      </c>
      <c r="D978">
        <f t="shared" si="24"/>
        <v>111</v>
      </c>
      <c r="E978" t="s">
        <v>6</v>
      </c>
      <c r="F978">
        <v>18.760523213785294</v>
      </c>
    </row>
    <row r="979" spans="1:10" hidden="1" x14ac:dyDescent="0.25">
      <c r="A979" t="s">
        <v>15</v>
      </c>
      <c r="B979" s="2">
        <v>44315</v>
      </c>
      <c r="C979">
        <v>2021</v>
      </c>
      <c r="D979">
        <f t="shared" si="24"/>
        <v>119</v>
      </c>
      <c r="E979" t="s">
        <v>6</v>
      </c>
      <c r="F979">
        <v>19.48157763281246</v>
      </c>
    </row>
    <row r="980" spans="1:10" hidden="1" x14ac:dyDescent="0.25">
      <c r="A980" t="s">
        <v>15</v>
      </c>
      <c r="B980" s="2">
        <v>44321</v>
      </c>
      <c r="C980">
        <v>2021</v>
      </c>
      <c r="D980">
        <f t="shared" si="24"/>
        <v>125</v>
      </c>
      <c r="E980" t="s">
        <v>6</v>
      </c>
      <c r="F980">
        <v>17.781141937861513</v>
      </c>
    </row>
    <row r="981" spans="1:10" hidden="1" x14ac:dyDescent="0.25">
      <c r="A981" t="s">
        <v>15</v>
      </c>
      <c r="B981" s="2">
        <v>44335</v>
      </c>
      <c r="C981">
        <v>2021</v>
      </c>
      <c r="D981">
        <f t="shared" si="24"/>
        <v>139</v>
      </c>
      <c r="E981" t="s">
        <v>6</v>
      </c>
      <c r="F981">
        <v>20.557990280205107</v>
      </c>
    </row>
    <row r="982" spans="1:10" hidden="1" x14ac:dyDescent="0.25">
      <c r="A982" t="s">
        <v>15</v>
      </c>
      <c r="B982" s="2">
        <v>44348</v>
      </c>
      <c r="C982">
        <v>2021</v>
      </c>
      <c r="D982">
        <f t="shared" si="24"/>
        <v>152</v>
      </c>
      <c r="E982" t="s">
        <v>6</v>
      </c>
      <c r="F982">
        <v>19.39898301327348</v>
      </c>
    </row>
    <row r="983" spans="1:10" hidden="1" x14ac:dyDescent="0.25">
      <c r="A983" t="s">
        <v>15</v>
      </c>
      <c r="B983" s="2">
        <v>44223</v>
      </c>
      <c r="C983">
        <v>2021</v>
      </c>
      <c r="D983">
        <f t="shared" si="24"/>
        <v>27</v>
      </c>
      <c r="E983" t="s">
        <v>6</v>
      </c>
      <c r="F983">
        <v>6.9315123712321158</v>
      </c>
    </row>
    <row r="984" spans="1:10" hidden="1" x14ac:dyDescent="0.25">
      <c r="A984" t="s">
        <v>15</v>
      </c>
      <c r="B984" s="2">
        <v>44223</v>
      </c>
      <c r="C984">
        <v>2021</v>
      </c>
      <c r="D984">
        <f t="shared" si="24"/>
        <v>27</v>
      </c>
      <c r="E984" t="s">
        <v>6</v>
      </c>
      <c r="F984">
        <v>5.4313511084294808</v>
      </c>
    </row>
    <row r="985" spans="1:10" hidden="1" x14ac:dyDescent="0.25">
      <c r="A985" t="s">
        <v>15</v>
      </c>
      <c r="B985" s="2">
        <v>44224</v>
      </c>
      <c r="C985">
        <v>2021</v>
      </c>
      <c r="D985">
        <f t="shared" si="24"/>
        <v>28</v>
      </c>
      <c r="E985" t="s">
        <v>6</v>
      </c>
      <c r="F985">
        <v>5.7144543386675126</v>
      </c>
    </row>
    <row r="986" spans="1:10" hidden="1" x14ac:dyDescent="0.25">
      <c r="A986" t="s">
        <v>15</v>
      </c>
      <c r="B986" s="2">
        <v>44244</v>
      </c>
      <c r="C986">
        <v>2021</v>
      </c>
      <c r="D986">
        <f t="shared" si="24"/>
        <v>48</v>
      </c>
      <c r="E986" t="s">
        <v>6</v>
      </c>
      <c r="F986">
        <v>8.8291548744930903</v>
      </c>
    </row>
    <row r="987" spans="1:10" hidden="1" x14ac:dyDescent="0.25">
      <c r="A987" t="s">
        <v>15</v>
      </c>
      <c r="B987" s="2">
        <v>44245</v>
      </c>
      <c r="C987">
        <v>2021</v>
      </c>
      <c r="D987">
        <f t="shared" si="24"/>
        <v>49</v>
      </c>
      <c r="E987" t="s">
        <v>6</v>
      </c>
      <c r="F987">
        <v>8.3138487145662179</v>
      </c>
    </row>
    <row r="988" spans="1:10" hidden="1" x14ac:dyDescent="0.25">
      <c r="A988" t="s">
        <v>15</v>
      </c>
      <c r="B988" s="2">
        <v>44245</v>
      </c>
      <c r="C988">
        <v>2021</v>
      </c>
      <c r="D988">
        <f t="shared" si="24"/>
        <v>49</v>
      </c>
      <c r="E988" t="s">
        <v>6</v>
      </c>
      <c r="F988">
        <v>8.0472565935445601</v>
      </c>
    </row>
    <row r="989" spans="1:10" hidden="1" x14ac:dyDescent="0.25">
      <c r="A989" t="s">
        <v>15</v>
      </c>
      <c r="B989" s="2">
        <v>44258</v>
      </c>
      <c r="C989">
        <v>2021</v>
      </c>
      <c r="D989">
        <f t="shared" si="24"/>
        <v>62</v>
      </c>
      <c r="E989" t="s">
        <v>6</v>
      </c>
      <c r="F989">
        <v>11.28362013570101</v>
      </c>
    </row>
    <row r="990" spans="1:10" hidden="1" x14ac:dyDescent="0.25">
      <c r="A990" t="s">
        <v>15</v>
      </c>
      <c r="B990" s="2">
        <v>44258</v>
      </c>
      <c r="C990">
        <v>2021</v>
      </c>
      <c r="D990">
        <f t="shared" si="24"/>
        <v>62</v>
      </c>
      <c r="E990" t="s">
        <v>6</v>
      </c>
      <c r="F990">
        <v>12.996873220121543</v>
      </c>
      <c r="J990" s="8"/>
    </row>
    <row r="991" spans="1:10" hidden="1" x14ac:dyDescent="0.25">
      <c r="A991" t="s">
        <v>15</v>
      </c>
      <c r="B991" s="2">
        <v>44258</v>
      </c>
      <c r="C991">
        <v>2021</v>
      </c>
      <c r="D991">
        <f t="shared" si="24"/>
        <v>62</v>
      </c>
      <c r="E991" t="s">
        <v>6</v>
      </c>
      <c r="F991">
        <v>11.020121811353031</v>
      </c>
    </row>
    <row r="992" spans="1:10" hidden="1" x14ac:dyDescent="0.25">
      <c r="A992" t="s">
        <v>15</v>
      </c>
      <c r="B992" s="2">
        <v>44272</v>
      </c>
      <c r="C992">
        <v>2021</v>
      </c>
      <c r="D992">
        <f t="shared" si="24"/>
        <v>76</v>
      </c>
      <c r="E992" t="s">
        <v>6</v>
      </c>
      <c r="F992">
        <v>13.065476193540855</v>
      </c>
    </row>
    <row r="993" spans="1:6" hidden="1" x14ac:dyDescent="0.25">
      <c r="A993" t="s">
        <v>15</v>
      </c>
      <c r="B993" s="2">
        <v>44272</v>
      </c>
      <c r="C993">
        <v>2021</v>
      </c>
      <c r="D993">
        <f t="shared" si="24"/>
        <v>76</v>
      </c>
      <c r="E993" t="s">
        <v>6</v>
      </c>
      <c r="F993">
        <v>15.870028059077221</v>
      </c>
    </row>
    <row r="994" spans="1:6" hidden="1" x14ac:dyDescent="0.25">
      <c r="A994" t="s">
        <v>15</v>
      </c>
      <c r="B994" s="2">
        <v>44272</v>
      </c>
      <c r="C994">
        <v>2021</v>
      </c>
      <c r="D994">
        <f t="shared" si="24"/>
        <v>76</v>
      </c>
      <c r="E994" t="s">
        <v>6</v>
      </c>
      <c r="F994">
        <v>14.223498689674621</v>
      </c>
    </row>
    <row r="995" spans="1:6" hidden="1" x14ac:dyDescent="0.25">
      <c r="A995" t="s">
        <v>15</v>
      </c>
      <c r="B995" s="2">
        <v>44286</v>
      </c>
      <c r="C995">
        <v>2021</v>
      </c>
      <c r="D995">
        <f t="shared" si="24"/>
        <v>90</v>
      </c>
      <c r="E995" t="s">
        <v>6</v>
      </c>
      <c r="F995">
        <v>17.699191578753037</v>
      </c>
    </row>
    <row r="996" spans="1:6" hidden="1" x14ac:dyDescent="0.25">
      <c r="A996" t="s">
        <v>15</v>
      </c>
      <c r="B996" s="2">
        <v>44287</v>
      </c>
      <c r="C996">
        <v>2021</v>
      </c>
      <c r="D996">
        <f t="shared" si="24"/>
        <v>91</v>
      </c>
      <c r="E996" t="s">
        <v>6</v>
      </c>
      <c r="F996">
        <v>15.108312942068499</v>
      </c>
    </row>
    <row r="997" spans="1:6" hidden="1" x14ac:dyDescent="0.25">
      <c r="A997" t="s">
        <v>15</v>
      </c>
      <c r="B997" s="2">
        <v>44287</v>
      </c>
      <c r="C997">
        <v>2021</v>
      </c>
      <c r="D997">
        <f t="shared" si="24"/>
        <v>91</v>
      </c>
      <c r="E997" t="s">
        <v>6</v>
      </c>
      <c r="F997">
        <v>15.438316897742517</v>
      </c>
    </row>
    <row r="998" spans="1:6" hidden="1" x14ac:dyDescent="0.25">
      <c r="A998" t="s">
        <v>15</v>
      </c>
      <c r="B998" s="2">
        <v>44300</v>
      </c>
      <c r="C998">
        <v>2021</v>
      </c>
      <c r="D998">
        <f t="shared" si="24"/>
        <v>104</v>
      </c>
      <c r="E998" t="s">
        <v>6</v>
      </c>
      <c r="F998">
        <v>18.205173511905102</v>
      </c>
    </row>
    <row r="999" spans="1:6" hidden="1" x14ac:dyDescent="0.25">
      <c r="A999" t="s">
        <v>15</v>
      </c>
      <c r="B999" s="2">
        <v>44301</v>
      </c>
      <c r="C999">
        <v>2021</v>
      </c>
      <c r="D999">
        <f t="shared" si="24"/>
        <v>105</v>
      </c>
      <c r="E999" t="s">
        <v>6</v>
      </c>
      <c r="F999">
        <v>17.222989608255027</v>
      </c>
    </row>
    <row r="1000" spans="1:6" hidden="1" x14ac:dyDescent="0.25">
      <c r="A1000" t="s">
        <v>15</v>
      </c>
      <c r="B1000" s="2">
        <v>44301</v>
      </c>
      <c r="C1000">
        <v>2021</v>
      </c>
      <c r="D1000">
        <f t="shared" si="24"/>
        <v>105</v>
      </c>
      <c r="E1000" t="s">
        <v>6</v>
      </c>
      <c r="F1000">
        <v>16.211048258733999</v>
      </c>
    </row>
    <row r="1001" spans="1:6" hidden="1" x14ac:dyDescent="0.25">
      <c r="A1001" t="s">
        <v>15</v>
      </c>
      <c r="B1001" s="2">
        <v>44307</v>
      </c>
      <c r="C1001">
        <v>2021</v>
      </c>
      <c r="D1001">
        <f t="shared" si="24"/>
        <v>111</v>
      </c>
      <c r="E1001" t="s">
        <v>6</v>
      </c>
      <c r="F1001">
        <v>16.707643098532472</v>
      </c>
    </row>
    <row r="1002" spans="1:6" hidden="1" x14ac:dyDescent="0.25">
      <c r="A1002" t="s">
        <v>15</v>
      </c>
      <c r="B1002" s="2">
        <v>44307</v>
      </c>
      <c r="C1002">
        <v>2021</v>
      </c>
      <c r="D1002">
        <f t="shared" si="24"/>
        <v>111</v>
      </c>
      <c r="E1002" t="s">
        <v>6</v>
      </c>
      <c r="F1002">
        <v>19.537145853036414</v>
      </c>
    </row>
    <row r="1003" spans="1:6" hidden="1" x14ac:dyDescent="0.25">
      <c r="A1003" t="s">
        <v>15</v>
      </c>
      <c r="B1003" s="2">
        <v>44307</v>
      </c>
      <c r="C1003">
        <v>2021</v>
      </c>
      <c r="D1003">
        <f t="shared" si="24"/>
        <v>111</v>
      </c>
      <c r="E1003" t="s">
        <v>6</v>
      </c>
      <c r="F1003">
        <v>17.291765167818632</v>
      </c>
    </row>
    <row r="1004" spans="1:6" hidden="1" x14ac:dyDescent="0.25">
      <c r="A1004" t="s">
        <v>15</v>
      </c>
      <c r="B1004" s="2">
        <v>44315</v>
      </c>
      <c r="C1004">
        <v>2021</v>
      </c>
      <c r="D1004">
        <f t="shared" si="24"/>
        <v>119</v>
      </c>
      <c r="E1004" t="s">
        <v>6</v>
      </c>
      <c r="F1004">
        <v>19.369444542004405</v>
      </c>
    </row>
    <row r="1005" spans="1:6" hidden="1" x14ac:dyDescent="0.25">
      <c r="A1005" t="s">
        <v>15</v>
      </c>
      <c r="B1005" s="2">
        <v>44316</v>
      </c>
      <c r="C1005">
        <v>2021</v>
      </c>
      <c r="D1005">
        <f t="shared" si="24"/>
        <v>120</v>
      </c>
      <c r="E1005" t="s">
        <v>6</v>
      </c>
      <c r="F1005">
        <v>17.499025054421459</v>
      </c>
    </row>
    <row r="1006" spans="1:6" hidden="1" x14ac:dyDescent="0.25">
      <c r="A1006" t="s">
        <v>15</v>
      </c>
      <c r="B1006" s="2">
        <v>44316</v>
      </c>
      <c r="C1006">
        <v>2021</v>
      </c>
      <c r="D1006">
        <f t="shared" si="24"/>
        <v>120</v>
      </c>
      <c r="E1006" t="s">
        <v>6</v>
      </c>
      <c r="F1006">
        <v>17.650603109848099</v>
      </c>
    </row>
    <row r="1007" spans="1:6" hidden="1" x14ac:dyDescent="0.25">
      <c r="A1007" t="s">
        <v>15</v>
      </c>
      <c r="B1007" s="2">
        <v>44321</v>
      </c>
      <c r="C1007">
        <v>2021</v>
      </c>
      <c r="D1007">
        <f t="shared" si="24"/>
        <v>125</v>
      </c>
      <c r="E1007" t="s">
        <v>6</v>
      </c>
      <c r="F1007">
        <v>20.26370901829625</v>
      </c>
    </row>
    <row r="1008" spans="1:6" hidden="1" x14ac:dyDescent="0.25">
      <c r="A1008" t="s">
        <v>15</v>
      </c>
      <c r="B1008" s="2">
        <v>44322</v>
      </c>
      <c r="C1008">
        <v>2021</v>
      </c>
      <c r="D1008">
        <f t="shared" si="24"/>
        <v>126</v>
      </c>
      <c r="E1008" t="s">
        <v>6</v>
      </c>
      <c r="F1008">
        <v>17.354245507768088</v>
      </c>
    </row>
    <row r="1009" spans="1:8" hidden="1" x14ac:dyDescent="0.25">
      <c r="A1009" t="s">
        <v>15</v>
      </c>
      <c r="B1009" s="2">
        <v>44322</v>
      </c>
      <c r="C1009">
        <v>2021</v>
      </c>
      <c r="D1009">
        <f t="shared" si="24"/>
        <v>126</v>
      </c>
      <c r="E1009" t="s">
        <v>6</v>
      </c>
      <c r="F1009">
        <v>18.87174342283873</v>
      </c>
    </row>
    <row r="1010" spans="1:8" hidden="1" x14ac:dyDescent="0.25">
      <c r="A1010" t="s">
        <v>15</v>
      </c>
      <c r="B1010" s="2">
        <v>44335</v>
      </c>
      <c r="C1010">
        <v>2021</v>
      </c>
      <c r="D1010">
        <f t="shared" si="24"/>
        <v>139</v>
      </c>
      <c r="E1010" t="s">
        <v>6</v>
      </c>
      <c r="F1010">
        <v>22.047358999831484</v>
      </c>
    </row>
    <row r="1011" spans="1:8" hidden="1" x14ac:dyDescent="0.25">
      <c r="A1011" t="s">
        <v>15</v>
      </c>
      <c r="B1011" s="2">
        <v>44336</v>
      </c>
      <c r="C1011">
        <v>2021</v>
      </c>
      <c r="D1011">
        <f t="shared" si="24"/>
        <v>140</v>
      </c>
      <c r="E1011" t="s">
        <v>6</v>
      </c>
      <c r="F1011">
        <v>17.740085747275025</v>
      </c>
    </row>
    <row r="1012" spans="1:8" hidden="1" x14ac:dyDescent="0.25">
      <c r="A1012" t="s">
        <v>15</v>
      </c>
      <c r="B1012" s="2">
        <v>44336</v>
      </c>
      <c r="C1012">
        <v>2021</v>
      </c>
      <c r="D1012">
        <f t="shared" si="24"/>
        <v>140</v>
      </c>
      <c r="E1012" t="s">
        <v>6</v>
      </c>
      <c r="F1012">
        <v>20.371931094087373</v>
      </c>
    </row>
    <row r="1013" spans="1:8" hidden="1" x14ac:dyDescent="0.25">
      <c r="A1013" t="s">
        <v>15</v>
      </c>
      <c r="B1013" s="2">
        <v>44348</v>
      </c>
      <c r="C1013">
        <v>2021</v>
      </c>
      <c r="D1013">
        <f t="shared" si="24"/>
        <v>152</v>
      </c>
      <c r="E1013" t="s">
        <v>6</v>
      </c>
      <c r="F1013">
        <v>21.524553643903822</v>
      </c>
    </row>
    <row r="1014" spans="1:8" hidden="1" x14ac:dyDescent="0.25">
      <c r="A1014" t="s">
        <v>15</v>
      </c>
      <c r="B1014" s="2">
        <v>44349</v>
      </c>
      <c r="C1014">
        <v>2021</v>
      </c>
      <c r="D1014">
        <f t="shared" si="24"/>
        <v>153</v>
      </c>
      <c r="E1014" t="s">
        <v>6</v>
      </c>
      <c r="F1014">
        <v>18.5648614072737</v>
      </c>
    </row>
    <row r="1015" spans="1:8" hidden="1" x14ac:dyDescent="0.25">
      <c r="A1015" t="s">
        <v>15</v>
      </c>
      <c r="B1015" s="2">
        <v>44349</v>
      </c>
      <c r="C1015">
        <v>2021</v>
      </c>
      <c r="D1015">
        <f t="shared" si="24"/>
        <v>153</v>
      </c>
      <c r="E1015" t="s">
        <v>6</v>
      </c>
      <c r="F1015">
        <v>19.349351733779123</v>
      </c>
    </row>
    <row r="1016" spans="1:8" hidden="1" x14ac:dyDescent="0.25">
      <c r="A1016" t="s">
        <v>20</v>
      </c>
      <c r="B1016" s="2">
        <v>44221</v>
      </c>
      <c r="C1016">
        <v>2021</v>
      </c>
      <c r="D1016">
        <f t="shared" si="24"/>
        <v>25</v>
      </c>
      <c r="E1016" t="s">
        <v>9</v>
      </c>
      <c r="F1016">
        <v>6.7398628846985886</v>
      </c>
    </row>
    <row r="1017" spans="1:8" hidden="1" x14ac:dyDescent="0.25">
      <c r="A1017" t="s">
        <v>20</v>
      </c>
      <c r="B1017" s="2">
        <v>44245</v>
      </c>
      <c r="C1017">
        <v>2021</v>
      </c>
      <c r="D1017">
        <f t="shared" si="24"/>
        <v>49</v>
      </c>
      <c r="E1017" t="s">
        <v>9</v>
      </c>
      <c r="F1017">
        <v>10.311391387844139</v>
      </c>
    </row>
    <row r="1018" spans="1:8" hidden="1" x14ac:dyDescent="0.25">
      <c r="A1018" t="s">
        <v>20</v>
      </c>
      <c r="B1018" s="2">
        <v>44256</v>
      </c>
      <c r="C1018">
        <v>2021</v>
      </c>
      <c r="D1018">
        <f t="shared" si="24"/>
        <v>60</v>
      </c>
      <c r="E1018" t="s">
        <v>9</v>
      </c>
      <c r="F1018">
        <v>12.270177875075783</v>
      </c>
    </row>
    <row r="1019" spans="1:8" hidden="1" x14ac:dyDescent="0.25">
      <c r="A1019" t="s">
        <v>20</v>
      </c>
      <c r="B1019" s="2">
        <v>44271</v>
      </c>
      <c r="C1019">
        <v>2021</v>
      </c>
      <c r="D1019">
        <f t="shared" si="24"/>
        <v>75</v>
      </c>
      <c r="E1019" t="s">
        <v>9</v>
      </c>
      <c r="F1019">
        <v>13.619012088702434</v>
      </c>
    </row>
    <row r="1020" spans="1:8" hidden="1" x14ac:dyDescent="0.25">
      <c r="A1020" t="s">
        <v>20</v>
      </c>
      <c r="B1020" s="2">
        <v>44284</v>
      </c>
      <c r="C1020">
        <v>2021</v>
      </c>
      <c r="D1020">
        <f t="shared" si="24"/>
        <v>88</v>
      </c>
      <c r="E1020" t="s">
        <v>9</v>
      </c>
      <c r="F1020">
        <v>15.027232099000203</v>
      </c>
    </row>
    <row r="1021" spans="1:8" hidden="1" x14ac:dyDescent="0.25">
      <c r="A1021" t="s">
        <v>20</v>
      </c>
      <c r="B1021" s="2">
        <v>44298</v>
      </c>
      <c r="C1021">
        <v>2021</v>
      </c>
      <c r="D1021">
        <f t="shared" si="24"/>
        <v>102</v>
      </c>
      <c r="E1021" t="s">
        <v>9</v>
      </c>
      <c r="F1021">
        <v>16.272488100957471</v>
      </c>
    </row>
    <row r="1022" spans="1:8" hidden="1" x14ac:dyDescent="0.25">
      <c r="A1022" t="s">
        <v>20</v>
      </c>
      <c r="B1022" s="2">
        <v>44307</v>
      </c>
      <c r="C1022">
        <v>2021</v>
      </c>
      <c r="D1022">
        <f t="shared" si="24"/>
        <v>111</v>
      </c>
      <c r="E1022" t="s">
        <v>9</v>
      </c>
      <c r="F1022">
        <v>17.020663419496199</v>
      </c>
    </row>
    <row r="1023" spans="1:8" hidden="1" x14ac:dyDescent="0.25">
      <c r="A1023" t="s">
        <v>20</v>
      </c>
      <c r="B1023" s="2">
        <v>44315</v>
      </c>
      <c r="C1023">
        <v>2021</v>
      </c>
      <c r="D1023">
        <f t="shared" si="24"/>
        <v>119</v>
      </c>
      <c r="E1023" t="s">
        <v>9</v>
      </c>
      <c r="F1023">
        <v>18.753000702450848</v>
      </c>
    </row>
    <row r="1024" spans="1:8" hidden="1" x14ac:dyDescent="0.25">
      <c r="A1024" t="s">
        <v>20</v>
      </c>
      <c r="B1024" s="2">
        <v>44321</v>
      </c>
      <c r="C1024">
        <v>2021</v>
      </c>
      <c r="D1024">
        <f t="shared" si="24"/>
        <v>125</v>
      </c>
      <c r="E1024" t="s">
        <v>9</v>
      </c>
      <c r="F1024">
        <v>18.060959017147049</v>
      </c>
      <c r="G1024">
        <f>Calculations!E12</f>
        <v>17.877780384502511</v>
      </c>
      <c r="H1024" t="s">
        <v>27</v>
      </c>
    </row>
    <row r="1025" spans="1:8" hidden="1" x14ac:dyDescent="0.25">
      <c r="A1025" t="s">
        <v>20</v>
      </c>
      <c r="B1025" s="2">
        <v>44333</v>
      </c>
      <c r="C1025">
        <v>2021</v>
      </c>
      <c r="D1025">
        <f t="shared" si="24"/>
        <v>137</v>
      </c>
      <c r="E1025" t="s">
        <v>9</v>
      </c>
      <c r="F1025">
        <v>18.922415892599915</v>
      </c>
    </row>
    <row r="1026" spans="1:8" hidden="1" x14ac:dyDescent="0.25">
      <c r="A1026" t="s">
        <v>20</v>
      </c>
      <c r="B1026" s="2">
        <v>44347</v>
      </c>
      <c r="C1026">
        <v>2021</v>
      </c>
      <c r="D1026">
        <f t="shared" ref="D1026:D1089" si="25">B1026-DATE(YEAR(B1026),1,0)</f>
        <v>151</v>
      </c>
      <c r="E1026" t="s">
        <v>9</v>
      </c>
      <c r="F1026">
        <v>20.1101714011625</v>
      </c>
    </row>
    <row r="1027" spans="1:8" hidden="1" x14ac:dyDescent="0.25">
      <c r="A1027" t="s">
        <v>16</v>
      </c>
      <c r="B1027" s="2">
        <v>44603</v>
      </c>
      <c r="C1027">
        <v>2022</v>
      </c>
      <c r="D1027">
        <f t="shared" si="25"/>
        <v>42</v>
      </c>
      <c r="E1027" t="s">
        <v>6</v>
      </c>
      <c r="F1027">
        <v>7.4897999999999998</v>
      </c>
    </row>
    <row r="1028" spans="1:8" hidden="1" x14ac:dyDescent="0.25">
      <c r="A1028" t="s">
        <v>16</v>
      </c>
      <c r="B1028" s="2">
        <v>44608</v>
      </c>
      <c r="C1028">
        <v>2022</v>
      </c>
      <c r="D1028">
        <f t="shared" si="25"/>
        <v>47</v>
      </c>
      <c r="E1028" t="s">
        <v>6</v>
      </c>
      <c r="F1028">
        <v>10.318</v>
      </c>
    </row>
    <row r="1029" spans="1:8" hidden="1" x14ac:dyDescent="0.25">
      <c r="A1029" t="s">
        <v>16</v>
      </c>
      <c r="B1029" s="2">
        <v>44622</v>
      </c>
      <c r="C1029">
        <v>2022</v>
      </c>
      <c r="D1029">
        <f t="shared" si="25"/>
        <v>61</v>
      </c>
      <c r="E1029" t="s">
        <v>6</v>
      </c>
      <c r="F1029">
        <v>12.741299999999999</v>
      </c>
    </row>
    <row r="1030" spans="1:8" hidden="1" x14ac:dyDescent="0.25">
      <c r="A1030" t="s">
        <v>16</v>
      </c>
      <c r="B1030" s="2">
        <v>44636</v>
      </c>
      <c r="C1030">
        <v>2022</v>
      </c>
      <c r="D1030">
        <f t="shared" si="25"/>
        <v>75</v>
      </c>
      <c r="E1030" t="s">
        <v>6</v>
      </c>
      <c r="F1030">
        <v>10.8872</v>
      </c>
    </row>
    <row r="1031" spans="1:8" hidden="1" x14ac:dyDescent="0.25">
      <c r="A1031" t="s">
        <v>16</v>
      </c>
      <c r="B1031" s="2">
        <v>44650</v>
      </c>
      <c r="C1031">
        <v>2022</v>
      </c>
      <c r="D1031">
        <f t="shared" si="25"/>
        <v>89</v>
      </c>
      <c r="E1031" t="s">
        <v>6</v>
      </c>
      <c r="F1031">
        <v>13.892000000000001</v>
      </c>
    </row>
    <row r="1032" spans="1:8" hidden="1" x14ac:dyDescent="0.25">
      <c r="A1032" t="s">
        <v>16</v>
      </c>
      <c r="B1032" s="2">
        <v>44664</v>
      </c>
      <c r="C1032">
        <v>2022</v>
      </c>
      <c r="D1032">
        <f t="shared" si="25"/>
        <v>103</v>
      </c>
      <c r="E1032" t="s">
        <v>6</v>
      </c>
      <c r="F1032">
        <v>15.2</v>
      </c>
    </row>
    <row r="1033" spans="1:8" hidden="1" x14ac:dyDescent="0.25">
      <c r="A1033" t="s">
        <v>16</v>
      </c>
      <c r="B1033" s="2">
        <v>44672</v>
      </c>
      <c r="C1033">
        <v>2022</v>
      </c>
      <c r="D1033">
        <f t="shared" si="25"/>
        <v>111</v>
      </c>
      <c r="E1033" t="s">
        <v>6</v>
      </c>
      <c r="F1033">
        <v>16.432000000000002</v>
      </c>
    </row>
    <row r="1034" spans="1:8" hidden="1" x14ac:dyDescent="0.25">
      <c r="A1034" t="s">
        <v>16</v>
      </c>
      <c r="B1034" s="2">
        <v>44680</v>
      </c>
      <c r="C1034">
        <v>2022</v>
      </c>
      <c r="D1034">
        <f t="shared" si="25"/>
        <v>119</v>
      </c>
      <c r="E1034" t="s">
        <v>6</v>
      </c>
      <c r="F1034">
        <v>16.502500000000001</v>
      </c>
      <c r="G1034">
        <f>Calculations!E8</f>
        <v>19.99069648373197</v>
      </c>
      <c r="H1034" t="s">
        <v>27</v>
      </c>
    </row>
    <row r="1035" spans="1:8" hidden="1" x14ac:dyDescent="0.25">
      <c r="A1035" t="s">
        <v>16</v>
      </c>
      <c r="B1035" s="2">
        <v>44685</v>
      </c>
      <c r="C1035">
        <v>2022</v>
      </c>
      <c r="D1035">
        <f t="shared" si="25"/>
        <v>124</v>
      </c>
      <c r="E1035" t="s">
        <v>6</v>
      </c>
      <c r="F1035">
        <v>16.732200000000002</v>
      </c>
    </row>
    <row r="1036" spans="1:8" hidden="1" x14ac:dyDescent="0.25">
      <c r="A1036" t="s">
        <v>16</v>
      </c>
      <c r="B1036" s="2">
        <v>44699</v>
      </c>
      <c r="C1036">
        <v>2022</v>
      </c>
      <c r="D1036">
        <f t="shared" si="25"/>
        <v>138</v>
      </c>
      <c r="E1036" t="s">
        <v>6</v>
      </c>
      <c r="F1036">
        <v>17.0655</v>
      </c>
    </row>
    <row r="1037" spans="1:8" hidden="1" x14ac:dyDescent="0.25">
      <c r="A1037" t="s">
        <v>16</v>
      </c>
      <c r="B1037" s="2">
        <v>44713</v>
      </c>
      <c r="C1037">
        <v>2022</v>
      </c>
      <c r="D1037">
        <f t="shared" si="25"/>
        <v>152</v>
      </c>
      <c r="E1037" t="s">
        <v>6</v>
      </c>
      <c r="F1037">
        <v>17.685500000000001</v>
      </c>
    </row>
    <row r="1038" spans="1:8" hidden="1" x14ac:dyDescent="0.25">
      <c r="A1038" t="s">
        <v>16</v>
      </c>
      <c r="B1038" s="2">
        <v>44595</v>
      </c>
      <c r="C1038">
        <v>2022</v>
      </c>
      <c r="D1038">
        <f t="shared" si="25"/>
        <v>34</v>
      </c>
      <c r="E1038" t="s">
        <v>6</v>
      </c>
      <c r="F1038">
        <v>9.6047999999999991</v>
      </c>
    </row>
    <row r="1039" spans="1:8" hidden="1" x14ac:dyDescent="0.25">
      <c r="A1039" t="s">
        <v>16</v>
      </c>
      <c r="B1039" s="2">
        <v>44608</v>
      </c>
      <c r="C1039">
        <v>2022</v>
      </c>
      <c r="D1039">
        <f t="shared" si="25"/>
        <v>47</v>
      </c>
      <c r="E1039" t="s">
        <v>6</v>
      </c>
      <c r="F1039">
        <v>12.738</v>
      </c>
    </row>
    <row r="1040" spans="1:8" hidden="1" x14ac:dyDescent="0.25">
      <c r="A1040" t="s">
        <v>16</v>
      </c>
      <c r="B1040" s="2">
        <v>44622</v>
      </c>
      <c r="C1040">
        <v>2022</v>
      </c>
      <c r="D1040">
        <f t="shared" si="25"/>
        <v>61</v>
      </c>
      <c r="E1040" t="s">
        <v>6</v>
      </c>
      <c r="F1040">
        <v>14.497</v>
      </c>
    </row>
    <row r="1041" spans="1:9" hidden="1" x14ac:dyDescent="0.25">
      <c r="A1041" t="s">
        <v>16</v>
      </c>
      <c r="B1041" s="2">
        <v>44636</v>
      </c>
      <c r="C1041">
        <v>2022</v>
      </c>
      <c r="D1041">
        <f t="shared" si="25"/>
        <v>75</v>
      </c>
      <c r="E1041" t="s">
        <v>6</v>
      </c>
      <c r="F1041">
        <v>17.078399999999998</v>
      </c>
    </row>
    <row r="1042" spans="1:9" hidden="1" x14ac:dyDescent="0.25">
      <c r="A1042" t="s">
        <v>16</v>
      </c>
      <c r="B1042" s="2">
        <v>44650</v>
      </c>
      <c r="C1042">
        <v>2022</v>
      </c>
      <c r="D1042">
        <f t="shared" si="25"/>
        <v>89</v>
      </c>
      <c r="E1042" t="s">
        <v>6</v>
      </c>
      <c r="F1042">
        <v>20.495999999999999</v>
      </c>
    </row>
    <row r="1043" spans="1:9" hidden="1" x14ac:dyDescent="0.25">
      <c r="A1043" t="s">
        <v>16</v>
      </c>
      <c r="B1043" s="2">
        <v>44664</v>
      </c>
      <c r="C1043">
        <v>2022</v>
      </c>
      <c r="D1043">
        <f t="shared" si="25"/>
        <v>103</v>
      </c>
      <c r="E1043" t="s">
        <v>6</v>
      </c>
      <c r="F1043">
        <v>22.349699999999999</v>
      </c>
    </row>
    <row r="1044" spans="1:9" hidden="1" x14ac:dyDescent="0.25">
      <c r="A1044" t="s">
        <v>16</v>
      </c>
      <c r="B1044" s="2">
        <v>44672</v>
      </c>
      <c r="C1044">
        <v>2022</v>
      </c>
      <c r="D1044">
        <f t="shared" si="25"/>
        <v>111</v>
      </c>
      <c r="E1044" t="s">
        <v>6</v>
      </c>
      <c r="F1044">
        <v>23.020800000000005</v>
      </c>
    </row>
    <row r="1045" spans="1:9" hidden="1" x14ac:dyDescent="0.25">
      <c r="A1045" t="s">
        <v>16</v>
      </c>
      <c r="B1045" s="2">
        <v>44680</v>
      </c>
      <c r="C1045">
        <v>2022</v>
      </c>
      <c r="D1045">
        <f t="shared" si="25"/>
        <v>119</v>
      </c>
      <c r="E1045" t="s">
        <v>6</v>
      </c>
      <c r="F1045">
        <v>23.687999999999999</v>
      </c>
    </row>
    <row r="1046" spans="1:9" hidden="1" x14ac:dyDescent="0.25">
      <c r="A1046" t="s">
        <v>16</v>
      </c>
      <c r="B1046" s="2">
        <v>44685</v>
      </c>
      <c r="C1046">
        <v>2022</v>
      </c>
      <c r="D1046">
        <f t="shared" si="25"/>
        <v>124</v>
      </c>
      <c r="E1046" t="s">
        <v>6</v>
      </c>
      <c r="F1046">
        <v>24.631799999999998</v>
      </c>
    </row>
    <row r="1047" spans="1:9" hidden="1" x14ac:dyDescent="0.25">
      <c r="A1047" t="s">
        <v>16</v>
      </c>
      <c r="B1047" s="2">
        <v>44699</v>
      </c>
      <c r="C1047">
        <v>2022</v>
      </c>
      <c r="D1047">
        <f t="shared" si="25"/>
        <v>138</v>
      </c>
      <c r="E1047" t="s">
        <v>6</v>
      </c>
      <c r="F1047">
        <v>25.207600000000003</v>
      </c>
    </row>
    <row r="1048" spans="1:9" hidden="1" x14ac:dyDescent="0.25">
      <c r="A1048" t="s">
        <v>16</v>
      </c>
      <c r="B1048" s="2">
        <v>44713</v>
      </c>
      <c r="C1048">
        <v>2022</v>
      </c>
      <c r="D1048">
        <f t="shared" si="25"/>
        <v>152</v>
      </c>
      <c r="E1048" t="s">
        <v>6</v>
      </c>
      <c r="F1048">
        <v>24.039699999999996</v>
      </c>
    </row>
    <row r="1049" spans="1:9" hidden="1" x14ac:dyDescent="0.25">
      <c r="A1049" t="s">
        <v>16</v>
      </c>
      <c r="B1049" s="2">
        <v>44595</v>
      </c>
      <c r="C1049">
        <v>2022</v>
      </c>
      <c r="D1049">
        <f t="shared" si="25"/>
        <v>34</v>
      </c>
      <c r="E1049" t="s">
        <v>6</v>
      </c>
      <c r="F1049">
        <v>7.4561999999999991</v>
      </c>
    </row>
    <row r="1050" spans="1:9" hidden="1" x14ac:dyDescent="0.25">
      <c r="A1050" t="s">
        <v>16</v>
      </c>
      <c r="B1050" s="2">
        <v>44608</v>
      </c>
      <c r="C1050">
        <v>2022</v>
      </c>
      <c r="D1050">
        <f t="shared" si="25"/>
        <v>47</v>
      </c>
      <c r="E1050" t="s">
        <v>6</v>
      </c>
      <c r="F1050">
        <v>11.081100000000001</v>
      </c>
    </row>
    <row r="1051" spans="1:9" hidden="1" x14ac:dyDescent="0.25">
      <c r="A1051" t="s">
        <v>16</v>
      </c>
      <c r="B1051" s="2">
        <v>44622</v>
      </c>
      <c r="C1051">
        <v>2022</v>
      </c>
      <c r="D1051">
        <f t="shared" si="25"/>
        <v>61</v>
      </c>
      <c r="E1051" t="s">
        <v>6</v>
      </c>
      <c r="F1051">
        <v>12.922000000000001</v>
      </c>
    </row>
    <row r="1052" spans="1:9" hidden="1" x14ac:dyDescent="0.25">
      <c r="A1052" t="s">
        <v>16</v>
      </c>
      <c r="B1052" s="2">
        <v>44636</v>
      </c>
      <c r="C1052">
        <v>2022</v>
      </c>
      <c r="D1052">
        <f t="shared" si="25"/>
        <v>75</v>
      </c>
      <c r="E1052" t="s">
        <v>6</v>
      </c>
      <c r="F1052">
        <v>16.5564</v>
      </c>
    </row>
    <row r="1053" spans="1:9" hidden="1" x14ac:dyDescent="0.25">
      <c r="A1053" t="s">
        <v>16</v>
      </c>
      <c r="B1053" s="2">
        <v>44650</v>
      </c>
      <c r="C1053">
        <v>2022</v>
      </c>
      <c r="D1053">
        <f t="shared" si="25"/>
        <v>89</v>
      </c>
      <c r="E1053" t="s">
        <v>6</v>
      </c>
      <c r="F1053">
        <v>17.243100000000002</v>
      </c>
    </row>
    <row r="1054" spans="1:9" hidden="1" x14ac:dyDescent="0.25">
      <c r="A1054" t="s">
        <v>16</v>
      </c>
      <c r="B1054" s="2">
        <v>44664</v>
      </c>
      <c r="C1054">
        <v>2022</v>
      </c>
      <c r="D1054">
        <f t="shared" si="25"/>
        <v>103</v>
      </c>
      <c r="E1054" t="s">
        <v>6</v>
      </c>
      <c r="F1054">
        <v>18.874200000000002</v>
      </c>
    </row>
    <row r="1055" spans="1:9" hidden="1" x14ac:dyDescent="0.25">
      <c r="A1055" t="s">
        <v>16</v>
      </c>
      <c r="B1055" s="2">
        <v>44673</v>
      </c>
      <c r="C1055">
        <v>2022</v>
      </c>
      <c r="D1055">
        <f t="shared" si="25"/>
        <v>112</v>
      </c>
      <c r="E1055" t="s">
        <v>6</v>
      </c>
      <c r="F1055">
        <v>19.495000000000001</v>
      </c>
      <c r="I1055" s="8"/>
    </row>
    <row r="1056" spans="1:9" hidden="1" x14ac:dyDescent="0.25">
      <c r="A1056" t="s">
        <v>16</v>
      </c>
      <c r="B1056" s="2">
        <v>44680</v>
      </c>
      <c r="C1056">
        <v>2022</v>
      </c>
      <c r="D1056">
        <f t="shared" si="25"/>
        <v>119</v>
      </c>
      <c r="E1056" t="s">
        <v>6</v>
      </c>
      <c r="F1056">
        <v>20.399199999999997</v>
      </c>
    </row>
    <row r="1057" spans="1:6" hidden="1" x14ac:dyDescent="0.25">
      <c r="A1057" t="s">
        <v>16</v>
      </c>
      <c r="B1057" s="2">
        <v>44685</v>
      </c>
      <c r="C1057">
        <v>2022</v>
      </c>
      <c r="D1057">
        <f t="shared" si="25"/>
        <v>124</v>
      </c>
      <c r="E1057" t="s">
        <v>6</v>
      </c>
      <c r="F1057">
        <v>22.8123</v>
      </c>
    </row>
    <row r="1058" spans="1:6" hidden="1" x14ac:dyDescent="0.25">
      <c r="A1058" t="s">
        <v>16</v>
      </c>
      <c r="B1058" s="2">
        <v>44699</v>
      </c>
      <c r="C1058">
        <v>2022</v>
      </c>
      <c r="D1058">
        <f t="shared" si="25"/>
        <v>138</v>
      </c>
      <c r="E1058" t="s">
        <v>6</v>
      </c>
      <c r="F1058">
        <v>22.352000000000004</v>
      </c>
    </row>
    <row r="1059" spans="1:6" hidden="1" x14ac:dyDescent="0.25">
      <c r="A1059" t="s">
        <v>16</v>
      </c>
      <c r="B1059" s="2">
        <v>44713</v>
      </c>
      <c r="C1059">
        <v>2022</v>
      </c>
      <c r="D1059">
        <f t="shared" si="25"/>
        <v>152</v>
      </c>
      <c r="E1059" t="s">
        <v>6</v>
      </c>
      <c r="F1059">
        <v>22.697199999999999</v>
      </c>
    </row>
    <row r="1060" spans="1:6" hidden="1" x14ac:dyDescent="0.25">
      <c r="A1060" t="s">
        <v>16</v>
      </c>
      <c r="B1060" s="2">
        <v>44595</v>
      </c>
      <c r="C1060">
        <v>2022</v>
      </c>
      <c r="D1060">
        <f t="shared" si="25"/>
        <v>34</v>
      </c>
      <c r="E1060" t="s">
        <v>6</v>
      </c>
      <c r="F1060">
        <v>6.96</v>
      </c>
    </row>
    <row r="1061" spans="1:6" hidden="1" x14ac:dyDescent="0.25">
      <c r="A1061" t="s">
        <v>16</v>
      </c>
      <c r="B1061" s="2">
        <v>44608</v>
      </c>
      <c r="C1061">
        <v>2022</v>
      </c>
      <c r="D1061">
        <f t="shared" si="25"/>
        <v>47</v>
      </c>
      <c r="E1061" t="s">
        <v>6</v>
      </c>
      <c r="F1061">
        <v>9.7843999999999998</v>
      </c>
    </row>
    <row r="1062" spans="1:6" hidden="1" x14ac:dyDescent="0.25">
      <c r="A1062" t="s">
        <v>16</v>
      </c>
      <c r="B1062" s="2">
        <v>44622</v>
      </c>
      <c r="C1062">
        <v>2022</v>
      </c>
      <c r="D1062">
        <f t="shared" si="25"/>
        <v>61</v>
      </c>
      <c r="E1062" t="s">
        <v>6</v>
      </c>
      <c r="F1062">
        <v>12.097799999999999</v>
      </c>
    </row>
    <row r="1063" spans="1:6" hidden="1" x14ac:dyDescent="0.25">
      <c r="A1063" t="s">
        <v>16</v>
      </c>
      <c r="B1063" s="2">
        <v>44636</v>
      </c>
      <c r="C1063">
        <v>2022</v>
      </c>
      <c r="D1063">
        <f t="shared" si="25"/>
        <v>75</v>
      </c>
      <c r="E1063" t="s">
        <v>6</v>
      </c>
      <c r="F1063">
        <v>13.3996</v>
      </c>
    </row>
    <row r="1064" spans="1:6" hidden="1" x14ac:dyDescent="0.25">
      <c r="A1064" t="s">
        <v>16</v>
      </c>
      <c r="B1064" s="2">
        <v>44650</v>
      </c>
      <c r="C1064">
        <v>2022</v>
      </c>
      <c r="D1064">
        <f t="shared" si="25"/>
        <v>89</v>
      </c>
      <c r="E1064" t="s">
        <v>6</v>
      </c>
      <c r="F1064">
        <v>18.352399999999999</v>
      </c>
    </row>
    <row r="1065" spans="1:6" hidden="1" x14ac:dyDescent="0.25">
      <c r="A1065" t="s">
        <v>16</v>
      </c>
      <c r="B1065" s="2">
        <v>44664</v>
      </c>
      <c r="C1065">
        <v>2022</v>
      </c>
      <c r="D1065">
        <f t="shared" si="25"/>
        <v>103</v>
      </c>
      <c r="E1065" t="s">
        <v>6</v>
      </c>
      <c r="F1065">
        <v>17.783999999999999</v>
      </c>
    </row>
    <row r="1066" spans="1:6" hidden="1" x14ac:dyDescent="0.25">
      <c r="A1066" t="s">
        <v>16</v>
      </c>
      <c r="B1066" s="2">
        <v>44673</v>
      </c>
      <c r="C1066">
        <v>2022</v>
      </c>
      <c r="D1066">
        <f t="shared" si="25"/>
        <v>112</v>
      </c>
      <c r="E1066" t="s">
        <v>6</v>
      </c>
      <c r="F1066">
        <v>17.6967</v>
      </c>
    </row>
    <row r="1067" spans="1:6" hidden="1" x14ac:dyDescent="0.25">
      <c r="A1067" t="s">
        <v>16</v>
      </c>
      <c r="B1067" s="2">
        <v>44680</v>
      </c>
      <c r="C1067">
        <v>2022</v>
      </c>
      <c r="D1067">
        <f t="shared" si="25"/>
        <v>119</v>
      </c>
      <c r="E1067" t="s">
        <v>6</v>
      </c>
      <c r="F1067">
        <v>19.3248</v>
      </c>
    </row>
    <row r="1068" spans="1:6" hidden="1" x14ac:dyDescent="0.25">
      <c r="A1068" t="s">
        <v>16</v>
      </c>
      <c r="B1068" s="2">
        <v>44685</v>
      </c>
      <c r="C1068">
        <v>2022</v>
      </c>
      <c r="D1068">
        <f t="shared" si="25"/>
        <v>124</v>
      </c>
      <c r="E1068" t="s">
        <v>6</v>
      </c>
      <c r="F1068">
        <v>20.511399999999998</v>
      </c>
    </row>
    <row r="1069" spans="1:6" hidden="1" x14ac:dyDescent="0.25">
      <c r="A1069" t="s">
        <v>16</v>
      </c>
      <c r="B1069" s="2">
        <v>44699</v>
      </c>
      <c r="C1069">
        <v>2022</v>
      </c>
      <c r="D1069">
        <f t="shared" si="25"/>
        <v>138</v>
      </c>
      <c r="E1069" t="s">
        <v>6</v>
      </c>
      <c r="F1069">
        <v>20.461199999999998</v>
      </c>
    </row>
    <row r="1070" spans="1:6" hidden="1" x14ac:dyDescent="0.25">
      <c r="A1070" t="s">
        <v>16</v>
      </c>
      <c r="B1070" s="2">
        <v>44713</v>
      </c>
      <c r="C1070">
        <v>2022</v>
      </c>
      <c r="D1070">
        <f t="shared" si="25"/>
        <v>152</v>
      </c>
      <c r="E1070" t="s">
        <v>6</v>
      </c>
      <c r="F1070">
        <v>21.339900000000004</v>
      </c>
    </row>
    <row r="1071" spans="1:6" hidden="1" x14ac:dyDescent="0.25">
      <c r="A1071" t="s">
        <v>16</v>
      </c>
      <c r="B1071" s="2">
        <v>44595</v>
      </c>
      <c r="C1071">
        <v>2022</v>
      </c>
      <c r="D1071">
        <f t="shared" si="25"/>
        <v>34</v>
      </c>
      <c r="E1071" t="s">
        <v>6</v>
      </c>
      <c r="F1071">
        <v>8.0898000000000003</v>
      </c>
    </row>
    <row r="1072" spans="1:6" hidden="1" x14ac:dyDescent="0.25">
      <c r="A1072" t="s">
        <v>16</v>
      </c>
      <c r="B1072" s="2">
        <v>44608</v>
      </c>
      <c r="C1072">
        <v>2022</v>
      </c>
      <c r="D1072">
        <f t="shared" si="25"/>
        <v>47</v>
      </c>
      <c r="E1072" t="s">
        <v>6</v>
      </c>
      <c r="F1072">
        <v>10.7502</v>
      </c>
    </row>
    <row r="1073" spans="1:6" hidden="1" x14ac:dyDescent="0.25">
      <c r="A1073" t="s">
        <v>16</v>
      </c>
      <c r="B1073" s="2">
        <v>44622</v>
      </c>
      <c r="C1073">
        <v>2022</v>
      </c>
      <c r="D1073">
        <f t="shared" si="25"/>
        <v>61</v>
      </c>
      <c r="E1073" t="s">
        <v>6</v>
      </c>
      <c r="F1073">
        <v>13.171200000000001</v>
      </c>
    </row>
    <row r="1074" spans="1:6" hidden="1" x14ac:dyDescent="0.25">
      <c r="A1074" t="s">
        <v>16</v>
      </c>
      <c r="B1074" s="2">
        <v>44636</v>
      </c>
      <c r="C1074">
        <v>2022</v>
      </c>
      <c r="D1074">
        <f t="shared" si="25"/>
        <v>75</v>
      </c>
      <c r="E1074" t="s">
        <v>6</v>
      </c>
      <c r="F1074">
        <v>12.583999999999998</v>
      </c>
    </row>
    <row r="1075" spans="1:6" hidden="1" x14ac:dyDescent="0.25">
      <c r="A1075" t="s">
        <v>16</v>
      </c>
      <c r="B1075" s="2">
        <v>44650</v>
      </c>
      <c r="C1075">
        <v>2022</v>
      </c>
      <c r="D1075">
        <f t="shared" si="25"/>
        <v>89</v>
      </c>
      <c r="E1075" t="s">
        <v>6</v>
      </c>
      <c r="F1075">
        <v>16.5564</v>
      </c>
    </row>
    <row r="1076" spans="1:6" hidden="1" x14ac:dyDescent="0.25">
      <c r="A1076" t="s">
        <v>16</v>
      </c>
      <c r="B1076" s="2">
        <v>44664</v>
      </c>
      <c r="C1076">
        <v>2022</v>
      </c>
      <c r="D1076">
        <f t="shared" si="25"/>
        <v>103</v>
      </c>
      <c r="E1076" t="s">
        <v>6</v>
      </c>
      <c r="F1076">
        <v>18.115200000000002</v>
      </c>
    </row>
    <row r="1077" spans="1:6" hidden="1" x14ac:dyDescent="0.25">
      <c r="A1077" t="s">
        <v>16</v>
      </c>
      <c r="B1077" s="2">
        <v>44672</v>
      </c>
      <c r="C1077">
        <v>2022</v>
      </c>
      <c r="D1077">
        <f t="shared" si="25"/>
        <v>111</v>
      </c>
      <c r="E1077" t="s">
        <v>6</v>
      </c>
      <c r="F1077">
        <v>19.6692</v>
      </c>
    </row>
    <row r="1078" spans="1:6" hidden="1" x14ac:dyDescent="0.25">
      <c r="A1078" t="s">
        <v>16</v>
      </c>
      <c r="B1078" s="2">
        <v>44680</v>
      </c>
      <c r="C1078">
        <v>2022</v>
      </c>
      <c r="D1078">
        <f t="shared" si="25"/>
        <v>119</v>
      </c>
      <c r="E1078" t="s">
        <v>6</v>
      </c>
      <c r="F1078">
        <v>20.550599999999999</v>
      </c>
    </row>
    <row r="1079" spans="1:6" hidden="1" x14ac:dyDescent="0.25">
      <c r="A1079" t="s">
        <v>16</v>
      </c>
      <c r="B1079" s="2">
        <v>44685</v>
      </c>
      <c r="C1079">
        <v>2022</v>
      </c>
      <c r="D1079">
        <f t="shared" si="25"/>
        <v>124</v>
      </c>
      <c r="E1079" t="s">
        <v>6</v>
      </c>
      <c r="F1079">
        <v>19.724599999999999</v>
      </c>
    </row>
    <row r="1080" spans="1:6" hidden="1" x14ac:dyDescent="0.25">
      <c r="A1080" t="s">
        <v>16</v>
      </c>
      <c r="B1080" s="2">
        <v>44699</v>
      </c>
      <c r="C1080">
        <v>2022</v>
      </c>
      <c r="D1080">
        <f t="shared" si="25"/>
        <v>138</v>
      </c>
      <c r="E1080" t="s">
        <v>6</v>
      </c>
      <c r="F1080">
        <v>21.819800000000001</v>
      </c>
    </row>
    <row r="1081" spans="1:6" hidden="1" x14ac:dyDescent="0.25">
      <c r="A1081" t="s">
        <v>16</v>
      </c>
      <c r="B1081" s="2">
        <v>44713</v>
      </c>
      <c r="C1081">
        <v>2022</v>
      </c>
      <c r="D1081">
        <f t="shared" si="25"/>
        <v>152</v>
      </c>
      <c r="E1081" t="s">
        <v>6</v>
      </c>
      <c r="F1081">
        <v>22.72</v>
      </c>
    </row>
    <row r="1082" spans="1:6" hidden="1" x14ac:dyDescent="0.25">
      <c r="A1082" t="s">
        <v>21</v>
      </c>
      <c r="B1082" s="2">
        <v>44607</v>
      </c>
      <c r="C1082">
        <v>2022</v>
      </c>
      <c r="D1082">
        <f t="shared" si="25"/>
        <v>46</v>
      </c>
      <c r="E1082" t="s">
        <v>9</v>
      </c>
      <c r="F1082">
        <v>6.507200000000001</v>
      </c>
    </row>
    <row r="1083" spans="1:6" hidden="1" x14ac:dyDescent="0.25">
      <c r="A1083" t="s">
        <v>21</v>
      </c>
      <c r="B1083" s="2">
        <v>44608</v>
      </c>
      <c r="C1083">
        <v>2022</v>
      </c>
      <c r="D1083">
        <f t="shared" si="25"/>
        <v>47</v>
      </c>
      <c r="E1083" t="s">
        <v>9</v>
      </c>
      <c r="F1083">
        <v>9.6515999999999984</v>
      </c>
    </row>
    <row r="1084" spans="1:6" hidden="1" x14ac:dyDescent="0.25">
      <c r="A1084" t="s">
        <v>21</v>
      </c>
      <c r="B1084" s="2">
        <v>44622</v>
      </c>
      <c r="C1084">
        <v>2022</v>
      </c>
      <c r="D1084">
        <f t="shared" si="25"/>
        <v>61</v>
      </c>
      <c r="E1084" t="s">
        <v>9</v>
      </c>
      <c r="F1084">
        <v>12.1128</v>
      </c>
    </row>
    <row r="1085" spans="1:6" hidden="1" x14ac:dyDescent="0.25">
      <c r="A1085" t="s">
        <v>21</v>
      </c>
      <c r="B1085" s="2">
        <v>44622</v>
      </c>
      <c r="C1085">
        <v>2022</v>
      </c>
      <c r="D1085">
        <f t="shared" si="25"/>
        <v>61</v>
      </c>
      <c r="E1085" t="s">
        <v>9</v>
      </c>
      <c r="F1085">
        <v>16.083900000000003</v>
      </c>
    </row>
    <row r="1086" spans="1:6" hidden="1" x14ac:dyDescent="0.25">
      <c r="A1086" t="s">
        <v>21</v>
      </c>
      <c r="B1086" s="2">
        <v>44635</v>
      </c>
      <c r="C1086">
        <v>2022</v>
      </c>
      <c r="D1086">
        <f t="shared" si="25"/>
        <v>74</v>
      </c>
      <c r="E1086" t="s">
        <v>9</v>
      </c>
      <c r="F1086">
        <v>13.984200000000001</v>
      </c>
    </row>
    <row r="1087" spans="1:6" hidden="1" x14ac:dyDescent="0.25">
      <c r="A1087" t="s">
        <v>21</v>
      </c>
      <c r="B1087" s="2">
        <v>44662</v>
      </c>
      <c r="C1087">
        <v>2022</v>
      </c>
      <c r="D1087">
        <f t="shared" si="25"/>
        <v>101</v>
      </c>
      <c r="E1087" t="s">
        <v>9</v>
      </c>
      <c r="F1087">
        <v>17.474599999999999</v>
      </c>
    </row>
    <row r="1088" spans="1:6" hidden="1" x14ac:dyDescent="0.25">
      <c r="A1088" t="s">
        <v>21</v>
      </c>
      <c r="B1088" s="2">
        <v>44669</v>
      </c>
      <c r="C1088">
        <v>2022</v>
      </c>
      <c r="D1088">
        <f t="shared" si="25"/>
        <v>108</v>
      </c>
      <c r="E1088" t="s">
        <v>9</v>
      </c>
      <c r="F1088">
        <v>18.167499999999997</v>
      </c>
    </row>
    <row r="1089" spans="1:8" hidden="1" x14ac:dyDescent="0.25">
      <c r="A1089" t="s">
        <v>21</v>
      </c>
      <c r="B1089" s="2">
        <v>44677</v>
      </c>
      <c r="C1089">
        <v>2022</v>
      </c>
      <c r="D1089">
        <f t="shared" si="25"/>
        <v>116</v>
      </c>
      <c r="E1089" t="s">
        <v>9</v>
      </c>
      <c r="F1089">
        <v>18.589999999999996</v>
      </c>
    </row>
    <row r="1090" spans="1:8" hidden="1" x14ac:dyDescent="0.25">
      <c r="A1090" t="s">
        <v>21</v>
      </c>
      <c r="B1090" s="2">
        <v>44683</v>
      </c>
      <c r="C1090">
        <v>2022</v>
      </c>
      <c r="D1090">
        <f t="shared" ref="D1090:D1150" si="26">B1090-DATE(YEAR(B1090),1,0)</f>
        <v>122</v>
      </c>
      <c r="E1090" t="s">
        <v>9</v>
      </c>
      <c r="F1090">
        <v>19.700099999999999</v>
      </c>
    </row>
    <row r="1091" spans="1:8" hidden="1" x14ac:dyDescent="0.25">
      <c r="A1091" t="s">
        <v>21</v>
      </c>
      <c r="B1091" s="2">
        <v>44697</v>
      </c>
      <c r="C1091">
        <v>2022</v>
      </c>
      <c r="D1091">
        <f t="shared" si="26"/>
        <v>136</v>
      </c>
      <c r="E1091" t="s">
        <v>9</v>
      </c>
      <c r="F1091">
        <v>20.844000000000001</v>
      </c>
      <c r="G1091">
        <f>Calculations!E13</f>
        <v>19.471485019685538</v>
      </c>
      <c r="H1091" t="s">
        <v>27</v>
      </c>
    </row>
    <row r="1092" spans="1:8" hidden="1" x14ac:dyDescent="0.25">
      <c r="A1092" t="s">
        <v>21</v>
      </c>
      <c r="B1092" s="2">
        <v>44711</v>
      </c>
      <c r="C1092">
        <v>2022</v>
      </c>
      <c r="D1092">
        <f t="shared" si="26"/>
        <v>150</v>
      </c>
      <c r="E1092" t="s">
        <v>9</v>
      </c>
      <c r="F1092">
        <v>21.191399999999998</v>
      </c>
    </row>
    <row r="1093" spans="1:8" hidden="1" x14ac:dyDescent="0.25">
      <c r="A1093" t="s">
        <v>17</v>
      </c>
      <c r="B1093" s="2">
        <v>44952</v>
      </c>
      <c r="C1093">
        <v>2023</v>
      </c>
      <c r="D1093">
        <f t="shared" si="26"/>
        <v>26</v>
      </c>
      <c r="E1093" t="s">
        <v>6</v>
      </c>
      <c r="F1093">
        <v>6.3356000000000003</v>
      </c>
    </row>
    <row r="1094" spans="1:8" hidden="1" x14ac:dyDescent="0.25">
      <c r="A1094" t="s">
        <v>17</v>
      </c>
      <c r="B1094" s="2">
        <v>44973</v>
      </c>
      <c r="C1094">
        <v>2023</v>
      </c>
      <c r="D1094">
        <f t="shared" si="26"/>
        <v>47</v>
      </c>
      <c r="E1094" t="s">
        <v>6</v>
      </c>
      <c r="F1094">
        <v>9.4124999999999996</v>
      </c>
    </row>
    <row r="1095" spans="1:8" hidden="1" x14ac:dyDescent="0.25">
      <c r="A1095" t="s">
        <v>17</v>
      </c>
      <c r="B1095" s="2">
        <v>44984</v>
      </c>
      <c r="C1095">
        <v>2023</v>
      </c>
      <c r="D1095">
        <f t="shared" si="26"/>
        <v>58</v>
      </c>
      <c r="E1095" t="s">
        <v>6</v>
      </c>
      <c r="F1095">
        <v>11.8299</v>
      </c>
    </row>
    <row r="1096" spans="1:8" hidden="1" x14ac:dyDescent="0.25">
      <c r="A1096" t="s">
        <v>17</v>
      </c>
      <c r="B1096" s="2">
        <v>45000</v>
      </c>
      <c r="C1096">
        <v>2023</v>
      </c>
      <c r="D1096">
        <f t="shared" si="26"/>
        <v>74</v>
      </c>
      <c r="E1096" t="s">
        <v>6</v>
      </c>
      <c r="F1096">
        <v>14.16</v>
      </c>
    </row>
    <row r="1097" spans="1:8" hidden="1" x14ac:dyDescent="0.25">
      <c r="A1097" t="s">
        <v>17</v>
      </c>
      <c r="B1097" s="2">
        <v>45015</v>
      </c>
      <c r="C1097">
        <v>2023</v>
      </c>
      <c r="D1097">
        <f t="shared" si="26"/>
        <v>89</v>
      </c>
      <c r="E1097" t="s">
        <v>6</v>
      </c>
      <c r="F1097">
        <v>15.593</v>
      </c>
    </row>
    <row r="1098" spans="1:8" hidden="1" x14ac:dyDescent="0.25">
      <c r="A1098" t="s">
        <v>17</v>
      </c>
      <c r="B1098" s="2">
        <v>45029</v>
      </c>
      <c r="C1098">
        <v>2023</v>
      </c>
      <c r="D1098">
        <f t="shared" si="26"/>
        <v>103</v>
      </c>
      <c r="E1098" t="s">
        <v>6</v>
      </c>
      <c r="F1098">
        <v>16.170999999999999</v>
      </c>
    </row>
    <row r="1099" spans="1:8" hidden="1" x14ac:dyDescent="0.25">
      <c r="A1099" t="s">
        <v>17</v>
      </c>
      <c r="B1099" s="2">
        <v>45041</v>
      </c>
      <c r="C1099">
        <v>2023</v>
      </c>
      <c r="D1099">
        <f t="shared" si="26"/>
        <v>115</v>
      </c>
      <c r="E1099" t="s">
        <v>6</v>
      </c>
      <c r="F1099">
        <v>18.248999999999999</v>
      </c>
    </row>
    <row r="1100" spans="1:8" hidden="1" x14ac:dyDescent="0.25">
      <c r="A1100" t="s">
        <v>17</v>
      </c>
      <c r="B1100" s="2">
        <v>45049</v>
      </c>
      <c r="C1100">
        <v>2023</v>
      </c>
      <c r="D1100">
        <f t="shared" si="26"/>
        <v>123</v>
      </c>
      <c r="E1100" t="s">
        <v>6</v>
      </c>
      <c r="F1100">
        <v>18.7944</v>
      </c>
      <c r="G1100">
        <f>Calculations!E9</f>
        <v>19.580314363791697</v>
      </c>
      <c r="H1100" t="s">
        <v>27</v>
      </c>
    </row>
    <row r="1101" spans="1:8" hidden="1" x14ac:dyDescent="0.25">
      <c r="A1101" t="s">
        <v>17</v>
      </c>
      <c r="B1101" s="2">
        <v>45062</v>
      </c>
      <c r="C1101">
        <v>2023</v>
      </c>
      <c r="D1101">
        <f t="shared" si="26"/>
        <v>136</v>
      </c>
      <c r="E1101" t="s">
        <v>6</v>
      </c>
      <c r="F1101">
        <v>19.488899999999997</v>
      </c>
    </row>
    <row r="1102" spans="1:8" hidden="1" x14ac:dyDescent="0.25">
      <c r="A1102" t="s">
        <v>17</v>
      </c>
      <c r="B1102" s="2">
        <v>45076</v>
      </c>
      <c r="C1102">
        <v>2023</v>
      </c>
      <c r="D1102">
        <f t="shared" si="26"/>
        <v>150</v>
      </c>
      <c r="E1102" t="s">
        <v>6</v>
      </c>
      <c r="F1102">
        <v>20.195999999999998</v>
      </c>
    </row>
    <row r="1103" spans="1:8" hidden="1" x14ac:dyDescent="0.25">
      <c r="A1103" t="s">
        <v>17</v>
      </c>
      <c r="B1103" s="2">
        <v>45083</v>
      </c>
      <c r="C1103">
        <v>2023</v>
      </c>
      <c r="D1103">
        <f t="shared" si="26"/>
        <v>157</v>
      </c>
      <c r="E1103" t="s">
        <v>6</v>
      </c>
      <c r="F1103">
        <v>19.545300000000001</v>
      </c>
    </row>
    <row r="1104" spans="1:8" hidden="1" x14ac:dyDescent="0.25">
      <c r="A1104" t="s">
        <v>17</v>
      </c>
      <c r="B1104" s="2">
        <v>44952</v>
      </c>
      <c r="C1104">
        <v>2023</v>
      </c>
      <c r="D1104">
        <f t="shared" si="26"/>
        <v>26</v>
      </c>
      <c r="E1104" t="s">
        <v>6</v>
      </c>
      <c r="F1104">
        <v>7.68</v>
      </c>
    </row>
    <row r="1105" spans="1:6" hidden="1" x14ac:dyDescent="0.25">
      <c r="A1105" t="s">
        <v>17</v>
      </c>
      <c r="B1105" s="2">
        <v>44974</v>
      </c>
      <c r="C1105">
        <v>2023</v>
      </c>
      <c r="D1105">
        <f t="shared" si="26"/>
        <v>48</v>
      </c>
      <c r="E1105" t="s">
        <v>6</v>
      </c>
      <c r="F1105">
        <v>11.2468</v>
      </c>
    </row>
    <row r="1106" spans="1:6" hidden="1" x14ac:dyDescent="0.25">
      <c r="A1106" t="s">
        <v>17</v>
      </c>
      <c r="B1106" s="2">
        <v>44984</v>
      </c>
      <c r="C1106">
        <v>2023</v>
      </c>
      <c r="D1106">
        <f t="shared" si="26"/>
        <v>58</v>
      </c>
      <c r="E1106" t="s">
        <v>6</v>
      </c>
      <c r="F1106">
        <v>14.643999999999998</v>
      </c>
    </row>
    <row r="1107" spans="1:6" hidden="1" x14ac:dyDescent="0.25">
      <c r="A1107" t="s">
        <v>17</v>
      </c>
      <c r="B1107" s="2">
        <v>45000</v>
      </c>
      <c r="C1107">
        <v>2023</v>
      </c>
      <c r="D1107">
        <f t="shared" si="26"/>
        <v>74</v>
      </c>
      <c r="E1107" t="s">
        <v>6</v>
      </c>
      <c r="F1107">
        <v>18.2835</v>
      </c>
    </row>
    <row r="1108" spans="1:6" hidden="1" x14ac:dyDescent="0.25">
      <c r="A1108" t="s">
        <v>17</v>
      </c>
      <c r="B1108" s="2">
        <v>45015</v>
      </c>
      <c r="C1108">
        <v>2023</v>
      </c>
      <c r="D1108">
        <f t="shared" si="26"/>
        <v>89</v>
      </c>
      <c r="E1108" t="s">
        <v>6</v>
      </c>
      <c r="F1108">
        <v>20.590500000000002</v>
      </c>
    </row>
    <row r="1109" spans="1:6" hidden="1" x14ac:dyDescent="0.25">
      <c r="A1109" t="s">
        <v>17</v>
      </c>
      <c r="B1109" s="2">
        <v>45029</v>
      </c>
      <c r="C1109">
        <v>2023</v>
      </c>
      <c r="D1109">
        <f t="shared" si="26"/>
        <v>103</v>
      </c>
      <c r="E1109" t="s">
        <v>6</v>
      </c>
      <c r="F1109">
        <v>22.845600000000001</v>
      </c>
    </row>
    <row r="1110" spans="1:6" hidden="1" x14ac:dyDescent="0.25">
      <c r="A1110" t="s">
        <v>17</v>
      </c>
      <c r="B1110" s="2">
        <v>45041</v>
      </c>
      <c r="C1110">
        <v>2023</v>
      </c>
      <c r="D1110">
        <f t="shared" si="26"/>
        <v>115</v>
      </c>
      <c r="E1110" t="s">
        <v>6</v>
      </c>
      <c r="F1110">
        <v>23.795200000000001</v>
      </c>
    </row>
    <row r="1111" spans="1:6" hidden="1" x14ac:dyDescent="0.25">
      <c r="A1111" t="s">
        <v>17</v>
      </c>
      <c r="B1111" s="2">
        <v>45049</v>
      </c>
      <c r="C1111">
        <v>2023</v>
      </c>
      <c r="D1111">
        <f t="shared" si="26"/>
        <v>123</v>
      </c>
      <c r="E1111" t="s">
        <v>6</v>
      </c>
      <c r="F1111">
        <v>24.320799999999998</v>
      </c>
    </row>
    <row r="1112" spans="1:6" hidden="1" x14ac:dyDescent="0.25">
      <c r="A1112" t="s">
        <v>17</v>
      </c>
      <c r="B1112" s="2">
        <v>45062</v>
      </c>
      <c r="C1112">
        <v>2023</v>
      </c>
      <c r="D1112">
        <f t="shared" si="26"/>
        <v>136</v>
      </c>
      <c r="E1112" t="s">
        <v>6</v>
      </c>
      <c r="F1112">
        <v>24.446999999999999</v>
      </c>
    </row>
    <row r="1113" spans="1:6" hidden="1" x14ac:dyDescent="0.25">
      <c r="A1113" t="s">
        <v>17</v>
      </c>
      <c r="B1113" s="2">
        <v>45077</v>
      </c>
      <c r="C1113">
        <v>2023</v>
      </c>
      <c r="D1113">
        <f t="shared" si="26"/>
        <v>151</v>
      </c>
      <c r="E1113" t="s">
        <v>6</v>
      </c>
      <c r="F1113">
        <v>24.847199999999997</v>
      </c>
    </row>
    <row r="1114" spans="1:6" hidden="1" x14ac:dyDescent="0.25">
      <c r="A1114" t="s">
        <v>17</v>
      </c>
      <c r="B1114" s="2">
        <v>45083</v>
      </c>
      <c r="C1114">
        <v>2023</v>
      </c>
      <c r="D1114">
        <f t="shared" si="26"/>
        <v>157</v>
      </c>
      <c r="E1114" t="s">
        <v>6</v>
      </c>
      <c r="F1114">
        <v>22.531999999999996</v>
      </c>
    </row>
    <row r="1115" spans="1:6" hidden="1" x14ac:dyDescent="0.25">
      <c r="A1115" t="s">
        <v>17</v>
      </c>
      <c r="B1115" s="2">
        <v>44952</v>
      </c>
      <c r="C1115">
        <v>2023</v>
      </c>
      <c r="D1115">
        <f t="shared" si="26"/>
        <v>26</v>
      </c>
      <c r="E1115" t="s">
        <v>6</v>
      </c>
      <c r="F1115">
        <v>7.3137999999999996</v>
      </c>
    </row>
    <row r="1116" spans="1:6" hidden="1" x14ac:dyDescent="0.25">
      <c r="A1116" t="s">
        <v>17</v>
      </c>
      <c r="B1116" s="2">
        <v>44973</v>
      </c>
      <c r="C1116">
        <v>2023</v>
      </c>
      <c r="D1116">
        <f t="shared" si="26"/>
        <v>47</v>
      </c>
      <c r="E1116" t="s">
        <v>6</v>
      </c>
      <c r="F1116">
        <v>11.023599999999998</v>
      </c>
    </row>
    <row r="1117" spans="1:6" hidden="1" x14ac:dyDescent="0.25">
      <c r="A1117" t="s">
        <v>17</v>
      </c>
      <c r="B1117" s="2">
        <v>44987</v>
      </c>
      <c r="C1117">
        <v>2023</v>
      </c>
      <c r="D1117">
        <f t="shared" si="26"/>
        <v>61</v>
      </c>
      <c r="E1117" t="s">
        <v>6</v>
      </c>
      <c r="F1117">
        <v>13.492799999999999</v>
      </c>
    </row>
    <row r="1118" spans="1:6" hidden="1" x14ac:dyDescent="0.25">
      <c r="A1118" t="s">
        <v>17</v>
      </c>
      <c r="B1118" s="2">
        <v>45001</v>
      </c>
      <c r="C1118">
        <v>2023</v>
      </c>
      <c r="D1118">
        <f t="shared" si="26"/>
        <v>75</v>
      </c>
      <c r="E1118" t="s">
        <v>6</v>
      </c>
      <c r="F1118">
        <v>16.840599999999998</v>
      </c>
    </row>
    <row r="1119" spans="1:6" hidden="1" x14ac:dyDescent="0.25">
      <c r="A1119" t="s">
        <v>17</v>
      </c>
      <c r="B1119" s="2">
        <v>45014</v>
      </c>
      <c r="C1119">
        <v>2023</v>
      </c>
      <c r="D1119">
        <f t="shared" si="26"/>
        <v>88</v>
      </c>
      <c r="E1119" t="s">
        <v>6</v>
      </c>
      <c r="F1119">
        <v>19.481999999999999</v>
      </c>
    </row>
    <row r="1120" spans="1:6" hidden="1" x14ac:dyDescent="0.25">
      <c r="A1120" t="s">
        <v>17</v>
      </c>
      <c r="B1120" s="2">
        <v>45029</v>
      </c>
      <c r="C1120">
        <v>2023</v>
      </c>
      <c r="D1120">
        <f t="shared" si="26"/>
        <v>103</v>
      </c>
      <c r="E1120" t="s">
        <v>6</v>
      </c>
      <c r="F1120">
        <v>22.633600000000001</v>
      </c>
    </row>
    <row r="1121" spans="1:9" hidden="1" x14ac:dyDescent="0.25">
      <c r="A1121" t="s">
        <v>17</v>
      </c>
      <c r="B1121" s="2">
        <v>45041</v>
      </c>
      <c r="C1121">
        <v>2023</v>
      </c>
      <c r="D1121">
        <f t="shared" si="26"/>
        <v>115</v>
      </c>
      <c r="E1121" t="s">
        <v>6</v>
      </c>
      <c r="F1121">
        <v>24.105599999999999</v>
      </c>
    </row>
    <row r="1122" spans="1:9" hidden="1" x14ac:dyDescent="0.25">
      <c r="A1122" t="s">
        <v>17</v>
      </c>
      <c r="B1122" s="2">
        <v>45049</v>
      </c>
      <c r="C1122">
        <v>2023</v>
      </c>
      <c r="D1122">
        <f t="shared" si="26"/>
        <v>123</v>
      </c>
      <c r="E1122" t="s">
        <v>6</v>
      </c>
      <c r="F1122">
        <v>25.936899999999994</v>
      </c>
    </row>
    <row r="1123" spans="1:9" hidden="1" x14ac:dyDescent="0.25">
      <c r="A1123" t="s">
        <v>17</v>
      </c>
      <c r="B1123" s="2">
        <v>45062</v>
      </c>
      <c r="C1123">
        <v>2023</v>
      </c>
      <c r="D1123">
        <f t="shared" si="26"/>
        <v>136</v>
      </c>
      <c r="E1123" t="s">
        <v>6</v>
      </c>
      <c r="F1123">
        <v>24.915800000000001</v>
      </c>
    </row>
    <row r="1124" spans="1:9" hidden="1" x14ac:dyDescent="0.25">
      <c r="A1124" t="s">
        <v>17</v>
      </c>
      <c r="B1124" s="2">
        <v>45076</v>
      </c>
      <c r="C1124">
        <v>2023</v>
      </c>
      <c r="D1124">
        <f t="shared" si="26"/>
        <v>150</v>
      </c>
      <c r="E1124" t="s">
        <v>6</v>
      </c>
      <c r="F1124">
        <v>24.590499999999999</v>
      </c>
    </row>
    <row r="1125" spans="1:9" hidden="1" x14ac:dyDescent="0.25">
      <c r="A1125" t="s">
        <v>17</v>
      </c>
      <c r="B1125" s="2">
        <v>45083</v>
      </c>
      <c r="C1125">
        <v>2023</v>
      </c>
      <c r="D1125">
        <f t="shared" si="26"/>
        <v>157</v>
      </c>
      <c r="E1125" t="s">
        <v>6</v>
      </c>
      <c r="F1125">
        <v>25.136999999999997</v>
      </c>
    </row>
    <row r="1126" spans="1:9" hidden="1" x14ac:dyDescent="0.25">
      <c r="A1126" t="s">
        <v>17</v>
      </c>
      <c r="B1126" s="2">
        <v>44950</v>
      </c>
      <c r="C1126">
        <v>2023</v>
      </c>
      <c r="D1126">
        <f t="shared" si="26"/>
        <v>24</v>
      </c>
      <c r="E1126" t="s">
        <v>6</v>
      </c>
      <c r="F1126">
        <v>5.7330000000000005</v>
      </c>
    </row>
    <row r="1127" spans="1:9" hidden="1" x14ac:dyDescent="0.25">
      <c r="A1127" t="s">
        <v>17</v>
      </c>
      <c r="B1127" s="2">
        <v>44974</v>
      </c>
      <c r="C1127">
        <v>2023</v>
      </c>
      <c r="D1127">
        <f t="shared" si="26"/>
        <v>48</v>
      </c>
      <c r="E1127" t="s">
        <v>6</v>
      </c>
      <c r="F1127">
        <v>8.2151000000000014</v>
      </c>
    </row>
    <row r="1128" spans="1:9" hidden="1" x14ac:dyDescent="0.25">
      <c r="A1128" t="s">
        <v>17</v>
      </c>
      <c r="B1128" s="2">
        <v>44987</v>
      </c>
      <c r="C1128">
        <v>2023</v>
      </c>
      <c r="D1128">
        <f t="shared" si="26"/>
        <v>61</v>
      </c>
      <c r="E1128" t="s">
        <v>6</v>
      </c>
      <c r="F1128">
        <v>10.610999999999999</v>
      </c>
      <c r="I1128" s="8"/>
    </row>
    <row r="1129" spans="1:9" hidden="1" x14ac:dyDescent="0.25">
      <c r="A1129" t="s">
        <v>17</v>
      </c>
      <c r="B1129" s="2">
        <v>45001</v>
      </c>
      <c r="C1129">
        <v>2023</v>
      </c>
      <c r="D1129">
        <f t="shared" si="26"/>
        <v>75</v>
      </c>
      <c r="E1129" t="s">
        <v>6</v>
      </c>
      <c r="F1129">
        <v>13.234500000000001</v>
      </c>
    </row>
    <row r="1130" spans="1:9" hidden="1" x14ac:dyDescent="0.25">
      <c r="A1130" t="s">
        <v>17</v>
      </c>
      <c r="B1130" s="2">
        <v>45014</v>
      </c>
      <c r="C1130">
        <v>2023</v>
      </c>
      <c r="D1130">
        <f t="shared" si="26"/>
        <v>88</v>
      </c>
      <c r="E1130" t="s">
        <v>6</v>
      </c>
      <c r="F1130">
        <v>15.264000000000001</v>
      </c>
    </row>
    <row r="1131" spans="1:9" hidden="1" x14ac:dyDescent="0.25">
      <c r="A1131" t="s">
        <v>17</v>
      </c>
      <c r="B1131" s="2">
        <v>45031</v>
      </c>
      <c r="C1131">
        <v>2023</v>
      </c>
      <c r="D1131">
        <f t="shared" si="26"/>
        <v>105</v>
      </c>
      <c r="E1131" t="s">
        <v>6</v>
      </c>
      <c r="F1131">
        <v>16.933800000000002</v>
      </c>
    </row>
    <row r="1132" spans="1:9" hidden="1" x14ac:dyDescent="0.25">
      <c r="A1132" t="s">
        <v>17</v>
      </c>
      <c r="B1132" s="2">
        <v>45041</v>
      </c>
      <c r="C1132">
        <v>2023</v>
      </c>
      <c r="D1132">
        <f t="shared" si="26"/>
        <v>115</v>
      </c>
      <c r="E1132" t="s">
        <v>6</v>
      </c>
      <c r="F1132">
        <v>18.791999999999998</v>
      </c>
    </row>
    <row r="1133" spans="1:9" hidden="1" x14ac:dyDescent="0.25">
      <c r="A1133" t="s">
        <v>17</v>
      </c>
      <c r="B1133" s="2">
        <v>45049</v>
      </c>
      <c r="C1133">
        <v>2023</v>
      </c>
      <c r="D1133">
        <f t="shared" si="26"/>
        <v>123</v>
      </c>
      <c r="E1133" t="s">
        <v>6</v>
      </c>
      <c r="F1133">
        <v>19.670000000000002</v>
      </c>
    </row>
    <row r="1134" spans="1:9" hidden="1" x14ac:dyDescent="0.25">
      <c r="A1134" t="s">
        <v>17</v>
      </c>
      <c r="B1134" s="2">
        <v>45062</v>
      </c>
      <c r="C1134">
        <v>2023</v>
      </c>
      <c r="D1134">
        <f t="shared" si="26"/>
        <v>136</v>
      </c>
      <c r="E1134" t="s">
        <v>6</v>
      </c>
      <c r="F1134">
        <v>20.914999999999999</v>
      </c>
    </row>
    <row r="1135" spans="1:9" hidden="1" x14ac:dyDescent="0.25">
      <c r="A1135" t="s">
        <v>17</v>
      </c>
      <c r="B1135" s="2">
        <v>45077</v>
      </c>
      <c r="C1135">
        <v>2023</v>
      </c>
      <c r="D1135">
        <f t="shared" si="26"/>
        <v>151</v>
      </c>
      <c r="E1135" t="s">
        <v>6</v>
      </c>
      <c r="F1135">
        <v>20.790399999999998</v>
      </c>
    </row>
    <row r="1136" spans="1:9" hidden="1" x14ac:dyDescent="0.25">
      <c r="A1136" t="s">
        <v>17</v>
      </c>
      <c r="B1136" s="2">
        <v>45083</v>
      </c>
      <c r="C1136">
        <v>2023</v>
      </c>
      <c r="D1136">
        <f t="shared" si="26"/>
        <v>157</v>
      </c>
      <c r="E1136" t="s">
        <v>6</v>
      </c>
      <c r="F1136">
        <v>20.262799999999999</v>
      </c>
    </row>
    <row r="1137" spans="1:6" hidden="1" x14ac:dyDescent="0.25">
      <c r="A1137" t="s">
        <v>17</v>
      </c>
      <c r="B1137" s="2">
        <v>44952</v>
      </c>
      <c r="C1137">
        <v>2023</v>
      </c>
      <c r="D1137">
        <f t="shared" si="26"/>
        <v>26</v>
      </c>
      <c r="E1137" t="s">
        <v>6</v>
      </c>
      <c r="F1137">
        <v>5.0961999999999996</v>
      </c>
    </row>
    <row r="1138" spans="1:6" hidden="1" x14ac:dyDescent="0.25">
      <c r="A1138" t="s">
        <v>17</v>
      </c>
      <c r="B1138" s="2">
        <v>44974</v>
      </c>
      <c r="C1138">
        <v>2023</v>
      </c>
      <c r="D1138">
        <f t="shared" si="26"/>
        <v>48</v>
      </c>
      <c r="E1138" t="s">
        <v>6</v>
      </c>
      <c r="F1138">
        <v>7.1189999999999998</v>
      </c>
    </row>
    <row r="1139" spans="1:6" hidden="1" x14ac:dyDescent="0.25">
      <c r="A1139" t="s">
        <v>17</v>
      </c>
      <c r="B1139" s="2">
        <v>44984</v>
      </c>
      <c r="C1139">
        <v>2023</v>
      </c>
      <c r="D1139">
        <f t="shared" si="26"/>
        <v>58</v>
      </c>
      <c r="E1139" t="s">
        <v>6</v>
      </c>
      <c r="F1139">
        <v>9.0643999999999991</v>
      </c>
    </row>
    <row r="1140" spans="1:6" hidden="1" x14ac:dyDescent="0.25">
      <c r="A1140" t="s">
        <v>17</v>
      </c>
      <c r="B1140" s="2">
        <v>45000</v>
      </c>
      <c r="C1140">
        <v>2023</v>
      </c>
      <c r="D1140">
        <f t="shared" si="26"/>
        <v>74</v>
      </c>
      <c r="E1140" t="s">
        <v>6</v>
      </c>
      <c r="F1140">
        <v>11.168299999999999</v>
      </c>
    </row>
    <row r="1141" spans="1:6" hidden="1" x14ac:dyDescent="0.25">
      <c r="A1141" t="s">
        <v>17</v>
      </c>
      <c r="B1141" s="2">
        <v>45015</v>
      </c>
      <c r="C1141">
        <v>2023</v>
      </c>
      <c r="D1141">
        <f t="shared" si="26"/>
        <v>89</v>
      </c>
      <c r="E1141" t="s">
        <v>6</v>
      </c>
      <c r="F1141">
        <v>12.615</v>
      </c>
    </row>
    <row r="1142" spans="1:6" hidden="1" x14ac:dyDescent="0.25">
      <c r="A1142" t="s">
        <v>17</v>
      </c>
      <c r="B1142" s="2">
        <v>45029</v>
      </c>
      <c r="C1142">
        <v>2023</v>
      </c>
      <c r="D1142">
        <f t="shared" si="26"/>
        <v>103</v>
      </c>
      <c r="E1142" t="s">
        <v>6</v>
      </c>
      <c r="F1142">
        <v>13.9345</v>
      </c>
    </row>
    <row r="1143" spans="1:6" hidden="1" x14ac:dyDescent="0.25">
      <c r="A1143" t="s">
        <v>17</v>
      </c>
      <c r="B1143" s="2">
        <v>45041</v>
      </c>
      <c r="C1143">
        <v>2023</v>
      </c>
      <c r="D1143">
        <f t="shared" si="26"/>
        <v>115</v>
      </c>
      <c r="E1143" t="s">
        <v>6</v>
      </c>
      <c r="F1143">
        <v>15.344000000000001</v>
      </c>
    </row>
    <row r="1144" spans="1:6" hidden="1" x14ac:dyDescent="0.25">
      <c r="A1144" t="s">
        <v>17</v>
      </c>
      <c r="B1144" s="2">
        <v>45049</v>
      </c>
      <c r="C1144">
        <v>2023</v>
      </c>
      <c r="D1144">
        <f t="shared" si="26"/>
        <v>123</v>
      </c>
      <c r="E1144" t="s">
        <v>6</v>
      </c>
      <c r="F1144">
        <v>15.1944</v>
      </c>
    </row>
    <row r="1145" spans="1:6" hidden="1" x14ac:dyDescent="0.25">
      <c r="A1145" t="s">
        <v>17</v>
      </c>
      <c r="B1145" s="2">
        <v>45062</v>
      </c>
      <c r="C1145">
        <v>2023</v>
      </c>
      <c r="D1145">
        <f t="shared" si="26"/>
        <v>136</v>
      </c>
      <c r="E1145" t="s">
        <v>6</v>
      </c>
      <c r="F1145">
        <v>15.061199999999999</v>
      </c>
    </row>
    <row r="1146" spans="1:6" hidden="1" x14ac:dyDescent="0.25">
      <c r="A1146" t="s">
        <v>17</v>
      </c>
      <c r="B1146" s="2">
        <v>45076</v>
      </c>
      <c r="C1146">
        <v>2023</v>
      </c>
      <c r="D1146">
        <f t="shared" si="26"/>
        <v>150</v>
      </c>
      <c r="E1146" t="s">
        <v>6</v>
      </c>
      <c r="F1146">
        <v>15.968</v>
      </c>
    </row>
    <row r="1147" spans="1:6" hidden="1" x14ac:dyDescent="0.25">
      <c r="A1147" t="s">
        <v>17</v>
      </c>
      <c r="B1147" s="2">
        <v>45083</v>
      </c>
      <c r="C1147">
        <v>2023</v>
      </c>
      <c r="D1147">
        <f t="shared" si="26"/>
        <v>157</v>
      </c>
      <c r="E1147" t="s">
        <v>6</v>
      </c>
      <c r="F1147">
        <v>18.631999999999998</v>
      </c>
    </row>
    <row r="1148" spans="1:6" hidden="1" x14ac:dyDescent="0.25">
      <c r="A1148" t="s">
        <v>22</v>
      </c>
      <c r="B1148" s="2">
        <v>44949</v>
      </c>
      <c r="C1148">
        <v>2023</v>
      </c>
      <c r="D1148">
        <f t="shared" si="26"/>
        <v>23</v>
      </c>
      <c r="E1148" t="s">
        <v>9</v>
      </c>
      <c r="F1148">
        <v>6.8713999999999995</v>
      </c>
    </row>
    <row r="1149" spans="1:6" hidden="1" x14ac:dyDescent="0.25">
      <c r="A1149" t="s">
        <v>22</v>
      </c>
      <c r="B1149" s="2">
        <v>44971</v>
      </c>
      <c r="C1149">
        <v>2023</v>
      </c>
      <c r="D1149">
        <f t="shared" si="26"/>
        <v>45</v>
      </c>
      <c r="E1149" t="s">
        <v>9</v>
      </c>
      <c r="F1149">
        <v>11.225600000000002</v>
      </c>
    </row>
    <row r="1150" spans="1:6" hidden="1" x14ac:dyDescent="0.25">
      <c r="A1150" t="s">
        <v>22</v>
      </c>
      <c r="B1150" s="2">
        <v>44987</v>
      </c>
      <c r="C1150">
        <v>2023</v>
      </c>
      <c r="D1150">
        <f t="shared" si="26"/>
        <v>61</v>
      </c>
      <c r="E1150" t="s">
        <v>9</v>
      </c>
      <c r="F1150">
        <v>15.862</v>
      </c>
    </row>
    <row r="1151" spans="1:6" hidden="1" x14ac:dyDescent="0.25">
      <c r="A1151" t="s">
        <v>22</v>
      </c>
      <c r="B1151" s="2">
        <v>44998</v>
      </c>
      <c r="C1151">
        <v>2023</v>
      </c>
      <c r="D1151">
        <f t="shared" ref="D1151:D1158" si="27">B1151-DATE(YEAR(B1151),1,0)</f>
        <v>72</v>
      </c>
      <c r="E1151" t="s">
        <v>9</v>
      </c>
      <c r="F1151">
        <v>16.912800000000001</v>
      </c>
    </row>
    <row r="1152" spans="1:6" hidden="1" x14ac:dyDescent="0.25">
      <c r="A1152" t="s">
        <v>22</v>
      </c>
      <c r="B1152" s="2">
        <v>45014</v>
      </c>
      <c r="C1152">
        <v>2023</v>
      </c>
      <c r="D1152">
        <f t="shared" si="27"/>
        <v>88</v>
      </c>
      <c r="E1152" t="s">
        <v>9</v>
      </c>
      <c r="F1152">
        <v>20.674400000000002</v>
      </c>
    </row>
    <row r="1153" spans="1:8" hidden="1" x14ac:dyDescent="0.25">
      <c r="A1153" t="s">
        <v>22</v>
      </c>
      <c r="B1153" s="2">
        <v>45027</v>
      </c>
      <c r="C1153">
        <v>2023</v>
      </c>
      <c r="D1153">
        <f t="shared" si="27"/>
        <v>101</v>
      </c>
      <c r="E1153" t="s">
        <v>9</v>
      </c>
      <c r="F1153">
        <v>22.05</v>
      </c>
    </row>
    <row r="1154" spans="1:8" hidden="1" x14ac:dyDescent="0.25">
      <c r="A1154" t="s">
        <v>22</v>
      </c>
      <c r="B1154" s="2">
        <v>45040</v>
      </c>
      <c r="C1154">
        <v>2023</v>
      </c>
      <c r="D1154">
        <f t="shared" si="27"/>
        <v>114</v>
      </c>
      <c r="E1154" t="s">
        <v>9</v>
      </c>
      <c r="F1154">
        <v>23.294399999999996</v>
      </c>
    </row>
    <row r="1155" spans="1:8" hidden="1" x14ac:dyDescent="0.25">
      <c r="A1155" t="s">
        <v>22</v>
      </c>
      <c r="B1155" s="2">
        <v>45047</v>
      </c>
      <c r="C1155">
        <v>2023</v>
      </c>
      <c r="D1155">
        <f t="shared" si="27"/>
        <v>121</v>
      </c>
      <c r="E1155" t="s">
        <v>9</v>
      </c>
      <c r="F1155">
        <v>23.439500000000002</v>
      </c>
    </row>
    <row r="1156" spans="1:8" hidden="1" x14ac:dyDescent="0.25">
      <c r="A1156" t="s">
        <v>22</v>
      </c>
      <c r="B1156" s="2">
        <v>45062</v>
      </c>
      <c r="C1156">
        <v>2023</v>
      </c>
      <c r="D1156">
        <f t="shared" si="27"/>
        <v>136</v>
      </c>
      <c r="E1156" t="s">
        <v>9</v>
      </c>
      <c r="F1156">
        <v>24.252000000000002</v>
      </c>
      <c r="G1156">
        <f>Calculations!E14</f>
        <v>22.985351963629231</v>
      </c>
      <c r="H1156" t="s">
        <v>27</v>
      </c>
    </row>
    <row r="1157" spans="1:8" hidden="1" x14ac:dyDescent="0.25">
      <c r="A1157" t="s">
        <v>22</v>
      </c>
      <c r="B1157" s="2">
        <v>45076</v>
      </c>
      <c r="C1157">
        <v>2023</v>
      </c>
      <c r="D1157">
        <f t="shared" si="27"/>
        <v>150</v>
      </c>
      <c r="E1157" t="s">
        <v>9</v>
      </c>
      <c r="F1157">
        <v>24.935600000000001</v>
      </c>
    </row>
    <row r="1158" spans="1:8" hidden="1" x14ac:dyDescent="0.25">
      <c r="A1158" t="s">
        <v>22</v>
      </c>
      <c r="B1158" s="2">
        <v>45083</v>
      </c>
      <c r="C1158">
        <v>2023</v>
      </c>
      <c r="D1158">
        <f t="shared" si="27"/>
        <v>157</v>
      </c>
      <c r="E1158" t="s">
        <v>9</v>
      </c>
      <c r="F1158">
        <v>24.414500000000004</v>
      </c>
    </row>
    <row r="1159" spans="1:8" hidden="1" x14ac:dyDescent="0.25">
      <c r="A1159" t="s">
        <v>18</v>
      </c>
      <c r="B1159" s="2">
        <v>45316</v>
      </c>
      <c r="C1159">
        <v>2024</v>
      </c>
      <c r="D1159">
        <f>B1159-DATE(YEAR(B1159),1,0)</f>
        <v>25</v>
      </c>
      <c r="E1159" t="s">
        <v>6</v>
      </c>
      <c r="F1159">
        <v>5.22</v>
      </c>
    </row>
    <row r="1160" spans="1:8" hidden="1" x14ac:dyDescent="0.25">
      <c r="A1160" t="s">
        <v>18</v>
      </c>
      <c r="B1160" s="2">
        <v>45337</v>
      </c>
      <c r="C1160">
        <v>2024</v>
      </c>
      <c r="D1160">
        <f t="shared" ref="D1160:D1223" si="28">B1160-DATE(YEAR(B1160),1,0)</f>
        <v>46</v>
      </c>
      <c r="E1160" t="s">
        <v>6</v>
      </c>
      <c r="F1160">
        <v>8.4240000000000013</v>
      </c>
    </row>
    <row r="1161" spans="1:8" hidden="1" x14ac:dyDescent="0.25">
      <c r="A1161" t="s">
        <v>18</v>
      </c>
      <c r="B1161" s="2">
        <v>45350</v>
      </c>
      <c r="C1161">
        <v>2024</v>
      </c>
      <c r="D1161">
        <f t="shared" si="28"/>
        <v>59</v>
      </c>
      <c r="E1161" t="s">
        <v>6</v>
      </c>
      <c r="F1161">
        <v>10.503</v>
      </c>
    </row>
    <row r="1162" spans="1:8" hidden="1" x14ac:dyDescent="0.25">
      <c r="A1162" t="s">
        <v>18</v>
      </c>
      <c r="B1162" s="2">
        <v>45364</v>
      </c>
      <c r="C1162">
        <v>2024</v>
      </c>
      <c r="D1162">
        <f t="shared" si="28"/>
        <v>73</v>
      </c>
      <c r="E1162" t="s">
        <v>6</v>
      </c>
      <c r="F1162">
        <v>12.1472</v>
      </c>
    </row>
    <row r="1163" spans="1:8" hidden="1" x14ac:dyDescent="0.25">
      <c r="A1163" t="s">
        <v>18</v>
      </c>
      <c r="B1163" s="2">
        <v>45378</v>
      </c>
      <c r="C1163">
        <v>2024</v>
      </c>
      <c r="D1163">
        <f t="shared" si="28"/>
        <v>87</v>
      </c>
      <c r="E1163" t="s">
        <v>6</v>
      </c>
      <c r="F1163">
        <v>13.311000000000002</v>
      </c>
    </row>
    <row r="1164" spans="1:8" hidden="1" x14ac:dyDescent="0.25">
      <c r="A1164" t="s">
        <v>18</v>
      </c>
      <c r="B1164" s="2">
        <v>45390</v>
      </c>
      <c r="C1164">
        <v>2024</v>
      </c>
      <c r="D1164">
        <f t="shared" si="28"/>
        <v>99</v>
      </c>
      <c r="E1164" t="s">
        <v>6</v>
      </c>
      <c r="F1164">
        <v>12.973500000000001</v>
      </c>
      <c r="G1164">
        <f>Calculations!E10</f>
        <v>16.647788744928516</v>
      </c>
      <c r="H1164" t="s">
        <v>27</v>
      </c>
    </row>
    <row r="1165" spans="1:8" hidden="1" x14ac:dyDescent="0.25">
      <c r="A1165" t="s">
        <v>18</v>
      </c>
      <c r="B1165" s="2">
        <v>45404</v>
      </c>
      <c r="C1165">
        <v>2024</v>
      </c>
      <c r="D1165">
        <f t="shared" si="28"/>
        <v>113</v>
      </c>
      <c r="E1165" t="s">
        <v>6</v>
      </c>
      <c r="F1165">
        <v>14.267999999999999</v>
      </c>
    </row>
    <row r="1166" spans="1:8" hidden="1" x14ac:dyDescent="0.25">
      <c r="A1166" t="s">
        <v>18</v>
      </c>
      <c r="B1166" s="2">
        <v>45414</v>
      </c>
      <c r="C1166">
        <v>2024</v>
      </c>
      <c r="D1166">
        <f t="shared" si="28"/>
        <v>123</v>
      </c>
      <c r="E1166" t="s">
        <v>6</v>
      </c>
      <c r="F1166">
        <v>15.624000000000001</v>
      </c>
    </row>
    <row r="1167" spans="1:8" hidden="1" x14ac:dyDescent="0.25">
      <c r="A1167" t="s">
        <v>18</v>
      </c>
      <c r="B1167" s="2">
        <v>45425</v>
      </c>
      <c r="C1167">
        <v>2024</v>
      </c>
      <c r="D1167">
        <f t="shared" si="28"/>
        <v>134</v>
      </c>
      <c r="E1167" t="s">
        <v>6</v>
      </c>
      <c r="F1167">
        <v>15.652000000000001</v>
      </c>
    </row>
    <row r="1168" spans="1:8" hidden="1" x14ac:dyDescent="0.25">
      <c r="A1168" t="s">
        <v>18</v>
      </c>
      <c r="B1168" s="2">
        <v>45439</v>
      </c>
      <c r="C1168">
        <v>2024</v>
      </c>
      <c r="D1168">
        <f t="shared" si="28"/>
        <v>148</v>
      </c>
      <c r="E1168" t="s">
        <v>6</v>
      </c>
      <c r="F1168">
        <v>14.858400000000001</v>
      </c>
    </row>
    <row r="1169" spans="1:6" hidden="1" x14ac:dyDescent="0.25">
      <c r="A1169" t="s">
        <v>18</v>
      </c>
      <c r="B1169" s="2">
        <v>45454</v>
      </c>
      <c r="C1169">
        <v>2024</v>
      </c>
      <c r="D1169">
        <f t="shared" si="28"/>
        <v>163</v>
      </c>
      <c r="E1169" t="s">
        <v>6</v>
      </c>
      <c r="F1169">
        <v>14.500800000000002</v>
      </c>
    </row>
    <row r="1170" spans="1:6" hidden="1" x14ac:dyDescent="0.25">
      <c r="A1170" t="s">
        <v>18</v>
      </c>
      <c r="B1170" s="2">
        <v>45314</v>
      </c>
      <c r="C1170">
        <v>2024</v>
      </c>
      <c r="D1170">
        <f t="shared" si="28"/>
        <v>23</v>
      </c>
      <c r="E1170" t="s">
        <v>6</v>
      </c>
      <c r="F1170">
        <v>5.7376000000000014</v>
      </c>
    </row>
    <row r="1171" spans="1:6" hidden="1" x14ac:dyDescent="0.25">
      <c r="A1171" t="s">
        <v>18</v>
      </c>
      <c r="B1171" s="2">
        <v>45337</v>
      </c>
      <c r="C1171">
        <v>2024</v>
      </c>
      <c r="D1171">
        <f t="shared" si="28"/>
        <v>46</v>
      </c>
      <c r="E1171" t="s">
        <v>6</v>
      </c>
      <c r="F1171">
        <v>10.566399999999998</v>
      </c>
    </row>
    <row r="1172" spans="1:6" hidden="1" x14ac:dyDescent="0.25">
      <c r="A1172" t="s">
        <v>18</v>
      </c>
      <c r="B1172" s="2">
        <v>45348</v>
      </c>
      <c r="C1172">
        <v>2024</v>
      </c>
      <c r="D1172">
        <f t="shared" si="28"/>
        <v>57</v>
      </c>
      <c r="E1172" t="s">
        <v>6</v>
      </c>
      <c r="F1172">
        <v>11.4376</v>
      </c>
    </row>
    <row r="1173" spans="1:6" hidden="1" x14ac:dyDescent="0.25">
      <c r="A1173" t="s">
        <v>18</v>
      </c>
      <c r="B1173" s="2">
        <v>45365</v>
      </c>
      <c r="C1173">
        <v>2024</v>
      </c>
      <c r="D1173">
        <f t="shared" si="28"/>
        <v>74</v>
      </c>
      <c r="E1173" t="s">
        <v>6</v>
      </c>
      <c r="F1173">
        <v>14.351400000000002</v>
      </c>
    </row>
    <row r="1174" spans="1:6" hidden="1" x14ac:dyDescent="0.25">
      <c r="A1174" t="s">
        <v>18</v>
      </c>
      <c r="B1174" s="2">
        <v>45379</v>
      </c>
      <c r="C1174">
        <v>2024</v>
      </c>
      <c r="D1174">
        <f t="shared" si="28"/>
        <v>88</v>
      </c>
      <c r="E1174" t="s">
        <v>6</v>
      </c>
      <c r="F1174">
        <v>16.467200000000002</v>
      </c>
    </row>
    <row r="1175" spans="1:6" hidden="1" x14ac:dyDescent="0.25">
      <c r="A1175" t="s">
        <v>18</v>
      </c>
      <c r="B1175" s="2">
        <v>45393</v>
      </c>
      <c r="C1175">
        <v>2024</v>
      </c>
      <c r="D1175">
        <f t="shared" si="28"/>
        <v>102</v>
      </c>
      <c r="E1175" t="s">
        <v>6</v>
      </c>
      <c r="F1175">
        <v>17.629000000000001</v>
      </c>
    </row>
    <row r="1176" spans="1:6" hidden="1" x14ac:dyDescent="0.25">
      <c r="A1176" t="s">
        <v>18</v>
      </c>
      <c r="B1176" s="2">
        <v>45407</v>
      </c>
      <c r="C1176">
        <v>2024</v>
      </c>
      <c r="D1176">
        <f t="shared" si="28"/>
        <v>116</v>
      </c>
      <c r="E1176" t="s">
        <v>6</v>
      </c>
      <c r="F1176">
        <v>18.948599999999999</v>
      </c>
    </row>
    <row r="1177" spans="1:6" hidden="1" x14ac:dyDescent="0.25">
      <c r="A1177" t="s">
        <v>18</v>
      </c>
      <c r="B1177" s="2">
        <v>45414</v>
      </c>
      <c r="C1177">
        <v>2024</v>
      </c>
      <c r="D1177">
        <f t="shared" si="28"/>
        <v>123</v>
      </c>
      <c r="E1177" t="s">
        <v>6</v>
      </c>
      <c r="F1177">
        <v>20.6096</v>
      </c>
    </row>
    <row r="1178" spans="1:6" hidden="1" x14ac:dyDescent="0.25">
      <c r="A1178" t="s">
        <v>18</v>
      </c>
      <c r="B1178" s="2">
        <v>45425</v>
      </c>
      <c r="C1178">
        <v>2024</v>
      </c>
      <c r="D1178">
        <f t="shared" si="28"/>
        <v>134</v>
      </c>
      <c r="E1178" t="s">
        <v>6</v>
      </c>
      <c r="F1178">
        <v>20.810399999999994</v>
      </c>
    </row>
    <row r="1179" spans="1:6" hidden="1" x14ac:dyDescent="0.25">
      <c r="A1179" t="s">
        <v>18</v>
      </c>
      <c r="B1179" s="2">
        <v>45441</v>
      </c>
      <c r="C1179">
        <v>2024</v>
      </c>
      <c r="D1179">
        <f t="shared" si="28"/>
        <v>150</v>
      </c>
      <c r="E1179" t="s">
        <v>6</v>
      </c>
      <c r="F1179">
        <v>20.833099999999998</v>
      </c>
    </row>
    <row r="1180" spans="1:6" hidden="1" x14ac:dyDescent="0.25">
      <c r="A1180" t="s">
        <v>18</v>
      </c>
      <c r="B1180" s="2">
        <v>45453</v>
      </c>
      <c r="C1180">
        <v>2024</v>
      </c>
      <c r="D1180">
        <f t="shared" si="28"/>
        <v>162</v>
      </c>
      <c r="E1180" t="s">
        <v>6</v>
      </c>
      <c r="F1180">
        <v>20.495499999999996</v>
      </c>
    </row>
    <row r="1181" spans="1:6" hidden="1" x14ac:dyDescent="0.25">
      <c r="A1181" t="s">
        <v>18</v>
      </c>
      <c r="B1181" s="2">
        <v>45314</v>
      </c>
      <c r="C1181">
        <v>2024</v>
      </c>
      <c r="D1181">
        <f t="shared" si="28"/>
        <v>23</v>
      </c>
      <c r="E1181" t="s">
        <v>6</v>
      </c>
      <c r="F1181">
        <v>4.9717000000000002</v>
      </c>
    </row>
    <row r="1182" spans="1:6" hidden="1" x14ac:dyDescent="0.25">
      <c r="A1182" t="s">
        <v>18</v>
      </c>
      <c r="B1182" s="2">
        <v>45336</v>
      </c>
      <c r="C1182">
        <v>2024</v>
      </c>
      <c r="D1182">
        <f t="shared" si="28"/>
        <v>45</v>
      </c>
      <c r="E1182" t="s">
        <v>6</v>
      </c>
      <c r="F1182">
        <v>7.9373000000000005</v>
      </c>
    </row>
    <row r="1183" spans="1:6" hidden="1" x14ac:dyDescent="0.25">
      <c r="A1183" t="s">
        <v>18</v>
      </c>
      <c r="B1183" s="2">
        <v>45348</v>
      </c>
      <c r="C1183">
        <v>2024</v>
      </c>
      <c r="D1183">
        <f t="shared" si="28"/>
        <v>57</v>
      </c>
      <c r="E1183" t="s">
        <v>6</v>
      </c>
      <c r="F1183">
        <v>10.111500000000001</v>
      </c>
    </row>
    <row r="1184" spans="1:6" hidden="1" x14ac:dyDescent="0.25">
      <c r="A1184" t="s">
        <v>18</v>
      </c>
      <c r="B1184" s="2">
        <v>45365</v>
      </c>
      <c r="C1184">
        <v>2024</v>
      </c>
      <c r="D1184">
        <f t="shared" si="28"/>
        <v>74</v>
      </c>
      <c r="E1184" t="s">
        <v>6</v>
      </c>
      <c r="F1184">
        <v>12.935199999999998</v>
      </c>
    </row>
    <row r="1185" spans="1:12" hidden="1" x14ac:dyDescent="0.25">
      <c r="A1185" t="s">
        <v>18</v>
      </c>
      <c r="B1185" s="2">
        <v>45379</v>
      </c>
      <c r="C1185">
        <v>2024</v>
      </c>
      <c r="D1185">
        <f t="shared" si="28"/>
        <v>88</v>
      </c>
      <c r="E1185" t="s">
        <v>6</v>
      </c>
      <c r="F1185">
        <v>14.8748</v>
      </c>
    </row>
    <row r="1186" spans="1:12" hidden="1" x14ac:dyDescent="0.25">
      <c r="A1186" t="s">
        <v>18</v>
      </c>
      <c r="B1186" s="2">
        <v>45390</v>
      </c>
      <c r="C1186">
        <v>2024</v>
      </c>
      <c r="D1186">
        <f t="shared" si="28"/>
        <v>99</v>
      </c>
      <c r="E1186" t="s">
        <v>6</v>
      </c>
      <c r="F1186">
        <v>15.4224</v>
      </c>
      <c r="H1186" s="8"/>
    </row>
    <row r="1187" spans="1:12" hidden="1" x14ac:dyDescent="0.25">
      <c r="A1187" t="s">
        <v>18</v>
      </c>
      <c r="B1187" s="2">
        <v>45404</v>
      </c>
      <c r="C1187">
        <v>2024</v>
      </c>
      <c r="D1187">
        <f t="shared" si="28"/>
        <v>113</v>
      </c>
      <c r="E1187" t="s">
        <v>6</v>
      </c>
      <c r="F1187">
        <v>16.8904</v>
      </c>
    </row>
    <row r="1188" spans="1:12" hidden="1" x14ac:dyDescent="0.25">
      <c r="A1188" t="s">
        <v>18</v>
      </c>
      <c r="B1188" s="2">
        <v>45413</v>
      </c>
      <c r="C1188">
        <v>2024</v>
      </c>
      <c r="D1188">
        <f t="shared" si="28"/>
        <v>122</v>
      </c>
      <c r="E1188" t="s">
        <v>6</v>
      </c>
      <c r="F1188">
        <v>18.000899999999998</v>
      </c>
    </row>
    <row r="1189" spans="1:12" hidden="1" x14ac:dyDescent="0.25">
      <c r="A1189" t="s">
        <v>18</v>
      </c>
      <c r="B1189" s="2">
        <v>45425</v>
      </c>
      <c r="C1189">
        <v>2024</v>
      </c>
      <c r="D1189">
        <f t="shared" si="28"/>
        <v>134</v>
      </c>
      <c r="E1189" t="s">
        <v>6</v>
      </c>
      <c r="F1189">
        <v>19.007199999999997</v>
      </c>
    </row>
    <row r="1190" spans="1:12" hidden="1" x14ac:dyDescent="0.25">
      <c r="A1190" t="s">
        <v>18</v>
      </c>
      <c r="B1190" s="2">
        <v>45441</v>
      </c>
      <c r="C1190">
        <v>2024</v>
      </c>
      <c r="D1190">
        <f t="shared" si="28"/>
        <v>150</v>
      </c>
      <c r="E1190" t="s">
        <v>6</v>
      </c>
      <c r="F1190">
        <v>17.756799999999998</v>
      </c>
    </row>
    <row r="1191" spans="1:12" hidden="1" x14ac:dyDescent="0.25">
      <c r="A1191" t="s">
        <v>18</v>
      </c>
      <c r="B1191" s="2">
        <v>45453</v>
      </c>
      <c r="C1191">
        <v>2024</v>
      </c>
      <c r="D1191">
        <f t="shared" si="28"/>
        <v>162</v>
      </c>
      <c r="E1191" t="s">
        <v>6</v>
      </c>
      <c r="F1191">
        <v>17.963999999999999</v>
      </c>
    </row>
    <row r="1192" spans="1:12" hidden="1" x14ac:dyDescent="0.25">
      <c r="A1192" t="s">
        <v>18</v>
      </c>
      <c r="B1192" s="2">
        <v>45316</v>
      </c>
      <c r="C1192">
        <v>2024</v>
      </c>
      <c r="D1192">
        <f t="shared" si="28"/>
        <v>25</v>
      </c>
      <c r="E1192" t="s">
        <v>6</v>
      </c>
      <c r="F1192">
        <v>4.739300000000001</v>
      </c>
      <c r="L1192" s="8"/>
    </row>
    <row r="1193" spans="1:12" hidden="1" x14ac:dyDescent="0.25">
      <c r="A1193" t="s">
        <v>18</v>
      </c>
      <c r="B1193" s="2">
        <v>45337</v>
      </c>
      <c r="C1193">
        <v>2024</v>
      </c>
      <c r="D1193">
        <f t="shared" si="28"/>
        <v>46</v>
      </c>
      <c r="E1193" t="s">
        <v>6</v>
      </c>
      <c r="F1193">
        <v>8.3186999999999998</v>
      </c>
    </row>
    <row r="1194" spans="1:12" hidden="1" x14ac:dyDescent="0.25">
      <c r="A1194" t="s">
        <v>18</v>
      </c>
      <c r="B1194" s="2">
        <v>45350</v>
      </c>
      <c r="C1194">
        <v>2024</v>
      </c>
      <c r="D1194">
        <f t="shared" si="28"/>
        <v>59</v>
      </c>
      <c r="E1194" t="s">
        <v>6</v>
      </c>
      <c r="F1194">
        <v>10.472000000000001</v>
      </c>
    </row>
    <row r="1195" spans="1:12" hidden="1" x14ac:dyDescent="0.25">
      <c r="A1195" t="s">
        <v>18</v>
      </c>
      <c r="B1195" s="2">
        <v>45364</v>
      </c>
      <c r="C1195">
        <v>2024</v>
      </c>
      <c r="D1195">
        <f t="shared" si="28"/>
        <v>73</v>
      </c>
      <c r="E1195" t="s">
        <v>6</v>
      </c>
      <c r="F1195">
        <v>12.465</v>
      </c>
    </row>
    <row r="1196" spans="1:12" hidden="1" x14ac:dyDescent="0.25">
      <c r="A1196" t="s">
        <v>18</v>
      </c>
      <c r="B1196" s="2">
        <v>45378</v>
      </c>
      <c r="C1196">
        <v>2024</v>
      </c>
      <c r="D1196">
        <f t="shared" si="28"/>
        <v>87</v>
      </c>
      <c r="E1196" t="s">
        <v>6</v>
      </c>
      <c r="F1196">
        <v>13.880699999999999</v>
      </c>
    </row>
    <row r="1197" spans="1:12" hidden="1" x14ac:dyDescent="0.25">
      <c r="A1197" t="s">
        <v>18</v>
      </c>
      <c r="B1197" s="2">
        <v>45393</v>
      </c>
      <c r="C1197">
        <v>2024</v>
      </c>
      <c r="D1197">
        <f t="shared" si="28"/>
        <v>102</v>
      </c>
      <c r="E1197" t="s">
        <v>6</v>
      </c>
      <c r="F1197">
        <v>14.1158</v>
      </c>
    </row>
    <row r="1198" spans="1:12" hidden="1" x14ac:dyDescent="0.25">
      <c r="A1198" t="s">
        <v>18</v>
      </c>
      <c r="B1198" s="2">
        <v>45404</v>
      </c>
      <c r="C1198">
        <v>2024</v>
      </c>
      <c r="D1198">
        <f t="shared" si="28"/>
        <v>113</v>
      </c>
      <c r="E1198" t="s">
        <v>6</v>
      </c>
      <c r="F1198">
        <v>14.5962</v>
      </c>
    </row>
    <row r="1199" spans="1:12" hidden="1" x14ac:dyDescent="0.25">
      <c r="A1199" t="s">
        <v>18</v>
      </c>
      <c r="B1199" s="2">
        <v>45414</v>
      </c>
      <c r="C1199">
        <v>2024</v>
      </c>
      <c r="D1199">
        <f t="shared" si="28"/>
        <v>123</v>
      </c>
      <c r="E1199" t="s">
        <v>6</v>
      </c>
      <c r="F1199">
        <v>17.0487</v>
      </c>
    </row>
    <row r="1200" spans="1:12" hidden="1" x14ac:dyDescent="0.25">
      <c r="A1200" t="s">
        <v>18</v>
      </c>
      <c r="B1200" s="2">
        <v>45425</v>
      </c>
      <c r="C1200">
        <v>2024</v>
      </c>
      <c r="D1200">
        <f t="shared" si="28"/>
        <v>134</v>
      </c>
      <c r="E1200" t="s">
        <v>6</v>
      </c>
      <c r="F1200">
        <v>17.490300000000001</v>
      </c>
    </row>
    <row r="1201" spans="1:6" hidden="1" x14ac:dyDescent="0.25">
      <c r="A1201" t="s">
        <v>18</v>
      </c>
      <c r="B1201" s="2">
        <v>45441</v>
      </c>
      <c r="C1201">
        <v>2024</v>
      </c>
      <c r="D1201">
        <f t="shared" si="28"/>
        <v>150</v>
      </c>
      <c r="E1201" t="s">
        <v>6</v>
      </c>
      <c r="F1201">
        <v>17.7531</v>
      </c>
    </row>
    <row r="1202" spans="1:6" hidden="1" x14ac:dyDescent="0.25">
      <c r="A1202" t="s">
        <v>18</v>
      </c>
      <c r="B1202" s="2">
        <v>45453</v>
      </c>
      <c r="C1202">
        <v>2024</v>
      </c>
      <c r="D1202">
        <f t="shared" si="28"/>
        <v>162</v>
      </c>
      <c r="E1202" t="s">
        <v>6</v>
      </c>
      <c r="F1202">
        <v>17.337200000000003</v>
      </c>
    </row>
    <row r="1203" spans="1:6" hidden="1" x14ac:dyDescent="0.25">
      <c r="A1203" t="s">
        <v>18</v>
      </c>
      <c r="B1203" s="2">
        <v>45316</v>
      </c>
      <c r="C1203">
        <v>2024</v>
      </c>
      <c r="D1203">
        <f t="shared" si="28"/>
        <v>25</v>
      </c>
      <c r="E1203" t="s">
        <v>6</v>
      </c>
      <c r="F1203">
        <v>5.6027999999999993</v>
      </c>
    </row>
    <row r="1204" spans="1:6" hidden="1" x14ac:dyDescent="0.25">
      <c r="A1204" t="s">
        <v>18</v>
      </c>
      <c r="B1204" s="2">
        <v>45337</v>
      </c>
      <c r="C1204">
        <v>2024</v>
      </c>
      <c r="D1204">
        <f t="shared" si="28"/>
        <v>46</v>
      </c>
      <c r="E1204" t="s">
        <v>6</v>
      </c>
      <c r="F1204">
        <v>8.3005999999999993</v>
      </c>
    </row>
    <row r="1205" spans="1:6" hidden="1" x14ac:dyDescent="0.25">
      <c r="A1205" t="s">
        <v>18</v>
      </c>
      <c r="B1205" s="2">
        <v>45350</v>
      </c>
      <c r="C1205">
        <v>2024</v>
      </c>
      <c r="D1205">
        <f t="shared" si="28"/>
        <v>59</v>
      </c>
      <c r="E1205" t="s">
        <v>6</v>
      </c>
      <c r="F1205">
        <v>11.6775</v>
      </c>
    </row>
    <row r="1206" spans="1:6" hidden="1" x14ac:dyDescent="0.25">
      <c r="A1206" t="s">
        <v>18</v>
      </c>
      <c r="B1206" s="2">
        <v>45364</v>
      </c>
      <c r="C1206">
        <v>2024</v>
      </c>
      <c r="D1206">
        <f t="shared" si="28"/>
        <v>73</v>
      </c>
      <c r="E1206" t="s">
        <v>6</v>
      </c>
      <c r="F1206">
        <v>13.23</v>
      </c>
    </row>
    <row r="1207" spans="1:6" hidden="1" x14ac:dyDescent="0.25">
      <c r="A1207" t="s">
        <v>18</v>
      </c>
      <c r="B1207" s="2">
        <v>45378</v>
      </c>
      <c r="C1207">
        <v>2024</v>
      </c>
      <c r="D1207">
        <f t="shared" si="28"/>
        <v>87</v>
      </c>
      <c r="E1207" t="s">
        <v>6</v>
      </c>
      <c r="F1207">
        <v>15.4488</v>
      </c>
    </row>
    <row r="1208" spans="1:6" hidden="1" x14ac:dyDescent="0.25">
      <c r="A1208" t="s">
        <v>18</v>
      </c>
      <c r="B1208" s="2">
        <v>45390</v>
      </c>
      <c r="C1208">
        <v>2024</v>
      </c>
      <c r="D1208">
        <f t="shared" si="28"/>
        <v>99</v>
      </c>
      <c r="E1208" t="s">
        <v>6</v>
      </c>
      <c r="F1208">
        <v>16.945499999999999</v>
      </c>
    </row>
    <row r="1209" spans="1:6" hidden="1" x14ac:dyDescent="0.25">
      <c r="A1209" t="s">
        <v>18</v>
      </c>
      <c r="B1209" s="2">
        <v>45407</v>
      </c>
      <c r="C1209">
        <v>2024</v>
      </c>
      <c r="D1209">
        <f t="shared" si="28"/>
        <v>116</v>
      </c>
      <c r="E1209" t="s">
        <v>6</v>
      </c>
      <c r="F1209">
        <v>16.8795</v>
      </c>
    </row>
    <row r="1210" spans="1:6" hidden="1" x14ac:dyDescent="0.25">
      <c r="A1210" t="s">
        <v>18</v>
      </c>
      <c r="B1210" s="2">
        <v>45413</v>
      </c>
      <c r="C1210">
        <v>2024</v>
      </c>
      <c r="D1210">
        <f t="shared" si="28"/>
        <v>122</v>
      </c>
      <c r="E1210" t="s">
        <v>6</v>
      </c>
      <c r="F1210">
        <v>17.455200000000001</v>
      </c>
    </row>
    <row r="1211" spans="1:6" hidden="1" x14ac:dyDescent="0.25">
      <c r="A1211" t="s">
        <v>18</v>
      </c>
      <c r="B1211" s="2">
        <v>45425</v>
      </c>
      <c r="C1211">
        <v>2024</v>
      </c>
      <c r="D1211">
        <f t="shared" si="28"/>
        <v>134</v>
      </c>
      <c r="E1211" t="s">
        <v>6</v>
      </c>
      <c r="F1211">
        <v>17.835600000000003</v>
      </c>
    </row>
    <row r="1212" spans="1:6" hidden="1" x14ac:dyDescent="0.25">
      <c r="A1212" t="s">
        <v>18</v>
      </c>
      <c r="B1212" s="2">
        <v>45439</v>
      </c>
      <c r="C1212">
        <v>2024</v>
      </c>
      <c r="D1212">
        <f t="shared" si="28"/>
        <v>148</v>
      </c>
      <c r="E1212" t="s">
        <v>6</v>
      </c>
      <c r="F1212">
        <v>15.45</v>
      </c>
    </row>
    <row r="1213" spans="1:6" hidden="1" x14ac:dyDescent="0.25">
      <c r="A1213" t="s">
        <v>18</v>
      </c>
      <c r="B1213" s="2">
        <v>45454</v>
      </c>
      <c r="C1213">
        <v>2024</v>
      </c>
      <c r="D1213">
        <f t="shared" si="28"/>
        <v>163</v>
      </c>
      <c r="E1213" t="s">
        <v>6</v>
      </c>
      <c r="F1213">
        <v>17.71</v>
      </c>
    </row>
    <row r="1214" spans="1:6" hidden="1" x14ac:dyDescent="0.25">
      <c r="A1214" t="s">
        <v>23</v>
      </c>
      <c r="B1214" s="2">
        <v>45315</v>
      </c>
      <c r="C1214">
        <v>2024</v>
      </c>
      <c r="D1214">
        <f t="shared" si="28"/>
        <v>24</v>
      </c>
      <c r="E1214" t="s">
        <v>9</v>
      </c>
      <c r="F1214">
        <v>6.6825000000000001</v>
      </c>
    </row>
    <row r="1215" spans="1:6" hidden="1" x14ac:dyDescent="0.25">
      <c r="A1215" t="s">
        <v>23</v>
      </c>
      <c r="B1215" s="2">
        <v>45335</v>
      </c>
      <c r="C1215">
        <v>2024</v>
      </c>
      <c r="D1215">
        <f t="shared" si="28"/>
        <v>44</v>
      </c>
      <c r="E1215" t="s">
        <v>9</v>
      </c>
      <c r="F1215">
        <v>10.244200000000001</v>
      </c>
    </row>
    <row r="1216" spans="1:6" hidden="1" x14ac:dyDescent="0.25">
      <c r="A1216" t="s">
        <v>23</v>
      </c>
      <c r="B1216" s="2">
        <v>45349</v>
      </c>
      <c r="C1216">
        <v>2024</v>
      </c>
      <c r="D1216">
        <f t="shared" si="28"/>
        <v>58</v>
      </c>
      <c r="E1216" t="s">
        <v>9</v>
      </c>
      <c r="F1216">
        <v>12.918300000000002</v>
      </c>
    </row>
    <row r="1217" spans="1:13" hidden="1" x14ac:dyDescent="0.25">
      <c r="A1217" t="s">
        <v>23</v>
      </c>
      <c r="B1217" s="2">
        <v>45363</v>
      </c>
      <c r="C1217">
        <v>2024</v>
      </c>
      <c r="D1217">
        <f t="shared" si="28"/>
        <v>72</v>
      </c>
      <c r="E1217" t="s">
        <v>9</v>
      </c>
      <c r="F1217">
        <v>14.815999999999999</v>
      </c>
    </row>
    <row r="1218" spans="1:13" hidden="1" x14ac:dyDescent="0.25">
      <c r="A1218" t="s">
        <v>23</v>
      </c>
      <c r="B1218" s="2">
        <v>45378</v>
      </c>
      <c r="C1218">
        <v>2024</v>
      </c>
      <c r="D1218">
        <f t="shared" si="28"/>
        <v>87</v>
      </c>
      <c r="E1218" t="s">
        <v>9</v>
      </c>
      <c r="F1218">
        <v>16.666599999999999</v>
      </c>
    </row>
    <row r="1219" spans="1:13" hidden="1" x14ac:dyDescent="0.25">
      <c r="A1219" t="s">
        <v>23</v>
      </c>
      <c r="B1219" s="2">
        <v>45390</v>
      </c>
      <c r="C1219">
        <v>2024</v>
      </c>
      <c r="D1219">
        <f t="shared" si="28"/>
        <v>99</v>
      </c>
      <c r="E1219" t="s">
        <v>9</v>
      </c>
      <c r="F1219">
        <v>17.594999999999999</v>
      </c>
    </row>
    <row r="1220" spans="1:13" hidden="1" x14ac:dyDescent="0.25">
      <c r="A1220" t="s">
        <v>23</v>
      </c>
      <c r="B1220" s="2">
        <v>45406</v>
      </c>
      <c r="C1220">
        <v>2024</v>
      </c>
      <c r="D1220">
        <f t="shared" si="28"/>
        <v>115</v>
      </c>
      <c r="E1220" t="s">
        <v>9</v>
      </c>
      <c r="F1220">
        <v>19.6874</v>
      </c>
      <c r="G1220">
        <f>Calculations!E15</f>
        <v>17.743963961003409</v>
      </c>
      <c r="H1220" t="s">
        <v>27</v>
      </c>
      <c r="K1220" s="8"/>
    </row>
    <row r="1221" spans="1:13" hidden="1" x14ac:dyDescent="0.25">
      <c r="A1221" t="s">
        <v>23</v>
      </c>
      <c r="B1221" s="2">
        <v>45412</v>
      </c>
      <c r="C1221">
        <v>2024</v>
      </c>
      <c r="D1221">
        <f t="shared" si="28"/>
        <v>121</v>
      </c>
      <c r="E1221" t="s">
        <v>9</v>
      </c>
      <c r="F1221">
        <v>15.558299999999999</v>
      </c>
    </row>
    <row r="1222" spans="1:13" hidden="1" x14ac:dyDescent="0.25">
      <c r="A1222" t="s">
        <v>23</v>
      </c>
      <c r="B1222" s="2">
        <v>45427</v>
      </c>
      <c r="C1222">
        <v>2024</v>
      </c>
      <c r="D1222">
        <f t="shared" si="28"/>
        <v>136</v>
      </c>
      <c r="E1222" t="s">
        <v>9</v>
      </c>
      <c r="F1222">
        <v>18.902399999999997</v>
      </c>
    </row>
    <row r="1223" spans="1:13" hidden="1" x14ac:dyDescent="0.25">
      <c r="A1223" t="s">
        <v>23</v>
      </c>
      <c r="B1223" s="2">
        <v>45441</v>
      </c>
      <c r="C1223">
        <v>2024</v>
      </c>
      <c r="D1223">
        <f t="shared" si="28"/>
        <v>150</v>
      </c>
      <c r="E1223" t="s">
        <v>9</v>
      </c>
      <c r="F1223">
        <v>17.7288</v>
      </c>
    </row>
    <row r="1224" spans="1:13" hidden="1" x14ac:dyDescent="0.25">
      <c r="A1224" t="s">
        <v>23</v>
      </c>
      <c r="B1224" s="2">
        <v>45454</v>
      </c>
      <c r="C1224">
        <v>2024</v>
      </c>
      <c r="D1224">
        <f t="shared" ref="D1224:D1287" si="29">B1224-DATE(YEAR(B1224),1,0)</f>
        <v>163</v>
      </c>
      <c r="E1224" t="s">
        <v>9</v>
      </c>
      <c r="F1224">
        <v>18.723399999999998</v>
      </c>
    </row>
    <row r="1225" spans="1:13" s="9" customFormat="1" x14ac:dyDescent="0.25">
      <c r="A1225" s="9" t="s">
        <v>33</v>
      </c>
      <c r="B1225" s="10">
        <v>43851</v>
      </c>
      <c r="C1225" s="9">
        <f>YEAR(B1225)</f>
        <v>2020</v>
      </c>
      <c r="D1225" s="11">
        <f t="shared" si="29"/>
        <v>21</v>
      </c>
      <c r="E1225" s="9" t="s">
        <v>38</v>
      </c>
      <c r="F1225">
        <v>6.9580000000000011</v>
      </c>
      <c r="I1225" s="4"/>
      <c r="M1225" s="10"/>
    </row>
    <row r="1226" spans="1:13" x14ac:dyDescent="0.25">
      <c r="A1226" s="9" t="s">
        <v>33</v>
      </c>
      <c r="B1226" s="2">
        <v>43851</v>
      </c>
      <c r="C1226" s="9">
        <f t="shared" ref="C1226:C1289" si="30">YEAR(B1226)</f>
        <v>2020</v>
      </c>
      <c r="D1226" s="11">
        <f t="shared" si="29"/>
        <v>21</v>
      </c>
      <c r="E1226" s="9" t="s">
        <v>38</v>
      </c>
      <c r="F1226">
        <v>6.2791999999999994</v>
      </c>
      <c r="I1226" s="4"/>
      <c r="M1226" s="2"/>
    </row>
    <row r="1227" spans="1:13" x14ac:dyDescent="0.25">
      <c r="A1227" s="9" t="s">
        <v>33</v>
      </c>
      <c r="B1227" s="2">
        <v>43879</v>
      </c>
      <c r="C1227" s="9">
        <f t="shared" si="30"/>
        <v>2020</v>
      </c>
      <c r="D1227" s="11">
        <f t="shared" si="29"/>
        <v>49</v>
      </c>
      <c r="E1227" s="9" t="s">
        <v>38</v>
      </c>
      <c r="F1227">
        <v>11.736000000000001</v>
      </c>
      <c r="I1227" s="4"/>
      <c r="M1227" s="2"/>
    </row>
    <row r="1228" spans="1:13" x14ac:dyDescent="0.25">
      <c r="A1228" s="9" t="s">
        <v>33</v>
      </c>
      <c r="B1228" s="2">
        <v>43879</v>
      </c>
      <c r="C1228" s="9">
        <f t="shared" si="30"/>
        <v>2020</v>
      </c>
      <c r="D1228" s="11">
        <f t="shared" si="29"/>
        <v>49</v>
      </c>
      <c r="E1228" s="9" t="s">
        <v>38</v>
      </c>
      <c r="F1228">
        <v>11.083499999999999</v>
      </c>
      <c r="I1228" s="4"/>
      <c r="K1228" s="8"/>
      <c r="M1228" s="2"/>
    </row>
    <row r="1229" spans="1:13" x14ac:dyDescent="0.25">
      <c r="A1229" s="9" t="s">
        <v>33</v>
      </c>
      <c r="B1229" s="2">
        <v>43893</v>
      </c>
      <c r="C1229" s="9">
        <f t="shared" si="30"/>
        <v>2020</v>
      </c>
      <c r="D1229" s="11">
        <f t="shared" si="29"/>
        <v>63</v>
      </c>
      <c r="E1229" s="9" t="s">
        <v>38</v>
      </c>
      <c r="F1229">
        <v>14.125200000000001</v>
      </c>
      <c r="I1229" s="4"/>
      <c r="M1229" s="2"/>
    </row>
    <row r="1230" spans="1:13" x14ac:dyDescent="0.25">
      <c r="A1230" s="9" t="s">
        <v>33</v>
      </c>
      <c r="B1230" s="2">
        <v>43893</v>
      </c>
      <c r="C1230" s="9">
        <f t="shared" si="30"/>
        <v>2020</v>
      </c>
      <c r="D1230" s="11">
        <f t="shared" si="29"/>
        <v>63</v>
      </c>
      <c r="E1230" s="9" t="s">
        <v>38</v>
      </c>
      <c r="F1230">
        <v>12.76</v>
      </c>
      <c r="I1230" s="4"/>
      <c r="M1230" s="2"/>
    </row>
    <row r="1231" spans="1:13" x14ac:dyDescent="0.25">
      <c r="A1231" s="9" t="s">
        <v>33</v>
      </c>
      <c r="B1231" s="2">
        <v>43906</v>
      </c>
      <c r="C1231" s="9">
        <f t="shared" si="30"/>
        <v>2020</v>
      </c>
      <c r="D1231" s="11">
        <f t="shared" si="29"/>
        <v>76</v>
      </c>
      <c r="E1231" s="9" t="s">
        <v>38</v>
      </c>
      <c r="F1231">
        <v>16.405000000000001</v>
      </c>
      <c r="I1231" s="4"/>
      <c r="M1231" s="2"/>
    </row>
    <row r="1232" spans="1:13" x14ac:dyDescent="0.25">
      <c r="A1232" s="9" t="s">
        <v>33</v>
      </c>
      <c r="B1232" s="2">
        <v>43906</v>
      </c>
      <c r="C1232" s="9">
        <f t="shared" si="30"/>
        <v>2020</v>
      </c>
      <c r="D1232" s="11">
        <f t="shared" si="29"/>
        <v>76</v>
      </c>
      <c r="E1232" s="9" t="s">
        <v>38</v>
      </c>
      <c r="F1232">
        <v>14.399000000000001</v>
      </c>
      <c r="I1232" s="4"/>
      <c r="M1232" s="2"/>
    </row>
    <row r="1233" spans="1:13" x14ac:dyDescent="0.25">
      <c r="A1233" s="9" t="s">
        <v>33</v>
      </c>
      <c r="B1233" s="2">
        <v>43951</v>
      </c>
      <c r="C1233" s="9">
        <f t="shared" si="30"/>
        <v>2020</v>
      </c>
      <c r="D1233" s="11">
        <f t="shared" si="29"/>
        <v>121</v>
      </c>
      <c r="E1233" s="9" t="s">
        <v>38</v>
      </c>
      <c r="F1233">
        <v>22.465999999999998</v>
      </c>
      <c r="I1233" s="4"/>
      <c r="M1233" s="2"/>
    </row>
    <row r="1234" spans="1:13" x14ac:dyDescent="0.25">
      <c r="A1234" s="9" t="s">
        <v>33</v>
      </c>
      <c r="B1234" s="2">
        <v>43951</v>
      </c>
      <c r="C1234" s="9">
        <f t="shared" si="30"/>
        <v>2020</v>
      </c>
      <c r="D1234" s="11">
        <f t="shared" si="29"/>
        <v>121</v>
      </c>
      <c r="E1234" s="9" t="s">
        <v>38</v>
      </c>
      <c r="F1234">
        <v>20.024999999999999</v>
      </c>
      <c r="G1234" s="7">
        <f>Calculations!E16</f>
        <v>20.412710654003554</v>
      </c>
      <c r="H1234" t="s">
        <v>27</v>
      </c>
      <c r="I1234" s="4"/>
      <c r="M1234" s="2"/>
    </row>
    <row r="1235" spans="1:13" x14ac:dyDescent="0.25">
      <c r="A1235" s="9" t="s">
        <v>33</v>
      </c>
      <c r="B1235" s="2">
        <v>43963</v>
      </c>
      <c r="C1235" s="9">
        <f t="shared" si="30"/>
        <v>2020</v>
      </c>
      <c r="D1235" s="11">
        <f t="shared" si="29"/>
        <v>133</v>
      </c>
      <c r="E1235" s="9" t="s">
        <v>38</v>
      </c>
      <c r="F1235">
        <v>23.932000000000002</v>
      </c>
      <c r="I1235" s="4"/>
      <c r="M1235" s="2"/>
    </row>
    <row r="1236" spans="1:13" x14ac:dyDescent="0.25">
      <c r="A1236" s="9" t="s">
        <v>33</v>
      </c>
      <c r="B1236" s="2">
        <v>43963</v>
      </c>
      <c r="C1236" s="9">
        <f t="shared" si="30"/>
        <v>2020</v>
      </c>
      <c r="D1236" s="11">
        <f t="shared" si="29"/>
        <v>133</v>
      </c>
      <c r="E1236" s="9" t="s">
        <v>38</v>
      </c>
      <c r="F1236">
        <v>20.016000000000002</v>
      </c>
      <c r="I1236" s="4"/>
      <c r="M1236" s="2"/>
    </row>
    <row r="1237" spans="1:13" x14ac:dyDescent="0.25">
      <c r="A1237" s="9" t="s">
        <v>33</v>
      </c>
      <c r="B1237" s="2">
        <v>43976</v>
      </c>
      <c r="C1237" s="9">
        <f t="shared" si="30"/>
        <v>2020</v>
      </c>
      <c r="D1237" s="11">
        <f t="shared" si="29"/>
        <v>146</v>
      </c>
      <c r="E1237" s="9" t="s">
        <v>38</v>
      </c>
      <c r="F1237">
        <v>23.719700000000003</v>
      </c>
      <c r="I1237" s="4"/>
      <c r="M1237" s="2"/>
    </row>
    <row r="1238" spans="1:13" x14ac:dyDescent="0.25">
      <c r="A1238" s="9" t="s">
        <v>33</v>
      </c>
      <c r="B1238" s="2">
        <v>43976</v>
      </c>
      <c r="C1238" s="9">
        <f t="shared" si="30"/>
        <v>2020</v>
      </c>
      <c r="D1238" s="11">
        <f t="shared" si="29"/>
        <v>146</v>
      </c>
      <c r="E1238" s="9" t="s">
        <v>38</v>
      </c>
      <c r="F1238">
        <v>20.679000000000002</v>
      </c>
      <c r="I1238" s="4"/>
      <c r="M1238" s="2"/>
    </row>
    <row r="1239" spans="1:13" x14ac:dyDescent="0.25">
      <c r="A1239" s="9" t="s">
        <v>34</v>
      </c>
      <c r="B1239" s="2">
        <v>44222</v>
      </c>
      <c r="C1239" s="9">
        <f t="shared" si="30"/>
        <v>2021</v>
      </c>
      <c r="D1239" s="11">
        <f t="shared" si="29"/>
        <v>26</v>
      </c>
      <c r="E1239" s="9" t="s">
        <v>38</v>
      </c>
      <c r="F1239">
        <v>8.0614679573733614</v>
      </c>
      <c r="I1239" s="4"/>
      <c r="M1239" s="2"/>
    </row>
    <row r="1240" spans="1:13" x14ac:dyDescent="0.25">
      <c r="A1240" s="9" t="s">
        <v>34</v>
      </c>
      <c r="B1240" s="2">
        <v>44222</v>
      </c>
      <c r="C1240" s="9">
        <f t="shared" si="30"/>
        <v>2021</v>
      </c>
      <c r="D1240" s="11">
        <f t="shared" si="29"/>
        <v>26</v>
      </c>
      <c r="E1240" s="9" t="s">
        <v>38</v>
      </c>
      <c r="F1240">
        <v>7.530549731279649</v>
      </c>
      <c r="I1240" s="4"/>
      <c r="M1240" s="2"/>
    </row>
    <row r="1241" spans="1:13" x14ac:dyDescent="0.25">
      <c r="A1241" s="9" t="s">
        <v>34</v>
      </c>
      <c r="B1241" s="2">
        <v>44245</v>
      </c>
      <c r="C1241" s="9">
        <f t="shared" si="30"/>
        <v>2021</v>
      </c>
      <c r="D1241" s="11">
        <f t="shared" si="29"/>
        <v>49</v>
      </c>
      <c r="E1241" s="9" t="s">
        <v>38</v>
      </c>
      <c r="F1241">
        <v>11.717005809876277</v>
      </c>
      <c r="I1241" s="4"/>
      <c r="M1241" s="2"/>
    </row>
    <row r="1242" spans="1:13" x14ac:dyDescent="0.25">
      <c r="A1242" s="9" t="s">
        <v>34</v>
      </c>
      <c r="B1242" s="2">
        <v>44245</v>
      </c>
      <c r="C1242" s="9">
        <f t="shared" si="30"/>
        <v>2021</v>
      </c>
      <c r="D1242" s="11">
        <f t="shared" si="29"/>
        <v>49</v>
      </c>
      <c r="E1242" s="9" t="s">
        <v>38</v>
      </c>
      <c r="F1242">
        <v>11.341761798504324</v>
      </c>
      <c r="I1242" s="4"/>
      <c r="M1242" s="2"/>
    </row>
    <row r="1243" spans="1:13" x14ac:dyDescent="0.25">
      <c r="A1243" s="9" t="s">
        <v>34</v>
      </c>
      <c r="B1243" s="2">
        <v>44257</v>
      </c>
      <c r="C1243" s="9">
        <f t="shared" si="30"/>
        <v>2021</v>
      </c>
      <c r="D1243" s="11">
        <f t="shared" si="29"/>
        <v>61</v>
      </c>
      <c r="E1243" s="9" t="s">
        <v>38</v>
      </c>
      <c r="F1243">
        <v>14.057772130722528</v>
      </c>
      <c r="I1243" s="4"/>
      <c r="M1243" s="2"/>
    </row>
    <row r="1244" spans="1:13" x14ac:dyDescent="0.25">
      <c r="A1244" s="9" t="s">
        <v>34</v>
      </c>
      <c r="B1244" s="2">
        <v>44257</v>
      </c>
      <c r="C1244" s="9">
        <f t="shared" si="30"/>
        <v>2021</v>
      </c>
      <c r="D1244" s="11">
        <f t="shared" si="29"/>
        <v>61</v>
      </c>
      <c r="E1244" s="9" t="s">
        <v>38</v>
      </c>
      <c r="F1244">
        <v>14.750185796052474</v>
      </c>
      <c r="I1244" s="4"/>
      <c r="M1244" s="2"/>
    </row>
    <row r="1245" spans="1:13" x14ac:dyDescent="0.25">
      <c r="A1245" s="9" t="s">
        <v>34</v>
      </c>
      <c r="B1245" s="2">
        <v>44271</v>
      </c>
      <c r="C1245" s="9">
        <f t="shared" si="30"/>
        <v>2021</v>
      </c>
      <c r="D1245" s="11">
        <f t="shared" si="29"/>
        <v>75</v>
      </c>
      <c r="E1245" s="9" t="s">
        <v>38</v>
      </c>
      <c r="F1245">
        <v>16.791196918323493</v>
      </c>
      <c r="I1245" s="4"/>
      <c r="M1245" s="2"/>
    </row>
    <row r="1246" spans="1:13" x14ac:dyDescent="0.25">
      <c r="A1246" s="9" t="s">
        <v>34</v>
      </c>
      <c r="B1246" s="2">
        <v>44271</v>
      </c>
      <c r="C1246" s="9">
        <f t="shared" si="30"/>
        <v>2021</v>
      </c>
      <c r="D1246" s="11">
        <f t="shared" si="29"/>
        <v>75</v>
      </c>
      <c r="E1246" s="9" t="s">
        <v>38</v>
      </c>
      <c r="F1246">
        <v>16.543745084783396</v>
      </c>
      <c r="I1246" s="4"/>
      <c r="M1246" s="2"/>
    </row>
    <row r="1247" spans="1:13" x14ac:dyDescent="0.25">
      <c r="A1247" s="9" t="s">
        <v>34</v>
      </c>
      <c r="B1247" s="2">
        <v>44285</v>
      </c>
      <c r="C1247" s="9">
        <f t="shared" si="30"/>
        <v>2021</v>
      </c>
      <c r="D1247" s="11">
        <f t="shared" si="29"/>
        <v>89</v>
      </c>
      <c r="E1247" s="9" t="s">
        <v>38</v>
      </c>
      <c r="F1247">
        <v>19.229265460635691</v>
      </c>
      <c r="I1247" s="4"/>
      <c r="M1247" s="2"/>
    </row>
    <row r="1248" spans="1:13" x14ac:dyDescent="0.25">
      <c r="A1248" s="9" t="s">
        <v>34</v>
      </c>
      <c r="B1248" s="2">
        <v>44285</v>
      </c>
      <c r="C1248" s="9">
        <f t="shared" si="30"/>
        <v>2021</v>
      </c>
      <c r="D1248" s="11">
        <f t="shared" si="29"/>
        <v>89</v>
      </c>
      <c r="E1248" s="9" t="s">
        <v>38</v>
      </c>
      <c r="F1248">
        <v>19.022969769969336</v>
      </c>
      <c r="I1248" s="4"/>
      <c r="M1248" s="2"/>
    </row>
    <row r="1249" spans="1:13" x14ac:dyDescent="0.25">
      <c r="A1249" s="9" t="s">
        <v>34</v>
      </c>
      <c r="B1249" s="2">
        <v>44299</v>
      </c>
      <c r="C1249" s="9">
        <f t="shared" si="30"/>
        <v>2021</v>
      </c>
      <c r="D1249" s="11">
        <f t="shared" si="29"/>
        <v>103</v>
      </c>
      <c r="E1249" s="9" t="s">
        <v>38</v>
      </c>
      <c r="F1249">
        <v>19.733907666178464</v>
      </c>
      <c r="I1249" s="4"/>
      <c r="M1249" s="2"/>
    </row>
    <row r="1250" spans="1:13" x14ac:dyDescent="0.25">
      <c r="A1250" s="9" t="s">
        <v>34</v>
      </c>
      <c r="B1250" s="2">
        <v>44299</v>
      </c>
      <c r="C1250" s="9">
        <f t="shared" si="30"/>
        <v>2021</v>
      </c>
      <c r="D1250" s="11">
        <f t="shared" si="29"/>
        <v>103</v>
      </c>
      <c r="E1250" s="9" t="s">
        <v>38</v>
      </c>
      <c r="F1250">
        <v>19.359316649643787</v>
      </c>
      <c r="I1250" s="4"/>
      <c r="M1250" s="2"/>
    </row>
    <row r="1251" spans="1:13" x14ac:dyDescent="0.25">
      <c r="A1251" s="9" t="s">
        <v>34</v>
      </c>
      <c r="B1251" s="2">
        <v>44306</v>
      </c>
      <c r="C1251" s="9">
        <f t="shared" si="30"/>
        <v>2021</v>
      </c>
      <c r="D1251" s="11">
        <f t="shared" si="29"/>
        <v>110</v>
      </c>
      <c r="E1251" s="9" t="s">
        <v>38</v>
      </c>
      <c r="F1251">
        <v>19.755802474909895</v>
      </c>
      <c r="I1251" s="4"/>
      <c r="M1251" s="2"/>
    </row>
    <row r="1252" spans="1:13" x14ac:dyDescent="0.25">
      <c r="A1252" s="9" t="s">
        <v>34</v>
      </c>
      <c r="B1252" s="2">
        <v>44306</v>
      </c>
      <c r="C1252" s="9">
        <f t="shared" si="30"/>
        <v>2021</v>
      </c>
      <c r="D1252" s="11">
        <f t="shared" si="29"/>
        <v>110</v>
      </c>
      <c r="E1252" s="9" t="s">
        <v>38</v>
      </c>
      <c r="F1252">
        <v>20.233558631748</v>
      </c>
      <c r="I1252" s="4"/>
      <c r="M1252" s="2"/>
    </row>
    <row r="1253" spans="1:13" x14ac:dyDescent="0.25">
      <c r="A1253" s="9" t="s">
        <v>34</v>
      </c>
      <c r="B1253" s="2">
        <v>44314</v>
      </c>
      <c r="C1253" s="9">
        <f t="shared" si="30"/>
        <v>2021</v>
      </c>
      <c r="D1253" s="11">
        <f t="shared" si="29"/>
        <v>118</v>
      </c>
      <c r="E1253" s="9" t="s">
        <v>38</v>
      </c>
      <c r="F1253">
        <v>20.862463111775877</v>
      </c>
      <c r="I1253" s="4"/>
      <c r="M1253" s="2"/>
    </row>
    <row r="1254" spans="1:13" x14ac:dyDescent="0.25">
      <c r="A1254" s="9" t="s">
        <v>34</v>
      </c>
      <c r="B1254" s="2">
        <v>44314</v>
      </c>
      <c r="C1254" s="9">
        <f t="shared" si="30"/>
        <v>2021</v>
      </c>
      <c r="D1254" s="11">
        <f t="shared" si="29"/>
        <v>118</v>
      </c>
      <c r="E1254" s="9" t="s">
        <v>38</v>
      </c>
      <c r="F1254">
        <v>19.703740811610466</v>
      </c>
      <c r="G1254" s="7">
        <f>Calculations!E17</f>
        <v>20.187167012644601</v>
      </c>
      <c r="H1254" t="s">
        <v>27</v>
      </c>
      <c r="I1254" s="4"/>
      <c r="M1254" s="2"/>
    </row>
    <row r="1255" spans="1:13" x14ac:dyDescent="0.25">
      <c r="A1255" s="9" t="s">
        <v>34</v>
      </c>
      <c r="B1255" s="2">
        <v>44322</v>
      </c>
      <c r="C1255" s="9">
        <f t="shared" si="30"/>
        <v>2021</v>
      </c>
      <c r="D1255" s="11">
        <f t="shared" si="29"/>
        <v>126</v>
      </c>
      <c r="E1255" s="9" t="s">
        <v>38</v>
      </c>
      <c r="F1255">
        <v>20.650336695617298</v>
      </c>
      <c r="I1255" s="4"/>
      <c r="M1255" s="2"/>
    </row>
    <row r="1256" spans="1:13" x14ac:dyDescent="0.25">
      <c r="A1256" s="9" t="s">
        <v>34</v>
      </c>
      <c r="B1256" s="2">
        <v>44322</v>
      </c>
      <c r="C1256" s="9">
        <f t="shared" si="30"/>
        <v>2021</v>
      </c>
      <c r="D1256" s="11">
        <f t="shared" si="29"/>
        <v>126</v>
      </c>
      <c r="E1256" s="9" t="s">
        <v>38</v>
      </c>
      <c r="F1256">
        <v>21.169411667877966</v>
      </c>
      <c r="I1256" s="4"/>
      <c r="M1256" s="2"/>
    </row>
    <row r="1257" spans="1:13" x14ac:dyDescent="0.25">
      <c r="A1257" s="9" t="s">
        <v>34</v>
      </c>
      <c r="B1257" s="2">
        <v>44334</v>
      </c>
      <c r="C1257" s="9">
        <f t="shared" si="30"/>
        <v>2021</v>
      </c>
      <c r="D1257" s="11">
        <f t="shared" si="29"/>
        <v>138</v>
      </c>
      <c r="E1257" s="9" t="s">
        <v>38</v>
      </c>
      <c r="F1257">
        <v>20.854381020072609</v>
      </c>
      <c r="I1257" s="4"/>
      <c r="M1257" s="2"/>
    </row>
    <row r="1258" spans="1:13" x14ac:dyDescent="0.25">
      <c r="A1258" s="9" t="s">
        <v>34</v>
      </c>
      <c r="B1258" s="2">
        <v>44334</v>
      </c>
      <c r="C1258" s="9">
        <f t="shared" si="30"/>
        <v>2021</v>
      </c>
      <c r="D1258" s="11">
        <f t="shared" si="29"/>
        <v>138</v>
      </c>
      <c r="E1258" s="9" t="s">
        <v>38</v>
      </c>
      <c r="F1258">
        <v>20.09285009250975</v>
      </c>
      <c r="I1258" s="4"/>
      <c r="M1258" s="2"/>
    </row>
    <row r="1259" spans="1:13" x14ac:dyDescent="0.25">
      <c r="A1259" s="9" t="s">
        <v>34</v>
      </c>
      <c r="B1259" s="2">
        <v>44349</v>
      </c>
      <c r="C1259" s="9">
        <f t="shared" si="30"/>
        <v>2021</v>
      </c>
      <c r="D1259" s="11">
        <f t="shared" si="29"/>
        <v>153</v>
      </c>
      <c r="E1259" s="9" t="s">
        <v>38</v>
      </c>
      <c r="F1259">
        <v>20.153212544521931</v>
      </c>
      <c r="I1259" s="4"/>
      <c r="M1259" s="2"/>
    </row>
    <row r="1260" spans="1:13" x14ac:dyDescent="0.25">
      <c r="A1260" s="9" t="s">
        <v>34</v>
      </c>
      <c r="B1260" s="2">
        <v>44349</v>
      </c>
      <c r="C1260" s="9">
        <f t="shared" si="30"/>
        <v>2021</v>
      </c>
      <c r="D1260" s="11">
        <f t="shared" si="29"/>
        <v>153</v>
      </c>
      <c r="E1260" s="9" t="s">
        <v>38</v>
      </c>
      <c r="F1260">
        <v>21.043204100657999</v>
      </c>
      <c r="I1260" s="4"/>
      <c r="M1260" s="2"/>
    </row>
    <row r="1261" spans="1:13" x14ac:dyDescent="0.25">
      <c r="A1261" s="9" t="s">
        <v>35</v>
      </c>
      <c r="B1261" s="2">
        <v>44596</v>
      </c>
      <c r="C1261" s="9">
        <f t="shared" si="30"/>
        <v>2022</v>
      </c>
      <c r="D1261" s="11">
        <f t="shared" si="29"/>
        <v>35</v>
      </c>
      <c r="E1261" s="9" t="s">
        <v>38</v>
      </c>
      <c r="F1261">
        <v>8.5955999999999992</v>
      </c>
      <c r="I1261" s="4"/>
      <c r="M1261" s="2"/>
    </row>
    <row r="1262" spans="1:13" x14ac:dyDescent="0.25">
      <c r="A1262" s="9" t="s">
        <v>35</v>
      </c>
      <c r="B1262" s="2">
        <v>44596</v>
      </c>
      <c r="C1262" s="9">
        <f t="shared" si="30"/>
        <v>2022</v>
      </c>
      <c r="D1262" s="11">
        <f t="shared" si="29"/>
        <v>35</v>
      </c>
      <c r="E1262" s="9" t="s">
        <v>38</v>
      </c>
      <c r="F1262">
        <v>7.6559999999999988</v>
      </c>
      <c r="I1262" s="4"/>
      <c r="M1262" s="2"/>
    </row>
    <row r="1263" spans="1:13" x14ac:dyDescent="0.25">
      <c r="A1263" s="9" t="s">
        <v>35</v>
      </c>
      <c r="B1263" s="2">
        <v>44607</v>
      </c>
      <c r="C1263" s="9">
        <f t="shared" si="30"/>
        <v>2022</v>
      </c>
      <c r="D1263" s="11">
        <f t="shared" si="29"/>
        <v>46</v>
      </c>
      <c r="E1263" s="9" t="s">
        <v>38</v>
      </c>
      <c r="F1263">
        <v>13.529599999999999</v>
      </c>
      <c r="I1263" s="4"/>
      <c r="M1263" s="2"/>
    </row>
    <row r="1264" spans="1:13" x14ac:dyDescent="0.25">
      <c r="A1264" s="9" t="s">
        <v>35</v>
      </c>
      <c r="B1264" s="2">
        <v>44607</v>
      </c>
      <c r="C1264" s="9">
        <f t="shared" si="30"/>
        <v>2022</v>
      </c>
      <c r="D1264" s="11">
        <f t="shared" si="29"/>
        <v>46</v>
      </c>
      <c r="E1264" s="9" t="s">
        <v>38</v>
      </c>
      <c r="F1264">
        <v>11.583599999999999</v>
      </c>
      <c r="I1264" s="4"/>
      <c r="M1264" s="2"/>
    </row>
    <row r="1265" spans="1:13" x14ac:dyDescent="0.25">
      <c r="A1265" s="9" t="s">
        <v>35</v>
      </c>
      <c r="B1265" s="2">
        <v>44621</v>
      </c>
      <c r="C1265" s="9">
        <f t="shared" si="30"/>
        <v>2022</v>
      </c>
      <c r="D1265" s="11">
        <f t="shared" si="29"/>
        <v>60</v>
      </c>
      <c r="E1265" s="9" t="s">
        <v>38</v>
      </c>
      <c r="F1265">
        <v>15.7575</v>
      </c>
      <c r="I1265" s="4"/>
      <c r="M1265" s="2"/>
    </row>
    <row r="1266" spans="1:13" x14ac:dyDescent="0.25">
      <c r="A1266" s="9" t="s">
        <v>35</v>
      </c>
      <c r="B1266" s="2">
        <v>44621</v>
      </c>
      <c r="C1266" s="9">
        <f t="shared" si="30"/>
        <v>2022</v>
      </c>
      <c r="D1266" s="11">
        <f t="shared" si="29"/>
        <v>60</v>
      </c>
      <c r="E1266" s="9" t="s">
        <v>38</v>
      </c>
      <c r="F1266">
        <v>13.206000000000001</v>
      </c>
      <c r="I1266" s="4"/>
      <c r="M1266" s="2"/>
    </row>
    <row r="1267" spans="1:13" x14ac:dyDescent="0.25">
      <c r="A1267" s="9" t="s">
        <v>35</v>
      </c>
      <c r="B1267" s="2">
        <v>44635</v>
      </c>
      <c r="C1267" s="9">
        <f t="shared" si="30"/>
        <v>2022</v>
      </c>
      <c r="D1267" s="11">
        <f t="shared" si="29"/>
        <v>74</v>
      </c>
      <c r="E1267" s="9" t="s">
        <v>38</v>
      </c>
      <c r="F1267">
        <v>17.143500000000003</v>
      </c>
      <c r="I1267" s="4"/>
      <c r="M1267" s="2"/>
    </row>
    <row r="1268" spans="1:13" x14ac:dyDescent="0.25">
      <c r="A1268" s="9" t="s">
        <v>35</v>
      </c>
      <c r="B1268" s="2">
        <v>44635</v>
      </c>
      <c r="C1268" s="9">
        <f t="shared" si="30"/>
        <v>2022</v>
      </c>
      <c r="D1268" s="11">
        <f t="shared" si="29"/>
        <v>74</v>
      </c>
      <c r="E1268" s="9" t="s">
        <v>38</v>
      </c>
      <c r="F1268">
        <v>17.7057</v>
      </c>
      <c r="I1268" s="4"/>
      <c r="M1268" s="2"/>
    </row>
    <row r="1269" spans="1:13" x14ac:dyDescent="0.25">
      <c r="A1269" s="9" t="s">
        <v>35</v>
      </c>
      <c r="B1269" s="2">
        <v>44649</v>
      </c>
      <c r="C1269" s="9">
        <f t="shared" si="30"/>
        <v>2022</v>
      </c>
      <c r="D1269" s="11">
        <f t="shared" si="29"/>
        <v>88</v>
      </c>
      <c r="E1269" s="9" t="s">
        <v>38</v>
      </c>
      <c r="F1269">
        <v>20.833099999999998</v>
      </c>
      <c r="I1269" s="4"/>
      <c r="M1269" s="2"/>
    </row>
    <row r="1270" spans="1:13" x14ac:dyDescent="0.25">
      <c r="A1270" s="9" t="s">
        <v>35</v>
      </c>
      <c r="B1270" s="2">
        <v>44649</v>
      </c>
      <c r="C1270" s="9">
        <f t="shared" si="30"/>
        <v>2022</v>
      </c>
      <c r="D1270" s="11">
        <f t="shared" si="29"/>
        <v>88</v>
      </c>
      <c r="E1270" s="9" t="s">
        <v>38</v>
      </c>
      <c r="F1270">
        <v>16.140899999999998</v>
      </c>
      <c r="I1270" s="4"/>
      <c r="M1270" s="2"/>
    </row>
    <row r="1271" spans="1:13" x14ac:dyDescent="0.25">
      <c r="A1271" s="9" t="s">
        <v>35</v>
      </c>
      <c r="B1271" s="2">
        <v>44665</v>
      </c>
      <c r="C1271" s="9">
        <f t="shared" si="30"/>
        <v>2022</v>
      </c>
      <c r="D1271" s="11">
        <f t="shared" si="29"/>
        <v>104</v>
      </c>
      <c r="E1271" s="9" t="s">
        <v>38</v>
      </c>
      <c r="F1271">
        <v>21.352800000000002</v>
      </c>
      <c r="I1271" s="4"/>
      <c r="M1271" s="2"/>
    </row>
    <row r="1272" spans="1:13" x14ac:dyDescent="0.25">
      <c r="A1272" s="9" t="s">
        <v>35</v>
      </c>
      <c r="B1272" s="2">
        <v>44665</v>
      </c>
      <c r="C1272" s="9">
        <f t="shared" si="30"/>
        <v>2022</v>
      </c>
      <c r="D1272" s="11">
        <f t="shared" si="29"/>
        <v>104</v>
      </c>
      <c r="E1272" s="9" t="s">
        <v>38</v>
      </c>
      <c r="F1272">
        <v>18.814599999999999</v>
      </c>
      <c r="I1272" s="4"/>
      <c r="M1272" s="2"/>
    </row>
    <row r="1273" spans="1:13" x14ac:dyDescent="0.25">
      <c r="A1273" s="9" t="s">
        <v>35</v>
      </c>
      <c r="B1273" s="2">
        <v>44673</v>
      </c>
      <c r="C1273" s="9">
        <f t="shared" si="30"/>
        <v>2022</v>
      </c>
      <c r="D1273" s="11">
        <f t="shared" si="29"/>
        <v>112</v>
      </c>
      <c r="E1273" s="9" t="s">
        <v>38</v>
      </c>
      <c r="F1273">
        <v>25.662000000000003</v>
      </c>
      <c r="I1273" s="4"/>
      <c r="M1273" s="2"/>
    </row>
    <row r="1274" spans="1:13" x14ac:dyDescent="0.25">
      <c r="A1274" s="9" t="s">
        <v>35</v>
      </c>
      <c r="B1274" s="2">
        <v>44673</v>
      </c>
      <c r="C1274" s="9">
        <f t="shared" si="30"/>
        <v>2022</v>
      </c>
      <c r="D1274" s="11">
        <f t="shared" si="29"/>
        <v>112</v>
      </c>
      <c r="E1274" s="9" t="s">
        <v>38</v>
      </c>
      <c r="F1274">
        <v>19.674700000000001</v>
      </c>
      <c r="I1274" s="4"/>
      <c r="M1274" s="2"/>
    </row>
    <row r="1275" spans="1:13" x14ac:dyDescent="0.25">
      <c r="A1275" s="9" t="s">
        <v>35</v>
      </c>
      <c r="B1275" s="2">
        <v>44679</v>
      </c>
      <c r="C1275" s="9">
        <f t="shared" si="30"/>
        <v>2022</v>
      </c>
      <c r="D1275" s="11">
        <f t="shared" si="29"/>
        <v>118</v>
      </c>
      <c r="E1275" s="9" t="s">
        <v>38</v>
      </c>
      <c r="F1275">
        <v>26.345699999999997</v>
      </c>
      <c r="I1275" s="4"/>
      <c r="M1275" s="2"/>
    </row>
    <row r="1276" spans="1:13" x14ac:dyDescent="0.25">
      <c r="A1276" s="9" t="s">
        <v>35</v>
      </c>
      <c r="B1276" s="2">
        <v>44679</v>
      </c>
      <c r="C1276" s="9">
        <f t="shared" si="30"/>
        <v>2022</v>
      </c>
      <c r="D1276" s="11">
        <f t="shared" si="29"/>
        <v>118</v>
      </c>
      <c r="E1276" s="9" t="s">
        <v>38</v>
      </c>
      <c r="F1276">
        <v>20.256</v>
      </c>
      <c r="G1276" s="7">
        <f>Calculations!E18</f>
        <v>21.894768903278528</v>
      </c>
      <c r="H1276" t="s">
        <v>27</v>
      </c>
      <c r="I1276" s="4"/>
      <c r="M1276" s="2"/>
    </row>
    <row r="1277" spans="1:13" x14ac:dyDescent="0.25">
      <c r="A1277" s="9" t="s">
        <v>35</v>
      </c>
      <c r="B1277" s="2">
        <v>44686</v>
      </c>
      <c r="C1277" s="9">
        <f t="shared" si="30"/>
        <v>2022</v>
      </c>
      <c r="D1277" s="11">
        <f t="shared" si="29"/>
        <v>125</v>
      </c>
      <c r="E1277" s="9" t="s">
        <v>38</v>
      </c>
      <c r="F1277">
        <v>23.097599999999996</v>
      </c>
      <c r="I1277" s="4"/>
      <c r="M1277" s="2"/>
    </row>
    <row r="1278" spans="1:13" x14ac:dyDescent="0.25">
      <c r="A1278" s="9" t="s">
        <v>35</v>
      </c>
      <c r="B1278" s="2">
        <v>44686</v>
      </c>
      <c r="C1278" s="9">
        <f t="shared" si="30"/>
        <v>2022</v>
      </c>
      <c r="D1278" s="11">
        <f t="shared" si="29"/>
        <v>125</v>
      </c>
      <c r="E1278" s="9" t="s">
        <v>38</v>
      </c>
      <c r="F1278">
        <v>19.835199999999997</v>
      </c>
      <c r="I1278" s="4"/>
      <c r="M1278" s="2"/>
    </row>
    <row r="1279" spans="1:13" x14ac:dyDescent="0.25">
      <c r="A1279" s="9" t="s">
        <v>35</v>
      </c>
      <c r="B1279" s="2">
        <v>44700</v>
      </c>
      <c r="C1279" s="9">
        <f t="shared" si="30"/>
        <v>2022</v>
      </c>
      <c r="D1279" s="11">
        <f t="shared" si="29"/>
        <v>139</v>
      </c>
      <c r="E1279" s="9" t="s">
        <v>38</v>
      </c>
      <c r="F1279">
        <v>24.12</v>
      </c>
      <c r="I1279" s="4"/>
      <c r="M1279" s="2"/>
    </row>
    <row r="1280" spans="1:13" x14ac:dyDescent="0.25">
      <c r="A1280" s="9" t="s">
        <v>35</v>
      </c>
      <c r="B1280" s="2">
        <v>44700</v>
      </c>
      <c r="C1280" s="9">
        <f t="shared" si="30"/>
        <v>2022</v>
      </c>
      <c r="D1280" s="11">
        <f t="shared" si="29"/>
        <v>139</v>
      </c>
      <c r="E1280" s="9" t="s">
        <v>38</v>
      </c>
      <c r="F1280">
        <v>22.195</v>
      </c>
      <c r="I1280" s="4"/>
      <c r="M1280" s="2"/>
    </row>
    <row r="1281" spans="1:13" x14ac:dyDescent="0.25">
      <c r="A1281" s="9" t="s">
        <v>35</v>
      </c>
      <c r="B1281" s="2">
        <v>44714</v>
      </c>
      <c r="C1281" s="9">
        <f t="shared" si="30"/>
        <v>2022</v>
      </c>
      <c r="D1281" s="11">
        <f t="shared" si="29"/>
        <v>153</v>
      </c>
      <c r="E1281" s="9" t="s">
        <v>38</v>
      </c>
      <c r="F1281">
        <v>23.6203</v>
      </c>
      <c r="I1281" s="4"/>
      <c r="M1281" s="2"/>
    </row>
    <row r="1282" spans="1:13" x14ac:dyDescent="0.25">
      <c r="A1282" s="9" t="s">
        <v>35</v>
      </c>
      <c r="B1282" s="2">
        <v>44714</v>
      </c>
      <c r="C1282" s="9">
        <f t="shared" si="30"/>
        <v>2022</v>
      </c>
      <c r="D1282" s="11">
        <f t="shared" si="29"/>
        <v>153</v>
      </c>
      <c r="E1282" s="9" t="s">
        <v>38</v>
      </c>
      <c r="F1282">
        <v>21.281799999999997</v>
      </c>
      <c r="I1282" s="4"/>
      <c r="M1282" s="2"/>
    </row>
    <row r="1283" spans="1:13" x14ac:dyDescent="0.25">
      <c r="A1283" s="9" t="s">
        <v>36</v>
      </c>
      <c r="B1283" s="2">
        <v>44951</v>
      </c>
      <c r="C1283" s="9">
        <f t="shared" si="30"/>
        <v>2023</v>
      </c>
      <c r="D1283" s="11">
        <f t="shared" si="29"/>
        <v>25</v>
      </c>
      <c r="E1283" s="9" t="s">
        <v>38</v>
      </c>
      <c r="F1283">
        <v>8.5679999999999996</v>
      </c>
      <c r="I1283" s="4"/>
      <c r="M1283" s="2"/>
    </row>
    <row r="1284" spans="1:13" x14ac:dyDescent="0.25">
      <c r="A1284" s="9" t="s">
        <v>36</v>
      </c>
      <c r="B1284" s="2">
        <v>44951</v>
      </c>
      <c r="C1284" s="9">
        <f t="shared" si="30"/>
        <v>2023</v>
      </c>
      <c r="D1284" s="11">
        <f t="shared" si="29"/>
        <v>25</v>
      </c>
      <c r="E1284" s="9" t="s">
        <v>38</v>
      </c>
      <c r="F1284">
        <v>6.4942999999999991</v>
      </c>
      <c r="I1284" s="4"/>
      <c r="M1284" s="2"/>
    </row>
    <row r="1285" spans="1:13" x14ac:dyDescent="0.25">
      <c r="A1285" s="9" t="s">
        <v>36</v>
      </c>
      <c r="B1285" s="2">
        <v>44974</v>
      </c>
      <c r="C1285" s="9">
        <f t="shared" si="30"/>
        <v>2023</v>
      </c>
      <c r="D1285" s="11">
        <f t="shared" si="29"/>
        <v>48</v>
      </c>
      <c r="E1285" s="9" t="s">
        <v>38</v>
      </c>
      <c r="F1285">
        <v>11.955200000000001</v>
      </c>
      <c r="I1285" s="4"/>
      <c r="M1285" s="2"/>
    </row>
    <row r="1286" spans="1:13" x14ac:dyDescent="0.25">
      <c r="A1286" s="9" t="s">
        <v>36</v>
      </c>
      <c r="B1286" s="2">
        <v>44974</v>
      </c>
      <c r="C1286" s="9">
        <f t="shared" si="30"/>
        <v>2023</v>
      </c>
      <c r="D1286" s="11">
        <f t="shared" si="29"/>
        <v>48</v>
      </c>
      <c r="E1286" s="9" t="s">
        <v>38</v>
      </c>
      <c r="F1286">
        <v>10.009600000000001</v>
      </c>
      <c r="I1286" s="4"/>
      <c r="M1286" s="2"/>
    </row>
    <row r="1287" spans="1:13" x14ac:dyDescent="0.25">
      <c r="A1287" s="9" t="s">
        <v>36</v>
      </c>
      <c r="B1287" s="2">
        <v>44985</v>
      </c>
      <c r="C1287" s="9">
        <f t="shared" si="30"/>
        <v>2023</v>
      </c>
      <c r="D1287" s="11">
        <f t="shared" si="29"/>
        <v>59</v>
      </c>
      <c r="E1287" s="9" t="s">
        <v>38</v>
      </c>
      <c r="F1287">
        <v>13.735999999999999</v>
      </c>
      <c r="I1287" s="4"/>
      <c r="M1287" s="2"/>
    </row>
    <row r="1288" spans="1:13" x14ac:dyDescent="0.25">
      <c r="A1288" s="9" t="s">
        <v>36</v>
      </c>
      <c r="B1288" s="2">
        <v>44985</v>
      </c>
      <c r="C1288" s="9">
        <f t="shared" si="30"/>
        <v>2023</v>
      </c>
      <c r="D1288" s="11">
        <f t="shared" ref="D1288:D1351" si="31">B1288-DATE(YEAR(B1288),1,0)</f>
        <v>59</v>
      </c>
      <c r="E1288" s="9" t="s">
        <v>38</v>
      </c>
      <c r="F1288">
        <v>12.293199999999999</v>
      </c>
      <c r="I1288" s="4"/>
      <c r="M1288" s="2"/>
    </row>
    <row r="1289" spans="1:13" x14ac:dyDescent="0.25">
      <c r="A1289" s="9" t="s">
        <v>36</v>
      </c>
      <c r="B1289" s="2">
        <v>44999</v>
      </c>
      <c r="C1289" s="9">
        <f t="shared" si="30"/>
        <v>2023</v>
      </c>
      <c r="D1289" s="11">
        <f t="shared" si="31"/>
        <v>73</v>
      </c>
      <c r="E1289" s="9" t="s">
        <v>38</v>
      </c>
      <c r="F1289">
        <v>16.070399999999999</v>
      </c>
      <c r="I1289" s="4"/>
      <c r="M1289" s="2"/>
    </row>
    <row r="1290" spans="1:13" x14ac:dyDescent="0.25">
      <c r="A1290" s="9" t="s">
        <v>36</v>
      </c>
      <c r="B1290" s="2">
        <v>44999</v>
      </c>
      <c r="C1290" s="9">
        <f t="shared" ref="C1290:C1326" si="32">YEAR(B1290)</f>
        <v>2023</v>
      </c>
      <c r="D1290" s="11">
        <f t="shared" si="31"/>
        <v>73</v>
      </c>
      <c r="E1290" s="9" t="s">
        <v>38</v>
      </c>
      <c r="F1290">
        <v>14.956799999999998</v>
      </c>
      <c r="I1290" s="4"/>
      <c r="M1290" s="2"/>
    </row>
    <row r="1291" spans="1:13" x14ac:dyDescent="0.25">
      <c r="A1291" s="9" t="s">
        <v>36</v>
      </c>
      <c r="B1291" s="2">
        <v>45013</v>
      </c>
      <c r="C1291" s="9">
        <f t="shared" si="32"/>
        <v>2023</v>
      </c>
      <c r="D1291" s="11">
        <f t="shared" si="31"/>
        <v>87</v>
      </c>
      <c r="E1291" s="9" t="s">
        <v>38</v>
      </c>
      <c r="F1291">
        <v>17.730399999999999</v>
      </c>
      <c r="I1291" s="4"/>
      <c r="M1291" s="2"/>
    </row>
    <row r="1292" spans="1:13" x14ac:dyDescent="0.25">
      <c r="A1292" s="9" t="s">
        <v>36</v>
      </c>
      <c r="B1292" s="2">
        <v>45013</v>
      </c>
      <c r="C1292" s="9">
        <f t="shared" si="32"/>
        <v>2023</v>
      </c>
      <c r="D1292" s="11">
        <f t="shared" si="31"/>
        <v>87</v>
      </c>
      <c r="E1292" s="9" t="s">
        <v>38</v>
      </c>
      <c r="F1292">
        <v>16.5808</v>
      </c>
      <c r="I1292" s="4"/>
      <c r="M1292" s="2"/>
    </row>
    <row r="1293" spans="1:13" x14ac:dyDescent="0.25">
      <c r="A1293" s="9" t="s">
        <v>36</v>
      </c>
      <c r="B1293" s="2">
        <v>45028</v>
      </c>
      <c r="C1293" s="9">
        <f t="shared" si="32"/>
        <v>2023</v>
      </c>
      <c r="D1293" s="11">
        <f t="shared" si="31"/>
        <v>102</v>
      </c>
      <c r="E1293" s="9" t="s">
        <v>38</v>
      </c>
      <c r="F1293">
        <v>18.8599</v>
      </c>
      <c r="I1293" s="4"/>
      <c r="M1293" s="2"/>
    </row>
    <row r="1294" spans="1:13" x14ac:dyDescent="0.25">
      <c r="A1294" s="9" t="s">
        <v>36</v>
      </c>
      <c r="B1294" s="2">
        <v>45028</v>
      </c>
      <c r="C1294" s="9">
        <f t="shared" si="32"/>
        <v>2023</v>
      </c>
      <c r="D1294" s="11">
        <f t="shared" si="31"/>
        <v>102</v>
      </c>
      <c r="E1294" s="9" t="s">
        <v>38</v>
      </c>
      <c r="F1294">
        <v>18.287399999999998</v>
      </c>
      <c r="I1294" s="4"/>
      <c r="M1294" s="2"/>
    </row>
    <row r="1295" spans="1:13" x14ac:dyDescent="0.25">
      <c r="A1295" s="9" t="s">
        <v>36</v>
      </c>
      <c r="B1295" s="2">
        <v>45040</v>
      </c>
      <c r="C1295" s="9">
        <f t="shared" si="32"/>
        <v>2023</v>
      </c>
      <c r="D1295" s="11">
        <f t="shared" si="31"/>
        <v>114</v>
      </c>
      <c r="E1295" s="9" t="s">
        <v>38</v>
      </c>
      <c r="F1295">
        <v>19.437000000000001</v>
      </c>
      <c r="I1295" s="4"/>
      <c r="M1295" s="2"/>
    </row>
    <row r="1296" spans="1:13" x14ac:dyDescent="0.25">
      <c r="A1296" s="9" t="s">
        <v>36</v>
      </c>
      <c r="B1296" s="2">
        <v>45040</v>
      </c>
      <c r="C1296" s="9">
        <f t="shared" si="32"/>
        <v>2023</v>
      </c>
      <c r="D1296" s="11">
        <f t="shared" si="31"/>
        <v>114</v>
      </c>
      <c r="E1296" s="9" t="s">
        <v>38</v>
      </c>
      <c r="F1296">
        <v>19.765200000000004</v>
      </c>
      <c r="I1296" s="4"/>
      <c r="M1296" s="2"/>
    </row>
    <row r="1297" spans="1:13" x14ac:dyDescent="0.25">
      <c r="A1297" s="9" t="s">
        <v>36</v>
      </c>
      <c r="B1297" s="2">
        <v>45047</v>
      </c>
      <c r="C1297" s="9">
        <f t="shared" si="32"/>
        <v>2023</v>
      </c>
      <c r="D1297" s="11">
        <f t="shared" si="31"/>
        <v>121</v>
      </c>
      <c r="E1297" s="9" t="s">
        <v>38</v>
      </c>
      <c r="F1297">
        <v>20.816999999999997</v>
      </c>
      <c r="I1297" s="4"/>
      <c r="M1297" s="2"/>
    </row>
    <row r="1298" spans="1:13" x14ac:dyDescent="0.25">
      <c r="A1298" s="9" t="s">
        <v>36</v>
      </c>
      <c r="B1298" s="2">
        <v>45047</v>
      </c>
      <c r="C1298" s="9">
        <f t="shared" si="32"/>
        <v>2023</v>
      </c>
      <c r="D1298" s="11">
        <f t="shared" si="31"/>
        <v>121</v>
      </c>
      <c r="E1298" s="9" t="s">
        <v>38</v>
      </c>
      <c r="F1298">
        <v>19.798399999999997</v>
      </c>
      <c r="I1298" s="4"/>
      <c r="M1298" s="2"/>
    </row>
    <row r="1299" spans="1:13" x14ac:dyDescent="0.25">
      <c r="A1299" s="9" t="s">
        <v>36</v>
      </c>
      <c r="B1299" s="2">
        <v>45061</v>
      </c>
      <c r="C1299" s="9">
        <f t="shared" si="32"/>
        <v>2023</v>
      </c>
      <c r="D1299" s="11">
        <f t="shared" si="31"/>
        <v>135</v>
      </c>
      <c r="E1299" s="9" t="s">
        <v>38</v>
      </c>
      <c r="F1299">
        <v>20.269900000000003</v>
      </c>
      <c r="G1299" s="7">
        <f>Calculations!E19</f>
        <v>19.490393019613375</v>
      </c>
      <c r="H1299" t="s">
        <v>27</v>
      </c>
      <c r="I1299" s="4"/>
      <c r="M1299" s="2"/>
    </row>
    <row r="1300" spans="1:13" x14ac:dyDescent="0.25">
      <c r="A1300" s="9" t="s">
        <v>36</v>
      </c>
      <c r="B1300" s="2">
        <v>45061</v>
      </c>
      <c r="C1300" s="9">
        <f t="shared" si="32"/>
        <v>2023</v>
      </c>
      <c r="D1300" s="11">
        <f t="shared" si="31"/>
        <v>135</v>
      </c>
      <c r="E1300" s="9" t="s">
        <v>38</v>
      </c>
      <c r="F1300">
        <v>18.761200000000002</v>
      </c>
      <c r="I1300" s="4"/>
      <c r="M1300" s="2"/>
    </row>
    <row r="1301" spans="1:13" x14ac:dyDescent="0.25">
      <c r="A1301" s="9" t="s">
        <v>36</v>
      </c>
      <c r="B1301" s="2">
        <v>45075</v>
      </c>
      <c r="C1301" s="9">
        <f t="shared" si="32"/>
        <v>2023</v>
      </c>
      <c r="D1301" s="11">
        <f t="shared" si="31"/>
        <v>149</v>
      </c>
      <c r="E1301" s="9" t="s">
        <v>38</v>
      </c>
      <c r="F1301">
        <v>22.845600000000001</v>
      </c>
      <c r="I1301" s="4"/>
      <c r="M1301" s="2"/>
    </row>
    <row r="1302" spans="1:13" x14ac:dyDescent="0.25">
      <c r="A1302" s="9" t="s">
        <v>36</v>
      </c>
      <c r="B1302" s="2">
        <v>45075</v>
      </c>
      <c r="C1302" s="9">
        <f t="shared" si="32"/>
        <v>2023</v>
      </c>
      <c r="D1302" s="11">
        <f t="shared" si="31"/>
        <v>149</v>
      </c>
      <c r="E1302" s="9" t="s">
        <v>38</v>
      </c>
      <c r="F1302">
        <v>19.835199999999997</v>
      </c>
      <c r="I1302" s="4"/>
      <c r="M1302" s="2"/>
    </row>
    <row r="1303" spans="1:13" x14ac:dyDescent="0.25">
      <c r="A1303" s="9" t="s">
        <v>36</v>
      </c>
      <c r="B1303" s="2">
        <v>45085</v>
      </c>
      <c r="C1303" s="9">
        <f t="shared" si="32"/>
        <v>2023</v>
      </c>
      <c r="D1303" s="11">
        <f t="shared" si="31"/>
        <v>159</v>
      </c>
      <c r="E1303" s="9" t="s">
        <v>38</v>
      </c>
      <c r="F1303">
        <v>21.375999999999998</v>
      </c>
      <c r="I1303" s="4"/>
      <c r="M1303" s="2"/>
    </row>
    <row r="1304" spans="1:13" x14ac:dyDescent="0.25">
      <c r="A1304" s="9" t="s">
        <v>36</v>
      </c>
      <c r="B1304" s="2">
        <v>45085</v>
      </c>
      <c r="C1304" s="9">
        <f t="shared" si="32"/>
        <v>2023</v>
      </c>
      <c r="D1304" s="11">
        <f t="shared" si="31"/>
        <v>159</v>
      </c>
      <c r="E1304" s="9" t="s">
        <v>38</v>
      </c>
      <c r="F1304">
        <v>21.073800000000002</v>
      </c>
      <c r="I1304" s="4"/>
      <c r="M1304" s="2"/>
    </row>
    <row r="1305" spans="1:13" x14ac:dyDescent="0.25">
      <c r="A1305" s="9" t="s">
        <v>37</v>
      </c>
      <c r="B1305" s="2">
        <v>45314</v>
      </c>
      <c r="C1305" s="9">
        <f t="shared" si="32"/>
        <v>2024</v>
      </c>
      <c r="D1305" s="11">
        <f t="shared" si="31"/>
        <v>23</v>
      </c>
      <c r="E1305" s="9" t="s">
        <v>38</v>
      </c>
      <c r="F1305">
        <v>6.5338000000000003</v>
      </c>
      <c r="I1305" s="4"/>
      <c r="M1305" s="2"/>
    </row>
    <row r="1306" spans="1:13" x14ac:dyDescent="0.25">
      <c r="A1306" s="9" t="s">
        <v>37</v>
      </c>
      <c r="B1306" s="2">
        <v>45314</v>
      </c>
      <c r="C1306" s="9">
        <f t="shared" si="32"/>
        <v>2024</v>
      </c>
      <c r="D1306" s="11">
        <f t="shared" si="31"/>
        <v>23</v>
      </c>
      <c r="E1306" s="9" t="s">
        <v>38</v>
      </c>
      <c r="F1306">
        <v>5.016</v>
      </c>
      <c r="I1306" s="4"/>
      <c r="M1306" s="2"/>
    </row>
    <row r="1307" spans="1:13" x14ac:dyDescent="0.25">
      <c r="A1307" s="9" t="s">
        <v>37</v>
      </c>
      <c r="B1307" s="2">
        <v>45336</v>
      </c>
      <c r="C1307" s="9">
        <f t="shared" si="32"/>
        <v>2024</v>
      </c>
      <c r="D1307" s="11">
        <f t="shared" si="31"/>
        <v>45</v>
      </c>
      <c r="E1307" s="9" t="s">
        <v>38</v>
      </c>
      <c r="F1307">
        <v>9.8159999999999989</v>
      </c>
      <c r="I1307" s="4"/>
      <c r="M1307" s="2"/>
    </row>
    <row r="1308" spans="1:13" x14ac:dyDescent="0.25">
      <c r="A1308" s="9" t="s">
        <v>37</v>
      </c>
      <c r="B1308" s="2">
        <v>45336</v>
      </c>
      <c r="C1308" s="9">
        <f t="shared" si="32"/>
        <v>2024</v>
      </c>
      <c r="D1308" s="11">
        <f t="shared" si="31"/>
        <v>45</v>
      </c>
      <c r="E1308" s="9" t="s">
        <v>38</v>
      </c>
      <c r="F1308">
        <v>8.1739999999999995</v>
      </c>
      <c r="I1308" s="4"/>
      <c r="M1308" s="2"/>
    </row>
    <row r="1309" spans="1:13" x14ac:dyDescent="0.25">
      <c r="A1309" s="9" t="s">
        <v>37</v>
      </c>
      <c r="B1309" s="2">
        <v>45351</v>
      </c>
      <c r="C1309" s="9">
        <f t="shared" si="32"/>
        <v>2024</v>
      </c>
      <c r="D1309" s="11">
        <f t="shared" si="31"/>
        <v>60</v>
      </c>
      <c r="E1309" s="9" t="s">
        <v>38</v>
      </c>
      <c r="F1309">
        <v>13.127099999999999</v>
      </c>
      <c r="I1309" s="4"/>
      <c r="M1309" s="2"/>
    </row>
    <row r="1310" spans="1:13" x14ac:dyDescent="0.25">
      <c r="A1310" s="9" t="s">
        <v>37</v>
      </c>
      <c r="B1310" s="2">
        <v>45351</v>
      </c>
      <c r="C1310" s="9">
        <f t="shared" si="32"/>
        <v>2024</v>
      </c>
      <c r="D1310" s="11">
        <f t="shared" si="31"/>
        <v>60</v>
      </c>
      <c r="E1310" s="9" t="s">
        <v>38</v>
      </c>
      <c r="F1310">
        <v>10.101600000000001</v>
      </c>
      <c r="I1310" s="4"/>
      <c r="M1310" s="2"/>
    </row>
    <row r="1311" spans="1:13" x14ac:dyDescent="0.25">
      <c r="A1311" s="9" t="s">
        <v>37</v>
      </c>
      <c r="B1311" s="2">
        <v>45365</v>
      </c>
      <c r="C1311" s="9">
        <f t="shared" si="32"/>
        <v>2024</v>
      </c>
      <c r="D1311" s="11">
        <f t="shared" si="31"/>
        <v>74</v>
      </c>
      <c r="E1311" s="9" t="s">
        <v>38</v>
      </c>
      <c r="F1311">
        <v>15.673799999999998</v>
      </c>
      <c r="I1311" s="4"/>
      <c r="M1311" s="2"/>
    </row>
    <row r="1312" spans="1:13" x14ac:dyDescent="0.25">
      <c r="A1312" s="9" t="s">
        <v>37</v>
      </c>
      <c r="B1312" s="2">
        <v>45365</v>
      </c>
      <c r="C1312" s="9">
        <f t="shared" si="32"/>
        <v>2024</v>
      </c>
      <c r="D1312" s="11">
        <f t="shared" si="31"/>
        <v>74</v>
      </c>
      <c r="E1312" s="9" t="s">
        <v>38</v>
      </c>
      <c r="F1312">
        <v>12.5001</v>
      </c>
      <c r="I1312" s="4"/>
      <c r="M1312" s="2"/>
    </row>
    <row r="1313" spans="1:13" x14ac:dyDescent="0.25">
      <c r="A1313" s="9" t="s">
        <v>37</v>
      </c>
      <c r="B1313" s="2">
        <v>45379</v>
      </c>
      <c r="C1313" s="9">
        <f t="shared" si="32"/>
        <v>2024</v>
      </c>
      <c r="D1313" s="11">
        <f t="shared" si="31"/>
        <v>88</v>
      </c>
      <c r="E1313" s="9" t="s">
        <v>38</v>
      </c>
      <c r="F1313">
        <v>16.879200000000001</v>
      </c>
      <c r="I1313" s="4"/>
      <c r="M1313" s="2"/>
    </row>
    <row r="1314" spans="1:13" x14ac:dyDescent="0.25">
      <c r="A1314" s="9" t="s">
        <v>37</v>
      </c>
      <c r="B1314" s="2">
        <v>45379</v>
      </c>
      <c r="C1314" s="9">
        <f t="shared" si="32"/>
        <v>2024</v>
      </c>
      <c r="D1314" s="11">
        <f t="shared" si="31"/>
        <v>88</v>
      </c>
      <c r="E1314" s="9" t="s">
        <v>38</v>
      </c>
      <c r="F1314">
        <v>14.490700000000002</v>
      </c>
      <c r="I1314" s="4"/>
      <c r="M1314" s="2"/>
    </row>
    <row r="1315" spans="1:13" x14ac:dyDescent="0.25">
      <c r="A1315" s="9" t="s">
        <v>37</v>
      </c>
      <c r="B1315" s="2">
        <v>45392</v>
      </c>
      <c r="C1315" s="9">
        <f t="shared" si="32"/>
        <v>2024</v>
      </c>
      <c r="D1315" s="11">
        <f t="shared" si="31"/>
        <v>101</v>
      </c>
      <c r="E1315" s="9" t="s">
        <v>38</v>
      </c>
      <c r="F1315">
        <v>17.824000000000002</v>
      </c>
      <c r="I1315" s="4"/>
      <c r="M1315" s="2"/>
    </row>
    <row r="1316" spans="1:13" x14ac:dyDescent="0.25">
      <c r="A1316" s="9" t="s">
        <v>37</v>
      </c>
      <c r="B1316" s="2">
        <v>45392</v>
      </c>
      <c r="C1316" s="9">
        <f t="shared" si="32"/>
        <v>2024</v>
      </c>
      <c r="D1316" s="11">
        <f t="shared" si="31"/>
        <v>101</v>
      </c>
      <c r="E1316" s="9" t="s">
        <v>38</v>
      </c>
      <c r="F1316">
        <v>15.4175</v>
      </c>
      <c r="I1316" s="4"/>
      <c r="M1316" s="2"/>
    </row>
    <row r="1317" spans="1:13" x14ac:dyDescent="0.25">
      <c r="A1317" s="9" t="s">
        <v>37</v>
      </c>
      <c r="B1317" s="2">
        <v>45406</v>
      </c>
      <c r="C1317" s="9">
        <f t="shared" si="32"/>
        <v>2024</v>
      </c>
      <c r="D1317" s="11">
        <f t="shared" si="31"/>
        <v>115</v>
      </c>
      <c r="E1317" s="9" t="s">
        <v>38</v>
      </c>
      <c r="F1317">
        <v>18.418400000000002</v>
      </c>
      <c r="G1317" s="7">
        <f>Calculations!E20</f>
        <v>17.578315539368965</v>
      </c>
      <c r="H1317" t="s">
        <v>27</v>
      </c>
      <c r="I1317" s="4"/>
      <c r="M1317" s="2"/>
    </row>
    <row r="1318" spans="1:13" x14ac:dyDescent="0.25">
      <c r="A1318" s="9" t="s">
        <v>37</v>
      </c>
      <c r="B1318" s="2">
        <v>45406</v>
      </c>
      <c r="C1318" s="9">
        <f t="shared" si="32"/>
        <v>2024</v>
      </c>
      <c r="D1318" s="11">
        <f t="shared" si="31"/>
        <v>115</v>
      </c>
      <c r="E1318" s="9" t="s">
        <v>38</v>
      </c>
      <c r="F1318">
        <v>16.678600000000003</v>
      </c>
      <c r="I1318" s="4"/>
      <c r="M1318" s="2"/>
    </row>
    <row r="1319" spans="1:13" x14ac:dyDescent="0.25">
      <c r="A1319" s="9" t="s">
        <v>37</v>
      </c>
      <c r="B1319" s="2">
        <v>45413</v>
      </c>
      <c r="C1319" s="9">
        <f t="shared" si="32"/>
        <v>2024</v>
      </c>
      <c r="D1319" s="11">
        <f t="shared" si="31"/>
        <v>122</v>
      </c>
      <c r="E1319" s="9" t="s">
        <v>38</v>
      </c>
      <c r="F1319">
        <v>20.014500000000002</v>
      </c>
      <c r="I1319" s="4"/>
      <c r="M1319" s="2"/>
    </row>
    <row r="1320" spans="1:13" x14ac:dyDescent="0.25">
      <c r="A1320" s="9" t="s">
        <v>37</v>
      </c>
      <c r="B1320" s="2">
        <v>45413</v>
      </c>
      <c r="C1320" s="9">
        <f t="shared" si="32"/>
        <v>2024</v>
      </c>
      <c r="D1320" s="11">
        <f t="shared" si="31"/>
        <v>122</v>
      </c>
      <c r="E1320" s="9" t="s">
        <v>38</v>
      </c>
      <c r="F1320">
        <v>17.104500000000002</v>
      </c>
      <c r="I1320" s="4"/>
      <c r="M1320" s="2"/>
    </row>
    <row r="1321" spans="1:13" x14ac:dyDescent="0.25">
      <c r="A1321" s="9" t="s">
        <v>37</v>
      </c>
      <c r="B1321" s="2">
        <v>45427</v>
      </c>
      <c r="C1321" s="9">
        <f t="shared" si="32"/>
        <v>2024</v>
      </c>
      <c r="D1321" s="11">
        <f t="shared" si="31"/>
        <v>136</v>
      </c>
      <c r="E1321" s="9" t="s">
        <v>38</v>
      </c>
      <c r="F1321">
        <v>19.521599999999999</v>
      </c>
      <c r="I1321" s="4"/>
      <c r="M1321" s="2"/>
    </row>
    <row r="1322" spans="1:13" x14ac:dyDescent="0.25">
      <c r="A1322" s="9" t="s">
        <v>37</v>
      </c>
      <c r="B1322" s="2">
        <v>45427</v>
      </c>
      <c r="C1322" s="9">
        <f t="shared" si="32"/>
        <v>2024</v>
      </c>
      <c r="D1322" s="11">
        <f t="shared" si="31"/>
        <v>136</v>
      </c>
      <c r="E1322" s="9" t="s">
        <v>38</v>
      </c>
      <c r="F1322">
        <v>17.461600000000001</v>
      </c>
      <c r="I1322" s="4"/>
      <c r="M1322" s="2"/>
    </row>
    <row r="1323" spans="1:13" x14ac:dyDescent="0.25">
      <c r="A1323" s="9" t="s">
        <v>37</v>
      </c>
      <c r="B1323" s="2">
        <v>45441</v>
      </c>
      <c r="C1323" s="9">
        <f t="shared" si="32"/>
        <v>2024</v>
      </c>
      <c r="D1323" s="11">
        <f t="shared" si="31"/>
        <v>150</v>
      </c>
      <c r="E1323" s="9" t="s">
        <v>38</v>
      </c>
      <c r="F1323">
        <v>19.908000000000001</v>
      </c>
      <c r="I1323" s="4"/>
      <c r="M1323" s="2"/>
    </row>
    <row r="1324" spans="1:13" x14ac:dyDescent="0.25">
      <c r="A1324" s="9" t="s">
        <v>37</v>
      </c>
      <c r="B1324" s="2">
        <v>45441</v>
      </c>
      <c r="C1324" s="9">
        <f t="shared" si="32"/>
        <v>2024</v>
      </c>
      <c r="D1324" s="11">
        <f t="shared" si="31"/>
        <v>150</v>
      </c>
      <c r="E1324" s="9" t="s">
        <v>38</v>
      </c>
      <c r="F1324">
        <v>18.200699999999998</v>
      </c>
      <c r="I1324" s="4"/>
      <c r="M1324" s="2"/>
    </row>
    <row r="1325" spans="1:13" x14ac:dyDescent="0.25">
      <c r="A1325" s="9" t="s">
        <v>37</v>
      </c>
      <c r="B1325" s="2">
        <v>45454</v>
      </c>
      <c r="C1325" s="9">
        <f t="shared" si="32"/>
        <v>2024</v>
      </c>
      <c r="D1325" s="11">
        <f t="shared" si="31"/>
        <v>163</v>
      </c>
      <c r="E1325" s="9" t="s">
        <v>38</v>
      </c>
      <c r="F1325">
        <v>19.7561</v>
      </c>
      <c r="I1325" s="4"/>
      <c r="M1325" s="2"/>
    </row>
    <row r="1326" spans="1:13" x14ac:dyDescent="0.25">
      <c r="A1326" s="9" t="s">
        <v>37</v>
      </c>
      <c r="B1326" s="2">
        <v>45454</v>
      </c>
      <c r="C1326" s="9">
        <f t="shared" si="32"/>
        <v>2024</v>
      </c>
      <c r="D1326" s="11">
        <f t="shared" si="31"/>
        <v>163</v>
      </c>
      <c r="E1326" s="9" t="s">
        <v>38</v>
      </c>
      <c r="F1326">
        <v>17.130399999999998</v>
      </c>
      <c r="I1326" s="4"/>
      <c r="M1326" s="2"/>
    </row>
    <row r="1327" spans="1:13" s="9" customFormat="1" hidden="1" x14ac:dyDescent="0.25">
      <c r="A1327" s="9" t="s">
        <v>39</v>
      </c>
      <c r="B1327" s="10">
        <v>43851</v>
      </c>
      <c r="C1327" s="9">
        <f>YEAR(B1327)</f>
        <v>2020</v>
      </c>
      <c r="D1327" s="12">
        <f t="shared" si="31"/>
        <v>21</v>
      </c>
      <c r="E1327" s="9" t="s">
        <v>38</v>
      </c>
      <c r="G1327"/>
      <c r="I1327" s="4"/>
      <c r="M1327" s="10"/>
    </row>
    <row r="1328" spans="1:13" hidden="1" x14ac:dyDescent="0.25">
      <c r="A1328" s="9" t="s">
        <v>39</v>
      </c>
      <c r="B1328" s="2">
        <v>43851</v>
      </c>
      <c r="C1328" s="9">
        <f t="shared" ref="C1328:C1391" si="33">YEAR(B1328)</f>
        <v>2020</v>
      </c>
      <c r="D1328" s="11">
        <f t="shared" si="31"/>
        <v>21</v>
      </c>
      <c r="E1328" s="9" t="s">
        <v>38</v>
      </c>
      <c r="I1328" s="4"/>
      <c r="M1328" s="2"/>
    </row>
    <row r="1329" spans="1:13" hidden="1" x14ac:dyDescent="0.25">
      <c r="A1329" s="9" t="s">
        <v>39</v>
      </c>
      <c r="B1329" s="2">
        <v>43879</v>
      </c>
      <c r="C1329" s="9">
        <f t="shared" si="33"/>
        <v>2020</v>
      </c>
      <c r="D1329" s="11">
        <f t="shared" si="31"/>
        <v>49</v>
      </c>
      <c r="E1329" s="9" t="s">
        <v>38</v>
      </c>
      <c r="I1329" s="4"/>
      <c r="M1329" s="2"/>
    </row>
    <row r="1330" spans="1:13" hidden="1" x14ac:dyDescent="0.25">
      <c r="A1330" s="9" t="s">
        <v>39</v>
      </c>
      <c r="B1330" s="2">
        <v>43879</v>
      </c>
      <c r="C1330" s="9">
        <f t="shared" si="33"/>
        <v>2020</v>
      </c>
      <c r="D1330" s="11">
        <f t="shared" si="31"/>
        <v>49</v>
      </c>
      <c r="E1330" s="9" t="s">
        <v>38</v>
      </c>
      <c r="I1330" s="4"/>
      <c r="M1330" s="2"/>
    </row>
    <row r="1331" spans="1:13" hidden="1" x14ac:dyDescent="0.25">
      <c r="A1331" s="9" t="s">
        <v>39</v>
      </c>
      <c r="B1331" s="2">
        <v>43893</v>
      </c>
      <c r="C1331" s="9">
        <f t="shared" si="33"/>
        <v>2020</v>
      </c>
      <c r="D1331" s="11">
        <f t="shared" si="31"/>
        <v>63</v>
      </c>
      <c r="E1331" s="9" t="s">
        <v>38</v>
      </c>
      <c r="I1331" s="4"/>
      <c r="M1331" s="2"/>
    </row>
    <row r="1332" spans="1:13" hidden="1" x14ac:dyDescent="0.25">
      <c r="A1332" s="9" t="s">
        <v>39</v>
      </c>
      <c r="B1332" s="2">
        <v>43893</v>
      </c>
      <c r="C1332" s="9">
        <f t="shared" si="33"/>
        <v>2020</v>
      </c>
      <c r="D1332" s="11">
        <f t="shared" si="31"/>
        <v>63</v>
      </c>
      <c r="E1332" s="9" t="s">
        <v>38</v>
      </c>
      <c r="I1332" s="4"/>
      <c r="M1332" s="2"/>
    </row>
    <row r="1333" spans="1:13" hidden="1" x14ac:dyDescent="0.25">
      <c r="A1333" s="9" t="s">
        <v>39</v>
      </c>
      <c r="B1333" s="2">
        <v>43906</v>
      </c>
      <c r="C1333" s="9">
        <f t="shared" si="33"/>
        <v>2020</v>
      </c>
      <c r="D1333" s="11">
        <f t="shared" si="31"/>
        <v>76</v>
      </c>
      <c r="E1333" s="9" t="s">
        <v>38</v>
      </c>
      <c r="I1333" s="4"/>
      <c r="M1333" s="2"/>
    </row>
    <row r="1334" spans="1:13" hidden="1" x14ac:dyDescent="0.25">
      <c r="A1334" s="9" t="s">
        <v>39</v>
      </c>
      <c r="B1334" s="2">
        <v>43906</v>
      </c>
      <c r="C1334" s="9">
        <f t="shared" si="33"/>
        <v>2020</v>
      </c>
      <c r="D1334" s="11">
        <f t="shared" si="31"/>
        <v>76</v>
      </c>
      <c r="E1334" s="9" t="s">
        <v>38</v>
      </c>
      <c r="I1334" s="4"/>
      <c r="M1334" s="2"/>
    </row>
    <row r="1335" spans="1:13" hidden="1" x14ac:dyDescent="0.25">
      <c r="A1335" s="9" t="s">
        <v>39</v>
      </c>
      <c r="B1335" s="2">
        <v>43951</v>
      </c>
      <c r="C1335" s="9">
        <f t="shared" si="33"/>
        <v>2020</v>
      </c>
      <c r="D1335" s="11">
        <f t="shared" si="31"/>
        <v>121</v>
      </c>
      <c r="E1335" s="9" t="s">
        <v>38</v>
      </c>
      <c r="I1335" s="4"/>
      <c r="M1335" s="2"/>
    </row>
    <row r="1336" spans="1:13" hidden="1" x14ac:dyDescent="0.25">
      <c r="A1336" s="9" t="s">
        <v>39</v>
      </c>
      <c r="B1336" s="2">
        <v>43951</v>
      </c>
      <c r="C1336" s="9">
        <f t="shared" si="33"/>
        <v>2020</v>
      </c>
      <c r="D1336" s="11">
        <f t="shared" si="31"/>
        <v>121</v>
      </c>
      <c r="E1336" s="9" t="s">
        <v>38</v>
      </c>
      <c r="I1336" s="4"/>
      <c r="M1336" s="2"/>
    </row>
    <row r="1337" spans="1:13" hidden="1" x14ac:dyDescent="0.25">
      <c r="A1337" s="9" t="s">
        <v>39</v>
      </c>
      <c r="B1337" s="2">
        <v>43963</v>
      </c>
      <c r="C1337" s="9">
        <f t="shared" si="33"/>
        <v>2020</v>
      </c>
      <c r="D1337" s="11">
        <f t="shared" si="31"/>
        <v>133</v>
      </c>
      <c r="E1337" s="9" t="s">
        <v>38</v>
      </c>
      <c r="I1337" s="4"/>
      <c r="M1337" s="2"/>
    </row>
    <row r="1338" spans="1:13" hidden="1" x14ac:dyDescent="0.25">
      <c r="A1338" s="9" t="s">
        <v>39</v>
      </c>
      <c r="B1338" s="2">
        <v>43963</v>
      </c>
      <c r="C1338" s="9">
        <f t="shared" si="33"/>
        <v>2020</v>
      </c>
      <c r="D1338" s="11">
        <f t="shared" si="31"/>
        <v>133</v>
      </c>
      <c r="E1338" s="9" t="s">
        <v>38</v>
      </c>
      <c r="I1338" s="4"/>
      <c r="M1338" s="2"/>
    </row>
    <row r="1339" spans="1:13" hidden="1" x14ac:dyDescent="0.25">
      <c r="A1339" s="9" t="s">
        <v>39</v>
      </c>
      <c r="B1339" s="2">
        <v>43976</v>
      </c>
      <c r="C1339" s="9">
        <f t="shared" si="33"/>
        <v>2020</v>
      </c>
      <c r="D1339" s="11">
        <f t="shared" si="31"/>
        <v>146</v>
      </c>
      <c r="E1339" s="9" t="s">
        <v>38</v>
      </c>
      <c r="I1339" s="4"/>
      <c r="M1339" s="2"/>
    </row>
    <row r="1340" spans="1:13" hidden="1" x14ac:dyDescent="0.25">
      <c r="A1340" s="9" t="s">
        <v>39</v>
      </c>
      <c r="B1340" s="2">
        <v>43976</v>
      </c>
      <c r="C1340" s="9">
        <f t="shared" si="33"/>
        <v>2020</v>
      </c>
      <c r="D1340" s="11">
        <f t="shared" si="31"/>
        <v>146</v>
      </c>
      <c r="E1340" s="9" t="s">
        <v>38</v>
      </c>
      <c r="I1340" s="4"/>
      <c r="M1340" s="2"/>
    </row>
    <row r="1341" spans="1:13" hidden="1" x14ac:dyDescent="0.25">
      <c r="A1341" s="9" t="s">
        <v>39</v>
      </c>
      <c r="B1341" s="2">
        <v>44222</v>
      </c>
      <c r="C1341" s="9">
        <f t="shared" si="33"/>
        <v>2021</v>
      </c>
      <c r="D1341" s="11">
        <f t="shared" si="31"/>
        <v>26</v>
      </c>
      <c r="E1341" s="9" t="s">
        <v>38</v>
      </c>
      <c r="I1341" s="4"/>
      <c r="M1341" s="2"/>
    </row>
    <row r="1342" spans="1:13" hidden="1" x14ac:dyDescent="0.25">
      <c r="A1342" s="9" t="s">
        <v>39</v>
      </c>
      <c r="B1342" s="2">
        <v>44222</v>
      </c>
      <c r="C1342" s="9">
        <f t="shared" si="33"/>
        <v>2021</v>
      </c>
      <c r="D1342" s="11">
        <f t="shared" si="31"/>
        <v>26</v>
      </c>
      <c r="E1342" s="9" t="s">
        <v>38</v>
      </c>
      <c r="I1342" s="4"/>
      <c r="M1342" s="2"/>
    </row>
    <row r="1343" spans="1:13" hidden="1" x14ac:dyDescent="0.25">
      <c r="A1343" s="9" t="s">
        <v>39</v>
      </c>
      <c r="B1343" s="2">
        <v>44245</v>
      </c>
      <c r="C1343" s="9">
        <f t="shared" si="33"/>
        <v>2021</v>
      </c>
      <c r="D1343" s="11">
        <f t="shared" si="31"/>
        <v>49</v>
      </c>
      <c r="E1343" s="9" t="s">
        <v>38</v>
      </c>
      <c r="I1343" s="4"/>
      <c r="M1343" s="2"/>
    </row>
    <row r="1344" spans="1:13" hidden="1" x14ac:dyDescent="0.25">
      <c r="A1344" s="9" t="s">
        <v>39</v>
      </c>
      <c r="B1344" s="2">
        <v>44245</v>
      </c>
      <c r="C1344" s="9">
        <f t="shared" si="33"/>
        <v>2021</v>
      </c>
      <c r="D1344" s="11">
        <f t="shared" si="31"/>
        <v>49</v>
      </c>
      <c r="E1344" s="9" t="s">
        <v>38</v>
      </c>
      <c r="I1344" s="4"/>
      <c r="M1344" s="2"/>
    </row>
    <row r="1345" spans="1:13" hidden="1" x14ac:dyDescent="0.25">
      <c r="A1345" s="9" t="s">
        <v>39</v>
      </c>
      <c r="B1345" s="2">
        <v>44257</v>
      </c>
      <c r="C1345" s="9">
        <f t="shared" si="33"/>
        <v>2021</v>
      </c>
      <c r="D1345" s="11">
        <f t="shared" si="31"/>
        <v>61</v>
      </c>
      <c r="E1345" s="9" t="s">
        <v>38</v>
      </c>
      <c r="I1345" s="4"/>
      <c r="M1345" s="2"/>
    </row>
    <row r="1346" spans="1:13" hidden="1" x14ac:dyDescent="0.25">
      <c r="A1346" s="9" t="s">
        <v>39</v>
      </c>
      <c r="B1346" s="2">
        <v>44257</v>
      </c>
      <c r="C1346" s="9">
        <f t="shared" si="33"/>
        <v>2021</v>
      </c>
      <c r="D1346" s="11">
        <f t="shared" si="31"/>
        <v>61</v>
      </c>
      <c r="E1346" s="9" t="s">
        <v>38</v>
      </c>
      <c r="I1346" s="4"/>
      <c r="M1346" s="2"/>
    </row>
    <row r="1347" spans="1:13" hidden="1" x14ac:dyDescent="0.25">
      <c r="A1347" s="9" t="s">
        <v>39</v>
      </c>
      <c r="B1347" s="2">
        <v>44271</v>
      </c>
      <c r="C1347" s="9">
        <f t="shared" si="33"/>
        <v>2021</v>
      </c>
      <c r="D1347" s="11">
        <f t="shared" si="31"/>
        <v>75</v>
      </c>
      <c r="E1347" s="9" t="s">
        <v>38</v>
      </c>
      <c r="I1347" s="4"/>
      <c r="M1347" s="2"/>
    </row>
    <row r="1348" spans="1:13" hidden="1" x14ac:dyDescent="0.25">
      <c r="A1348" s="9" t="s">
        <v>39</v>
      </c>
      <c r="B1348" s="2">
        <v>44271</v>
      </c>
      <c r="C1348" s="9">
        <f t="shared" si="33"/>
        <v>2021</v>
      </c>
      <c r="D1348" s="11">
        <f t="shared" si="31"/>
        <v>75</v>
      </c>
      <c r="E1348" s="9" t="s">
        <v>38</v>
      </c>
      <c r="I1348" s="4"/>
      <c r="M1348" s="2"/>
    </row>
    <row r="1349" spans="1:13" hidden="1" x14ac:dyDescent="0.25">
      <c r="A1349" s="9" t="s">
        <v>39</v>
      </c>
      <c r="B1349" s="2">
        <v>44285</v>
      </c>
      <c r="C1349" s="9">
        <f t="shared" si="33"/>
        <v>2021</v>
      </c>
      <c r="D1349" s="11">
        <f t="shared" si="31"/>
        <v>89</v>
      </c>
      <c r="E1349" s="9" t="s">
        <v>38</v>
      </c>
      <c r="I1349" s="4"/>
      <c r="M1349" s="2"/>
    </row>
    <row r="1350" spans="1:13" hidden="1" x14ac:dyDescent="0.25">
      <c r="A1350" s="9" t="s">
        <v>39</v>
      </c>
      <c r="B1350" s="2">
        <v>44285</v>
      </c>
      <c r="C1350" s="9">
        <f t="shared" si="33"/>
        <v>2021</v>
      </c>
      <c r="D1350" s="11">
        <f t="shared" si="31"/>
        <v>89</v>
      </c>
      <c r="E1350" s="9" t="s">
        <v>38</v>
      </c>
      <c r="I1350" s="4"/>
      <c r="M1350" s="2"/>
    </row>
    <row r="1351" spans="1:13" hidden="1" x14ac:dyDescent="0.25">
      <c r="A1351" s="9" t="s">
        <v>39</v>
      </c>
      <c r="B1351" s="2">
        <v>44299</v>
      </c>
      <c r="C1351" s="9">
        <f t="shared" si="33"/>
        <v>2021</v>
      </c>
      <c r="D1351" s="11">
        <f t="shared" si="31"/>
        <v>103</v>
      </c>
      <c r="E1351" s="9" t="s">
        <v>38</v>
      </c>
      <c r="I1351" s="4"/>
      <c r="M1351" s="2"/>
    </row>
    <row r="1352" spans="1:13" hidden="1" x14ac:dyDescent="0.25">
      <c r="A1352" s="9" t="s">
        <v>39</v>
      </c>
      <c r="B1352" s="2">
        <v>44299</v>
      </c>
      <c r="C1352" s="9">
        <f t="shared" si="33"/>
        <v>2021</v>
      </c>
      <c r="D1352" s="11">
        <f t="shared" ref="D1352:D1416" si="34">B1352-DATE(YEAR(B1352),1,0)</f>
        <v>103</v>
      </c>
      <c r="E1352" s="9" t="s">
        <v>38</v>
      </c>
      <c r="I1352" s="4"/>
      <c r="M1352" s="2"/>
    </row>
    <row r="1353" spans="1:13" hidden="1" x14ac:dyDescent="0.25">
      <c r="A1353" s="9" t="s">
        <v>39</v>
      </c>
      <c r="B1353" s="2">
        <v>44306</v>
      </c>
      <c r="C1353" s="9">
        <f t="shared" si="33"/>
        <v>2021</v>
      </c>
      <c r="D1353" s="11">
        <f t="shared" si="34"/>
        <v>110</v>
      </c>
      <c r="E1353" s="9" t="s">
        <v>38</v>
      </c>
      <c r="I1353" s="4"/>
      <c r="M1353" s="2"/>
    </row>
    <row r="1354" spans="1:13" hidden="1" x14ac:dyDescent="0.25">
      <c r="A1354" s="9" t="s">
        <v>39</v>
      </c>
      <c r="B1354" s="2">
        <v>44306</v>
      </c>
      <c r="C1354" s="9">
        <f t="shared" si="33"/>
        <v>2021</v>
      </c>
      <c r="D1354" s="11">
        <f t="shared" si="34"/>
        <v>110</v>
      </c>
      <c r="E1354" s="9" t="s">
        <v>38</v>
      </c>
      <c r="I1354" s="4"/>
      <c r="M1354" s="2"/>
    </row>
    <row r="1355" spans="1:13" hidden="1" x14ac:dyDescent="0.25">
      <c r="A1355" s="9" t="s">
        <v>39</v>
      </c>
      <c r="B1355" s="2">
        <v>44314</v>
      </c>
      <c r="C1355" s="9">
        <f t="shared" si="33"/>
        <v>2021</v>
      </c>
      <c r="D1355" s="11">
        <f t="shared" si="34"/>
        <v>118</v>
      </c>
      <c r="E1355" s="9" t="s">
        <v>38</v>
      </c>
      <c r="I1355" s="4"/>
      <c r="M1355" s="2"/>
    </row>
    <row r="1356" spans="1:13" hidden="1" x14ac:dyDescent="0.25">
      <c r="A1356" s="9" t="s">
        <v>39</v>
      </c>
      <c r="B1356" s="2">
        <v>44314</v>
      </c>
      <c r="C1356" s="9">
        <f t="shared" si="33"/>
        <v>2021</v>
      </c>
      <c r="D1356" s="11">
        <f t="shared" si="34"/>
        <v>118</v>
      </c>
      <c r="E1356" s="9" t="s">
        <v>38</v>
      </c>
      <c r="I1356" s="4"/>
      <c r="M1356" s="2"/>
    </row>
    <row r="1357" spans="1:13" hidden="1" x14ac:dyDescent="0.25">
      <c r="A1357" s="9" t="s">
        <v>39</v>
      </c>
      <c r="B1357" s="2">
        <v>44322</v>
      </c>
      <c r="C1357" s="9">
        <f t="shared" si="33"/>
        <v>2021</v>
      </c>
      <c r="D1357" s="11">
        <f t="shared" si="34"/>
        <v>126</v>
      </c>
      <c r="E1357" s="9" t="s">
        <v>38</v>
      </c>
      <c r="I1357" s="4"/>
      <c r="M1357" s="2"/>
    </row>
    <row r="1358" spans="1:13" hidden="1" x14ac:dyDescent="0.25">
      <c r="A1358" s="9" t="s">
        <v>39</v>
      </c>
      <c r="B1358" s="2">
        <v>44322</v>
      </c>
      <c r="C1358" s="9">
        <f t="shared" si="33"/>
        <v>2021</v>
      </c>
      <c r="D1358" s="11">
        <f t="shared" si="34"/>
        <v>126</v>
      </c>
      <c r="E1358" s="9" t="s">
        <v>38</v>
      </c>
      <c r="I1358" s="4"/>
      <c r="M1358" s="2"/>
    </row>
    <row r="1359" spans="1:13" hidden="1" x14ac:dyDescent="0.25">
      <c r="A1359" s="9" t="s">
        <v>39</v>
      </c>
      <c r="B1359" s="2">
        <v>44334</v>
      </c>
      <c r="C1359" s="9">
        <f t="shared" si="33"/>
        <v>2021</v>
      </c>
      <c r="D1359" s="11">
        <f t="shared" si="34"/>
        <v>138</v>
      </c>
      <c r="E1359" s="9" t="s">
        <v>38</v>
      </c>
      <c r="I1359" s="4"/>
      <c r="M1359" s="2"/>
    </row>
    <row r="1360" spans="1:13" hidden="1" x14ac:dyDescent="0.25">
      <c r="A1360" s="9" t="s">
        <v>39</v>
      </c>
      <c r="B1360" s="2">
        <v>44334</v>
      </c>
      <c r="C1360" s="9">
        <f t="shared" si="33"/>
        <v>2021</v>
      </c>
      <c r="D1360" s="11">
        <f t="shared" si="34"/>
        <v>138</v>
      </c>
      <c r="E1360" s="9" t="s">
        <v>38</v>
      </c>
      <c r="I1360" s="4"/>
      <c r="M1360" s="2"/>
    </row>
    <row r="1361" spans="1:13" hidden="1" x14ac:dyDescent="0.25">
      <c r="A1361" s="9" t="s">
        <v>39</v>
      </c>
      <c r="B1361" s="2">
        <v>44349</v>
      </c>
      <c r="C1361" s="9">
        <f t="shared" si="33"/>
        <v>2021</v>
      </c>
      <c r="D1361" s="11">
        <f t="shared" si="34"/>
        <v>153</v>
      </c>
      <c r="E1361" s="9" t="s">
        <v>38</v>
      </c>
      <c r="I1361" s="4"/>
      <c r="M1361" s="2"/>
    </row>
    <row r="1362" spans="1:13" hidden="1" x14ac:dyDescent="0.25">
      <c r="A1362" s="9" t="s">
        <v>39</v>
      </c>
      <c r="B1362" s="2">
        <v>44349</v>
      </c>
      <c r="C1362" s="9">
        <f t="shared" si="33"/>
        <v>2021</v>
      </c>
      <c r="D1362" s="11">
        <f t="shared" si="34"/>
        <v>153</v>
      </c>
      <c r="E1362" s="9" t="s">
        <v>38</v>
      </c>
      <c r="I1362" s="4"/>
      <c r="M1362" s="2"/>
    </row>
    <row r="1363" spans="1:13" hidden="1" x14ac:dyDescent="0.25">
      <c r="A1363" s="9" t="s">
        <v>39</v>
      </c>
      <c r="B1363" s="2">
        <v>44596</v>
      </c>
      <c r="C1363" s="9">
        <f t="shared" si="33"/>
        <v>2022</v>
      </c>
      <c r="D1363" s="11">
        <f t="shared" si="34"/>
        <v>35</v>
      </c>
      <c r="E1363" s="9" t="s">
        <v>38</v>
      </c>
      <c r="I1363" s="4"/>
      <c r="M1363" s="2"/>
    </row>
    <row r="1364" spans="1:13" hidden="1" x14ac:dyDescent="0.25">
      <c r="A1364" s="9" t="s">
        <v>39</v>
      </c>
      <c r="B1364" s="2">
        <v>44596</v>
      </c>
      <c r="C1364" s="9">
        <f t="shared" si="33"/>
        <v>2022</v>
      </c>
      <c r="D1364" s="11">
        <f t="shared" si="34"/>
        <v>35</v>
      </c>
      <c r="E1364" s="9" t="s">
        <v>38</v>
      </c>
      <c r="I1364" s="4"/>
      <c r="M1364" s="2"/>
    </row>
    <row r="1365" spans="1:13" hidden="1" x14ac:dyDescent="0.25">
      <c r="A1365" s="9" t="s">
        <v>39</v>
      </c>
      <c r="B1365" s="2">
        <v>44607</v>
      </c>
      <c r="C1365" s="9">
        <f t="shared" si="33"/>
        <v>2022</v>
      </c>
      <c r="D1365" s="11">
        <f t="shared" si="34"/>
        <v>46</v>
      </c>
      <c r="E1365" s="9" t="s">
        <v>38</v>
      </c>
      <c r="I1365" s="4"/>
      <c r="M1365" s="2"/>
    </row>
    <row r="1366" spans="1:13" hidden="1" x14ac:dyDescent="0.25">
      <c r="A1366" s="9" t="s">
        <v>39</v>
      </c>
      <c r="B1366" s="2">
        <v>44607</v>
      </c>
      <c r="C1366" s="9">
        <f t="shared" si="33"/>
        <v>2022</v>
      </c>
      <c r="D1366" s="11">
        <f t="shared" si="34"/>
        <v>46</v>
      </c>
      <c r="E1366" s="9" t="s">
        <v>38</v>
      </c>
      <c r="I1366" s="4"/>
      <c r="M1366" s="2"/>
    </row>
    <row r="1367" spans="1:13" hidden="1" x14ac:dyDescent="0.25">
      <c r="A1367" s="9" t="s">
        <v>39</v>
      </c>
      <c r="B1367" s="2">
        <v>44621</v>
      </c>
      <c r="C1367" s="9">
        <f t="shared" si="33"/>
        <v>2022</v>
      </c>
      <c r="D1367" s="11">
        <f t="shared" si="34"/>
        <v>60</v>
      </c>
      <c r="E1367" s="9" t="s">
        <v>38</v>
      </c>
      <c r="I1367" s="4"/>
      <c r="M1367" s="2"/>
    </row>
    <row r="1368" spans="1:13" hidden="1" x14ac:dyDescent="0.25">
      <c r="A1368" s="9" t="s">
        <v>39</v>
      </c>
      <c r="B1368" s="2">
        <v>44621</v>
      </c>
      <c r="C1368" s="9">
        <f t="shared" si="33"/>
        <v>2022</v>
      </c>
      <c r="D1368" s="11">
        <f t="shared" si="34"/>
        <v>60</v>
      </c>
      <c r="E1368" s="9" t="s">
        <v>38</v>
      </c>
      <c r="I1368" s="4"/>
      <c r="M1368" s="2"/>
    </row>
    <row r="1369" spans="1:13" hidden="1" x14ac:dyDescent="0.25">
      <c r="A1369" s="9" t="s">
        <v>39</v>
      </c>
      <c r="B1369" s="2">
        <v>44635</v>
      </c>
      <c r="C1369" s="9">
        <f t="shared" si="33"/>
        <v>2022</v>
      </c>
      <c r="D1369" s="11">
        <f t="shared" si="34"/>
        <v>74</v>
      </c>
      <c r="E1369" s="9" t="s">
        <v>38</v>
      </c>
      <c r="I1369" s="4"/>
      <c r="M1369" s="2"/>
    </row>
    <row r="1370" spans="1:13" hidden="1" x14ac:dyDescent="0.25">
      <c r="A1370" s="9" t="s">
        <v>39</v>
      </c>
      <c r="B1370" s="2">
        <v>44635</v>
      </c>
      <c r="C1370" s="9">
        <f t="shared" si="33"/>
        <v>2022</v>
      </c>
      <c r="D1370" s="11">
        <f t="shared" si="34"/>
        <v>74</v>
      </c>
      <c r="E1370" s="9" t="s">
        <v>38</v>
      </c>
      <c r="I1370" s="4"/>
      <c r="M1370" s="2"/>
    </row>
    <row r="1371" spans="1:13" hidden="1" x14ac:dyDescent="0.25">
      <c r="A1371" s="9" t="s">
        <v>39</v>
      </c>
      <c r="B1371" s="2">
        <v>44649</v>
      </c>
      <c r="C1371" s="9">
        <f t="shared" si="33"/>
        <v>2022</v>
      </c>
      <c r="D1371" s="11">
        <f t="shared" si="34"/>
        <v>88</v>
      </c>
      <c r="E1371" s="9" t="s">
        <v>38</v>
      </c>
      <c r="I1371" s="4"/>
      <c r="M1371" s="2"/>
    </row>
    <row r="1372" spans="1:13" hidden="1" x14ac:dyDescent="0.25">
      <c r="A1372" s="9" t="s">
        <v>39</v>
      </c>
      <c r="B1372" s="2">
        <v>44649</v>
      </c>
      <c r="C1372" s="9">
        <f t="shared" si="33"/>
        <v>2022</v>
      </c>
      <c r="D1372" s="11">
        <f t="shared" si="34"/>
        <v>88</v>
      </c>
      <c r="E1372" s="9" t="s">
        <v>38</v>
      </c>
      <c r="I1372" s="4"/>
      <c r="M1372" s="2"/>
    </row>
    <row r="1373" spans="1:13" hidden="1" x14ac:dyDescent="0.25">
      <c r="A1373" s="9" t="s">
        <v>39</v>
      </c>
      <c r="B1373" s="2">
        <v>44665</v>
      </c>
      <c r="C1373" s="9">
        <f t="shared" si="33"/>
        <v>2022</v>
      </c>
      <c r="D1373" s="11">
        <f t="shared" si="34"/>
        <v>104</v>
      </c>
      <c r="E1373" s="9" t="s">
        <v>38</v>
      </c>
      <c r="I1373" s="4"/>
      <c r="M1373" s="2"/>
    </row>
    <row r="1374" spans="1:13" hidden="1" x14ac:dyDescent="0.25">
      <c r="A1374" s="9" t="s">
        <v>39</v>
      </c>
      <c r="B1374" s="2">
        <v>44665</v>
      </c>
      <c r="C1374" s="9">
        <f t="shared" si="33"/>
        <v>2022</v>
      </c>
      <c r="D1374" s="11">
        <f t="shared" si="34"/>
        <v>104</v>
      </c>
      <c r="E1374" s="9" t="s">
        <v>38</v>
      </c>
      <c r="I1374" s="4"/>
      <c r="M1374" s="2"/>
    </row>
    <row r="1375" spans="1:13" hidden="1" x14ac:dyDescent="0.25">
      <c r="A1375" s="9" t="s">
        <v>39</v>
      </c>
      <c r="B1375" s="2">
        <v>44673</v>
      </c>
      <c r="C1375" s="9">
        <f t="shared" si="33"/>
        <v>2022</v>
      </c>
      <c r="D1375" s="11">
        <f t="shared" si="34"/>
        <v>112</v>
      </c>
      <c r="E1375" s="9" t="s">
        <v>38</v>
      </c>
      <c r="I1375" s="4"/>
      <c r="M1375" s="2"/>
    </row>
    <row r="1376" spans="1:13" hidden="1" x14ac:dyDescent="0.25">
      <c r="A1376" s="9" t="s">
        <v>39</v>
      </c>
      <c r="B1376" s="2">
        <v>44673</v>
      </c>
      <c r="C1376" s="9">
        <f t="shared" si="33"/>
        <v>2022</v>
      </c>
      <c r="D1376" s="11">
        <f t="shared" si="34"/>
        <v>112</v>
      </c>
      <c r="E1376" s="9" t="s">
        <v>38</v>
      </c>
      <c r="I1376" s="4"/>
      <c r="M1376" s="2"/>
    </row>
    <row r="1377" spans="1:13" hidden="1" x14ac:dyDescent="0.25">
      <c r="A1377" s="9" t="s">
        <v>39</v>
      </c>
      <c r="B1377" s="2">
        <v>44679</v>
      </c>
      <c r="C1377" s="9">
        <f t="shared" si="33"/>
        <v>2022</v>
      </c>
      <c r="D1377" s="11">
        <f t="shared" si="34"/>
        <v>118</v>
      </c>
      <c r="E1377" s="9" t="s">
        <v>38</v>
      </c>
      <c r="I1377" s="4"/>
      <c r="M1377" s="2"/>
    </row>
    <row r="1378" spans="1:13" hidden="1" x14ac:dyDescent="0.25">
      <c r="A1378" s="9" t="s">
        <v>39</v>
      </c>
      <c r="B1378" s="2">
        <v>44679</v>
      </c>
      <c r="C1378" s="9">
        <f t="shared" si="33"/>
        <v>2022</v>
      </c>
      <c r="D1378" s="11">
        <f t="shared" si="34"/>
        <v>118</v>
      </c>
      <c r="E1378" s="9" t="s">
        <v>38</v>
      </c>
      <c r="I1378" s="4"/>
      <c r="M1378" s="2"/>
    </row>
    <row r="1379" spans="1:13" hidden="1" x14ac:dyDescent="0.25">
      <c r="A1379" s="9" t="s">
        <v>39</v>
      </c>
      <c r="B1379" s="2">
        <v>44686</v>
      </c>
      <c r="C1379" s="9">
        <f t="shared" si="33"/>
        <v>2022</v>
      </c>
      <c r="D1379" s="11">
        <f t="shared" si="34"/>
        <v>125</v>
      </c>
      <c r="E1379" s="9" t="s">
        <v>38</v>
      </c>
      <c r="I1379" s="4"/>
      <c r="M1379" s="2"/>
    </row>
    <row r="1380" spans="1:13" hidden="1" x14ac:dyDescent="0.25">
      <c r="A1380" s="9" t="s">
        <v>39</v>
      </c>
      <c r="B1380" s="2">
        <v>44686</v>
      </c>
      <c r="C1380" s="9">
        <f t="shared" si="33"/>
        <v>2022</v>
      </c>
      <c r="D1380" s="11">
        <f t="shared" si="34"/>
        <v>125</v>
      </c>
      <c r="E1380" s="9" t="s">
        <v>38</v>
      </c>
      <c r="I1380" s="4"/>
      <c r="M1380" s="2"/>
    </row>
    <row r="1381" spans="1:13" hidden="1" x14ac:dyDescent="0.25">
      <c r="A1381" s="9" t="s">
        <v>39</v>
      </c>
      <c r="B1381" s="2">
        <v>44700</v>
      </c>
      <c r="C1381" s="9">
        <f t="shared" si="33"/>
        <v>2022</v>
      </c>
      <c r="D1381" s="11">
        <f t="shared" si="34"/>
        <v>139</v>
      </c>
      <c r="E1381" s="9" t="s">
        <v>38</v>
      </c>
      <c r="I1381" s="4"/>
      <c r="M1381" s="2"/>
    </row>
    <row r="1382" spans="1:13" hidden="1" x14ac:dyDescent="0.25">
      <c r="A1382" s="9" t="s">
        <v>39</v>
      </c>
      <c r="B1382" s="2">
        <v>44700</v>
      </c>
      <c r="C1382" s="9">
        <f t="shared" si="33"/>
        <v>2022</v>
      </c>
      <c r="D1382" s="11">
        <f t="shared" si="34"/>
        <v>139</v>
      </c>
      <c r="E1382" s="9" t="s">
        <v>38</v>
      </c>
      <c r="I1382" s="4"/>
      <c r="M1382" s="2"/>
    </row>
    <row r="1383" spans="1:13" hidden="1" x14ac:dyDescent="0.25">
      <c r="A1383" s="9" t="s">
        <v>39</v>
      </c>
      <c r="B1383" s="2">
        <v>44714</v>
      </c>
      <c r="C1383" s="9">
        <f t="shared" si="33"/>
        <v>2022</v>
      </c>
      <c r="D1383" s="11">
        <f t="shared" si="34"/>
        <v>153</v>
      </c>
      <c r="E1383" s="9" t="s">
        <v>38</v>
      </c>
      <c r="I1383" s="4"/>
      <c r="M1383" s="2"/>
    </row>
    <row r="1384" spans="1:13" hidden="1" x14ac:dyDescent="0.25">
      <c r="A1384" s="9" t="s">
        <v>39</v>
      </c>
      <c r="B1384" s="2">
        <v>44714</v>
      </c>
      <c r="C1384" s="9">
        <f t="shared" si="33"/>
        <v>2022</v>
      </c>
      <c r="D1384" s="11">
        <f t="shared" si="34"/>
        <v>153</v>
      </c>
      <c r="E1384" s="9" t="s">
        <v>38</v>
      </c>
      <c r="I1384" s="4"/>
      <c r="M1384" s="2"/>
    </row>
    <row r="1385" spans="1:13" hidden="1" x14ac:dyDescent="0.25">
      <c r="A1385" s="9" t="s">
        <v>39</v>
      </c>
      <c r="B1385" s="2">
        <v>44951</v>
      </c>
      <c r="C1385" s="9">
        <f t="shared" si="33"/>
        <v>2023</v>
      </c>
      <c r="D1385" s="11">
        <f t="shared" si="34"/>
        <v>25</v>
      </c>
      <c r="E1385" s="9" t="s">
        <v>38</v>
      </c>
      <c r="I1385" s="4"/>
      <c r="M1385" s="2"/>
    </row>
    <row r="1386" spans="1:13" hidden="1" x14ac:dyDescent="0.25">
      <c r="A1386" s="9" t="s">
        <v>39</v>
      </c>
      <c r="B1386" s="2">
        <v>44951</v>
      </c>
      <c r="C1386" s="9">
        <f t="shared" si="33"/>
        <v>2023</v>
      </c>
      <c r="D1386" s="11">
        <f t="shared" si="34"/>
        <v>25</v>
      </c>
      <c r="E1386" s="9" t="s">
        <v>38</v>
      </c>
      <c r="I1386" s="4"/>
      <c r="M1386" s="2"/>
    </row>
    <row r="1387" spans="1:13" hidden="1" x14ac:dyDescent="0.25">
      <c r="A1387" s="9" t="s">
        <v>39</v>
      </c>
      <c r="B1387" s="2">
        <v>44974</v>
      </c>
      <c r="C1387" s="9">
        <f t="shared" si="33"/>
        <v>2023</v>
      </c>
      <c r="D1387" s="11">
        <f t="shared" si="34"/>
        <v>48</v>
      </c>
      <c r="E1387" s="9" t="s">
        <v>38</v>
      </c>
      <c r="I1387" s="4"/>
      <c r="M1387" s="2"/>
    </row>
    <row r="1388" spans="1:13" hidden="1" x14ac:dyDescent="0.25">
      <c r="A1388" s="9" t="s">
        <v>39</v>
      </c>
      <c r="B1388" s="2">
        <v>44974</v>
      </c>
      <c r="C1388" s="9">
        <f t="shared" si="33"/>
        <v>2023</v>
      </c>
      <c r="D1388" s="11">
        <f t="shared" si="34"/>
        <v>48</v>
      </c>
      <c r="E1388" s="9" t="s">
        <v>38</v>
      </c>
      <c r="I1388" s="4"/>
      <c r="M1388" s="2"/>
    </row>
    <row r="1389" spans="1:13" hidden="1" x14ac:dyDescent="0.25">
      <c r="A1389" s="9" t="s">
        <v>39</v>
      </c>
      <c r="B1389" s="2">
        <v>44985</v>
      </c>
      <c r="C1389" s="9">
        <f t="shared" si="33"/>
        <v>2023</v>
      </c>
      <c r="D1389" s="11">
        <f t="shared" si="34"/>
        <v>59</v>
      </c>
      <c r="E1389" s="9" t="s">
        <v>38</v>
      </c>
      <c r="I1389" s="4"/>
      <c r="M1389" s="2"/>
    </row>
    <row r="1390" spans="1:13" hidden="1" x14ac:dyDescent="0.25">
      <c r="A1390" s="9" t="s">
        <v>39</v>
      </c>
      <c r="B1390" s="2">
        <v>44985</v>
      </c>
      <c r="C1390" s="9">
        <f t="shared" si="33"/>
        <v>2023</v>
      </c>
      <c r="D1390" s="11">
        <f t="shared" si="34"/>
        <v>59</v>
      </c>
      <c r="E1390" s="9" t="s">
        <v>38</v>
      </c>
      <c r="I1390" s="4"/>
      <c r="M1390" s="2"/>
    </row>
    <row r="1391" spans="1:13" hidden="1" x14ac:dyDescent="0.25">
      <c r="A1391" s="9" t="s">
        <v>39</v>
      </c>
      <c r="B1391" s="2">
        <v>44999</v>
      </c>
      <c r="C1391" s="9">
        <f t="shared" si="33"/>
        <v>2023</v>
      </c>
      <c r="D1391" s="11">
        <f t="shared" si="34"/>
        <v>73</v>
      </c>
      <c r="E1391" s="9" t="s">
        <v>38</v>
      </c>
      <c r="I1391" s="4"/>
      <c r="M1391" s="2"/>
    </row>
    <row r="1392" spans="1:13" hidden="1" x14ac:dyDescent="0.25">
      <c r="A1392" s="9" t="s">
        <v>39</v>
      </c>
      <c r="B1392" s="2">
        <v>44999</v>
      </c>
      <c r="C1392" s="9">
        <f t="shared" ref="C1392:C1428" si="35">YEAR(B1392)</f>
        <v>2023</v>
      </c>
      <c r="D1392" s="11">
        <f t="shared" si="34"/>
        <v>73</v>
      </c>
      <c r="E1392" s="9" t="s">
        <v>38</v>
      </c>
      <c r="I1392" s="4"/>
      <c r="M1392" s="2"/>
    </row>
    <row r="1393" spans="1:13" hidden="1" x14ac:dyDescent="0.25">
      <c r="A1393" s="9" t="s">
        <v>39</v>
      </c>
      <c r="B1393" s="2">
        <v>45013</v>
      </c>
      <c r="C1393" s="9">
        <f t="shared" si="35"/>
        <v>2023</v>
      </c>
      <c r="D1393" s="11">
        <f t="shared" si="34"/>
        <v>87</v>
      </c>
      <c r="E1393" s="9" t="s">
        <v>38</v>
      </c>
      <c r="I1393" s="4"/>
      <c r="M1393" s="2"/>
    </row>
    <row r="1394" spans="1:13" hidden="1" x14ac:dyDescent="0.25">
      <c r="A1394" s="9" t="s">
        <v>39</v>
      </c>
      <c r="B1394" s="2">
        <v>45013</v>
      </c>
      <c r="C1394" s="9">
        <f t="shared" si="35"/>
        <v>2023</v>
      </c>
      <c r="D1394" s="11">
        <f t="shared" si="34"/>
        <v>87</v>
      </c>
      <c r="E1394" s="9" t="s">
        <v>38</v>
      </c>
      <c r="I1394" s="4"/>
      <c r="M1394" s="2"/>
    </row>
    <row r="1395" spans="1:13" hidden="1" x14ac:dyDescent="0.25">
      <c r="A1395" s="9" t="s">
        <v>39</v>
      </c>
      <c r="B1395" s="2">
        <v>45028</v>
      </c>
      <c r="C1395" s="9">
        <f t="shared" si="35"/>
        <v>2023</v>
      </c>
      <c r="D1395" s="11">
        <f t="shared" si="34"/>
        <v>102</v>
      </c>
      <c r="E1395" s="9" t="s">
        <v>38</v>
      </c>
      <c r="I1395" s="4"/>
      <c r="M1395" s="2"/>
    </row>
    <row r="1396" spans="1:13" hidden="1" x14ac:dyDescent="0.25">
      <c r="A1396" s="9" t="s">
        <v>39</v>
      </c>
      <c r="B1396" s="2">
        <v>45028</v>
      </c>
      <c r="C1396" s="9">
        <f t="shared" si="35"/>
        <v>2023</v>
      </c>
      <c r="D1396" s="11">
        <f t="shared" si="34"/>
        <v>102</v>
      </c>
      <c r="E1396" s="9" t="s">
        <v>38</v>
      </c>
      <c r="I1396" s="4"/>
      <c r="M1396" s="2"/>
    </row>
    <row r="1397" spans="1:13" hidden="1" x14ac:dyDescent="0.25">
      <c r="A1397" s="9" t="s">
        <v>39</v>
      </c>
      <c r="B1397" s="2">
        <v>45040</v>
      </c>
      <c r="C1397" s="9">
        <f t="shared" si="35"/>
        <v>2023</v>
      </c>
      <c r="D1397" s="11">
        <f t="shared" si="34"/>
        <v>114</v>
      </c>
      <c r="E1397" s="9" t="s">
        <v>38</v>
      </c>
      <c r="I1397" s="4"/>
      <c r="M1397" s="2"/>
    </row>
    <row r="1398" spans="1:13" hidden="1" x14ac:dyDescent="0.25">
      <c r="A1398" s="9" t="s">
        <v>39</v>
      </c>
      <c r="B1398" s="2">
        <v>45040</v>
      </c>
      <c r="C1398" s="9">
        <f t="shared" si="35"/>
        <v>2023</v>
      </c>
      <c r="D1398" s="11">
        <f t="shared" si="34"/>
        <v>114</v>
      </c>
      <c r="E1398" s="9" t="s">
        <v>38</v>
      </c>
      <c r="I1398" s="4"/>
      <c r="M1398" s="2"/>
    </row>
    <row r="1399" spans="1:13" hidden="1" x14ac:dyDescent="0.25">
      <c r="A1399" s="9" t="s">
        <v>39</v>
      </c>
      <c r="B1399" s="2">
        <v>45047</v>
      </c>
      <c r="C1399" s="9">
        <f t="shared" si="35"/>
        <v>2023</v>
      </c>
      <c r="D1399" s="11">
        <f t="shared" si="34"/>
        <v>121</v>
      </c>
      <c r="E1399" s="9" t="s">
        <v>38</v>
      </c>
      <c r="I1399" s="4"/>
      <c r="M1399" s="2"/>
    </row>
    <row r="1400" spans="1:13" hidden="1" x14ac:dyDescent="0.25">
      <c r="A1400" s="9" t="s">
        <v>39</v>
      </c>
      <c r="B1400" s="2">
        <v>45047</v>
      </c>
      <c r="C1400" s="9">
        <f t="shared" si="35"/>
        <v>2023</v>
      </c>
      <c r="D1400" s="11">
        <f t="shared" si="34"/>
        <v>121</v>
      </c>
      <c r="E1400" s="9" t="s">
        <v>38</v>
      </c>
      <c r="I1400" s="4"/>
      <c r="M1400" s="2"/>
    </row>
    <row r="1401" spans="1:13" hidden="1" x14ac:dyDescent="0.25">
      <c r="A1401" s="9" t="s">
        <v>39</v>
      </c>
      <c r="B1401" s="2">
        <v>45061</v>
      </c>
      <c r="C1401" s="9">
        <f t="shared" si="35"/>
        <v>2023</v>
      </c>
      <c r="D1401" s="11">
        <f t="shared" si="34"/>
        <v>135</v>
      </c>
      <c r="E1401" s="9" t="s">
        <v>38</v>
      </c>
      <c r="I1401" s="4"/>
      <c r="M1401" s="2"/>
    </row>
    <row r="1402" spans="1:13" hidden="1" x14ac:dyDescent="0.25">
      <c r="A1402" s="9" t="s">
        <v>39</v>
      </c>
      <c r="B1402" s="2">
        <v>45061</v>
      </c>
      <c r="C1402" s="9">
        <f t="shared" si="35"/>
        <v>2023</v>
      </c>
      <c r="D1402" s="11">
        <f t="shared" si="34"/>
        <v>135</v>
      </c>
      <c r="E1402" s="9" t="s">
        <v>38</v>
      </c>
      <c r="I1402" s="4"/>
      <c r="M1402" s="2"/>
    </row>
    <row r="1403" spans="1:13" hidden="1" x14ac:dyDescent="0.25">
      <c r="A1403" s="9" t="s">
        <v>39</v>
      </c>
      <c r="B1403" s="2">
        <v>45075</v>
      </c>
      <c r="C1403" s="9">
        <f t="shared" si="35"/>
        <v>2023</v>
      </c>
      <c r="D1403" s="11">
        <f t="shared" si="34"/>
        <v>149</v>
      </c>
      <c r="E1403" s="9" t="s">
        <v>38</v>
      </c>
      <c r="I1403" s="4"/>
      <c r="M1403" s="2"/>
    </row>
    <row r="1404" spans="1:13" hidden="1" x14ac:dyDescent="0.25">
      <c r="A1404" s="9" t="s">
        <v>39</v>
      </c>
      <c r="B1404" s="2">
        <v>45075</v>
      </c>
      <c r="C1404" s="9">
        <f t="shared" si="35"/>
        <v>2023</v>
      </c>
      <c r="D1404" s="11">
        <f t="shared" si="34"/>
        <v>149</v>
      </c>
      <c r="E1404" s="9" t="s">
        <v>38</v>
      </c>
      <c r="I1404" s="4"/>
      <c r="M1404" s="2"/>
    </row>
    <row r="1405" spans="1:13" hidden="1" x14ac:dyDescent="0.25">
      <c r="A1405" s="9" t="s">
        <v>39</v>
      </c>
      <c r="B1405" s="2">
        <v>45085</v>
      </c>
      <c r="C1405" s="9">
        <f t="shared" si="35"/>
        <v>2023</v>
      </c>
      <c r="D1405" s="11">
        <f t="shared" si="34"/>
        <v>159</v>
      </c>
      <c r="E1405" s="9" t="s">
        <v>38</v>
      </c>
      <c r="I1405" s="4"/>
      <c r="M1405" s="2"/>
    </row>
    <row r="1406" spans="1:13" hidden="1" x14ac:dyDescent="0.25">
      <c r="A1406" s="9" t="s">
        <v>39</v>
      </c>
      <c r="B1406" s="2">
        <v>45085</v>
      </c>
      <c r="C1406" s="9">
        <f t="shared" si="35"/>
        <v>2023</v>
      </c>
      <c r="D1406" s="11">
        <f t="shared" si="34"/>
        <v>159</v>
      </c>
      <c r="E1406" s="9" t="s">
        <v>38</v>
      </c>
      <c r="I1406" s="4"/>
      <c r="M1406" s="2"/>
    </row>
    <row r="1407" spans="1:13" hidden="1" x14ac:dyDescent="0.25">
      <c r="A1407" s="9" t="s">
        <v>39</v>
      </c>
      <c r="B1407" s="2">
        <v>45314</v>
      </c>
      <c r="C1407" s="9">
        <f t="shared" si="35"/>
        <v>2024</v>
      </c>
      <c r="D1407" s="11">
        <f t="shared" si="34"/>
        <v>23</v>
      </c>
      <c r="E1407" s="9" t="s">
        <v>38</v>
      </c>
      <c r="I1407" s="4"/>
      <c r="M1407" s="2"/>
    </row>
    <row r="1408" spans="1:13" hidden="1" x14ac:dyDescent="0.25">
      <c r="A1408" s="9" t="s">
        <v>39</v>
      </c>
      <c r="B1408" s="2">
        <v>45314</v>
      </c>
      <c r="C1408" s="9">
        <f t="shared" si="35"/>
        <v>2024</v>
      </c>
      <c r="D1408" s="11">
        <f t="shared" si="34"/>
        <v>23</v>
      </c>
      <c r="E1408" s="9" t="s">
        <v>38</v>
      </c>
      <c r="I1408" s="4"/>
      <c r="M1408" s="2"/>
    </row>
    <row r="1409" spans="1:13" hidden="1" x14ac:dyDescent="0.25">
      <c r="A1409" s="9" t="s">
        <v>39</v>
      </c>
      <c r="B1409" s="2">
        <v>45336</v>
      </c>
      <c r="C1409" s="9">
        <f t="shared" si="35"/>
        <v>2024</v>
      </c>
      <c r="D1409" s="11">
        <f t="shared" si="34"/>
        <v>45</v>
      </c>
      <c r="E1409" s="9" t="s">
        <v>38</v>
      </c>
      <c r="I1409" s="4"/>
      <c r="M1409" s="2"/>
    </row>
    <row r="1410" spans="1:13" hidden="1" x14ac:dyDescent="0.25">
      <c r="A1410" s="9" t="s">
        <v>39</v>
      </c>
      <c r="B1410" s="2">
        <v>45336</v>
      </c>
      <c r="C1410" s="9">
        <f t="shared" si="35"/>
        <v>2024</v>
      </c>
      <c r="D1410" s="11">
        <f t="shared" si="34"/>
        <v>45</v>
      </c>
      <c r="E1410" s="9" t="s">
        <v>38</v>
      </c>
      <c r="I1410" s="4"/>
      <c r="M1410" s="2"/>
    </row>
    <row r="1411" spans="1:13" hidden="1" x14ac:dyDescent="0.25">
      <c r="A1411" s="9" t="s">
        <v>39</v>
      </c>
      <c r="B1411" s="2">
        <v>45351</v>
      </c>
      <c r="C1411" s="9">
        <f t="shared" si="35"/>
        <v>2024</v>
      </c>
      <c r="D1411" s="11">
        <f t="shared" si="34"/>
        <v>60</v>
      </c>
      <c r="E1411" s="9" t="s">
        <v>38</v>
      </c>
      <c r="I1411" s="4"/>
      <c r="M1411" s="2"/>
    </row>
    <row r="1412" spans="1:13" hidden="1" x14ac:dyDescent="0.25">
      <c r="A1412" s="9" t="s">
        <v>39</v>
      </c>
      <c r="B1412" s="2">
        <v>45351</v>
      </c>
      <c r="C1412" s="9">
        <f t="shared" si="35"/>
        <v>2024</v>
      </c>
      <c r="D1412" s="11">
        <f t="shared" si="34"/>
        <v>60</v>
      </c>
      <c r="E1412" s="9" t="s">
        <v>38</v>
      </c>
      <c r="I1412" s="4"/>
      <c r="M1412" s="2"/>
    </row>
    <row r="1413" spans="1:13" hidden="1" x14ac:dyDescent="0.25">
      <c r="A1413" s="9" t="s">
        <v>39</v>
      </c>
      <c r="B1413" s="2">
        <v>45365</v>
      </c>
      <c r="C1413" s="9">
        <f t="shared" si="35"/>
        <v>2024</v>
      </c>
      <c r="D1413" s="11">
        <f t="shared" si="34"/>
        <v>74</v>
      </c>
      <c r="E1413" s="9" t="s">
        <v>38</v>
      </c>
      <c r="I1413" s="4"/>
      <c r="M1413" s="2"/>
    </row>
    <row r="1414" spans="1:13" hidden="1" x14ac:dyDescent="0.25">
      <c r="A1414" s="9" t="s">
        <v>39</v>
      </c>
      <c r="B1414" s="2">
        <v>45365</v>
      </c>
      <c r="C1414" s="9">
        <f t="shared" si="35"/>
        <v>2024</v>
      </c>
      <c r="D1414" s="11">
        <f t="shared" si="34"/>
        <v>74</v>
      </c>
      <c r="E1414" s="9" t="s">
        <v>38</v>
      </c>
      <c r="I1414" s="4"/>
      <c r="M1414" s="2"/>
    </row>
    <row r="1415" spans="1:13" hidden="1" x14ac:dyDescent="0.25">
      <c r="A1415" s="9" t="s">
        <v>39</v>
      </c>
      <c r="B1415" s="2">
        <v>45379</v>
      </c>
      <c r="C1415" s="9">
        <f t="shared" si="35"/>
        <v>2024</v>
      </c>
      <c r="D1415" s="11">
        <f t="shared" si="34"/>
        <v>88</v>
      </c>
      <c r="E1415" s="9" t="s">
        <v>38</v>
      </c>
      <c r="I1415" s="4"/>
      <c r="M1415" s="2"/>
    </row>
    <row r="1416" spans="1:13" hidden="1" x14ac:dyDescent="0.25">
      <c r="A1416" s="9" t="s">
        <v>39</v>
      </c>
      <c r="B1416" s="2">
        <v>45379</v>
      </c>
      <c r="C1416" s="9">
        <f t="shared" si="35"/>
        <v>2024</v>
      </c>
      <c r="D1416" s="11">
        <f t="shared" si="34"/>
        <v>88</v>
      </c>
      <c r="E1416" s="9" t="s">
        <v>38</v>
      </c>
      <c r="I1416" s="4"/>
      <c r="M1416" s="2"/>
    </row>
    <row r="1417" spans="1:13" hidden="1" x14ac:dyDescent="0.25">
      <c r="A1417" s="9" t="s">
        <v>39</v>
      </c>
      <c r="B1417" s="2">
        <v>45392</v>
      </c>
      <c r="C1417" s="9">
        <f t="shared" si="35"/>
        <v>2024</v>
      </c>
      <c r="D1417" s="11">
        <f t="shared" ref="D1417:D1428" si="36">B1417-DATE(YEAR(B1417),1,0)</f>
        <v>101</v>
      </c>
      <c r="E1417" s="9" t="s">
        <v>38</v>
      </c>
      <c r="I1417" s="4"/>
      <c r="M1417" s="2"/>
    </row>
    <row r="1418" spans="1:13" hidden="1" x14ac:dyDescent="0.25">
      <c r="A1418" s="9" t="s">
        <v>39</v>
      </c>
      <c r="B1418" s="2">
        <v>45392</v>
      </c>
      <c r="C1418" s="9">
        <f t="shared" si="35"/>
        <v>2024</v>
      </c>
      <c r="D1418" s="11">
        <f t="shared" si="36"/>
        <v>101</v>
      </c>
      <c r="E1418" s="9" t="s">
        <v>38</v>
      </c>
      <c r="I1418" s="4"/>
      <c r="M1418" s="2"/>
    </row>
    <row r="1419" spans="1:13" hidden="1" x14ac:dyDescent="0.25">
      <c r="A1419" s="9" t="s">
        <v>39</v>
      </c>
      <c r="B1419" s="2">
        <v>45406</v>
      </c>
      <c r="C1419" s="9">
        <f t="shared" si="35"/>
        <v>2024</v>
      </c>
      <c r="D1419" s="11">
        <f t="shared" si="36"/>
        <v>115</v>
      </c>
      <c r="E1419" s="9" t="s">
        <v>38</v>
      </c>
      <c r="I1419" s="4"/>
      <c r="M1419" s="2"/>
    </row>
    <row r="1420" spans="1:13" hidden="1" x14ac:dyDescent="0.25">
      <c r="A1420" s="9" t="s">
        <v>39</v>
      </c>
      <c r="B1420" s="2">
        <v>45406</v>
      </c>
      <c r="C1420" s="9">
        <f t="shared" si="35"/>
        <v>2024</v>
      </c>
      <c r="D1420" s="11">
        <f t="shared" si="36"/>
        <v>115</v>
      </c>
      <c r="E1420" s="9" t="s">
        <v>38</v>
      </c>
      <c r="I1420" s="4"/>
      <c r="M1420" s="2"/>
    </row>
    <row r="1421" spans="1:13" hidden="1" x14ac:dyDescent="0.25">
      <c r="A1421" s="9" t="s">
        <v>39</v>
      </c>
      <c r="B1421" s="2">
        <v>45413</v>
      </c>
      <c r="C1421" s="9">
        <f t="shared" si="35"/>
        <v>2024</v>
      </c>
      <c r="D1421" s="11">
        <f t="shared" si="36"/>
        <v>122</v>
      </c>
      <c r="E1421" s="9" t="s">
        <v>38</v>
      </c>
      <c r="I1421" s="4"/>
      <c r="M1421" s="2"/>
    </row>
    <row r="1422" spans="1:13" hidden="1" x14ac:dyDescent="0.25">
      <c r="A1422" s="9" t="s">
        <v>39</v>
      </c>
      <c r="B1422" s="2">
        <v>45413</v>
      </c>
      <c r="C1422" s="9">
        <f t="shared" si="35"/>
        <v>2024</v>
      </c>
      <c r="D1422" s="11">
        <f t="shared" si="36"/>
        <v>122</v>
      </c>
      <c r="E1422" s="9" t="s">
        <v>38</v>
      </c>
      <c r="I1422" s="4"/>
      <c r="M1422" s="2"/>
    </row>
    <row r="1423" spans="1:13" hidden="1" x14ac:dyDescent="0.25">
      <c r="A1423" s="9" t="s">
        <v>39</v>
      </c>
      <c r="B1423" s="2">
        <v>45427</v>
      </c>
      <c r="C1423" s="9">
        <f t="shared" si="35"/>
        <v>2024</v>
      </c>
      <c r="D1423" s="11">
        <f t="shared" si="36"/>
        <v>136</v>
      </c>
      <c r="E1423" s="9" t="s">
        <v>38</v>
      </c>
      <c r="I1423" s="4"/>
      <c r="M1423" s="2"/>
    </row>
    <row r="1424" spans="1:13" hidden="1" x14ac:dyDescent="0.25">
      <c r="A1424" s="9" t="s">
        <v>39</v>
      </c>
      <c r="B1424" s="2">
        <v>45427</v>
      </c>
      <c r="C1424" s="9">
        <f t="shared" si="35"/>
        <v>2024</v>
      </c>
      <c r="D1424" s="11">
        <f t="shared" si="36"/>
        <v>136</v>
      </c>
      <c r="E1424" s="9" t="s">
        <v>38</v>
      </c>
      <c r="I1424" s="4"/>
      <c r="M1424" s="2"/>
    </row>
    <row r="1425" spans="1:16" hidden="1" x14ac:dyDescent="0.25">
      <c r="A1425" s="9" t="s">
        <v>39</v>
      </c>
      <c r="B1425" s="2">
        <v>45441</v>
      </c>
      <c r="C1425" s="9">
        <f t="shared" si="35"/>
        <v>2024</v>
      </c>
      <c r="D1425" s="11">
        <f t="shared" si="36"/>
        <v>150</v>
      </c>
      <c r="E1425" s="9" t="s">
        <v>38</v>
      </c>
      <c r="I1425" s="4"/>
      <c r="M1425" s="2"/>
    </row>
    <row r="1426" spans="1:16" hidden="1" x14ac:dyDescent="0.25">
      <c r="A1426" s="9" t="s">
        <v>39</v>
      </c>
      <c r="B1426" s="2">
        <v>45441</v>
      </c>
      <c r="C1426" s="9">
        <f t="shared" si="35"/>
        <v>2024</v>
      </c>
      <c r="D1426" s="11">
        <f t="shared" si="36"/>
        <v>150</v>
      </c>
      <c r="E1426" s="9" t="s">
        <v>38</v>
      </c>
      <c r="I1426" s="4"/>
      <c r="M1426" s="2"/>
    </row>
    <row r="1427" spans="1:16" hidden="1" x14ac:dyDescent="0.25">
      <c r="A1427" s="9" t="s">
        <v>39</v>
      </c>
      <c r="B1427" s="2">
        <v>45454</v>
      </c>
      <c r="C1427" s="9">
        <f t="shared" si="35"/>
        <v>2024</v>
      </c>
      <c r="D1427" s="11">
        <f t="shared" si="36"/>
        <v>163</v>
      </c>
      <c r="E1427" s="9" t="s">
        <v>38</v>
      </c>
      <c r="I1427" s="4"/>
      <c r="M1427" s="2"/>
    </row>
    <row r="1428" spans="1:16" hidden="1" x14ac:dyDescent="0.25">
      <c r="A1428" s="9" t="s">
        <v>39</v>
      </c>
      <c r="B1428" s="2">
        <v>45454</v>
      </c>
      <c r="C1428" s="9">
        <f t="shared" si="35"/>
        <v>2024</v>
      </c>
      <c r="D1428" s="11">
        <f t="shared" si="36"/>
        <v>163</v>
      </c>
      <c r="E1428" s="9" t="s">
        <v>38</v>
      </c>
      <c r="I1428" s="4"/>
      <c r="M1428" s="2"/>
    </row>
    <row r="1440" spans="1:16" x14ac:dyDescent="0.25">
      <c r="P1440" s="8"/>
    </row>
  </sheetData>
  <autoFilter ref="A1:A1428" xr:uid="{3C95387D-0458-4499-B052-84055CDD2D26}">
    <filterColumn colId="0">
      <filters>
        <filter val="AKLDHW2020"/>
        <filter val="AKLDHW2021"/>
        <filter val="AKLDHW2022"/>
        <filter val="AKLDHW2023"/>
        <filter val="AKLDHW2024"/>
      </filters>
    </filterColumn>
  </autoFilter>
  <phoneticPr fontId="3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F195-1F50-4308-BA2B-F7BFA06853CA}">
  <sheetPr filterMode="1"/>
  <dimension ref="A1:M1451"/>
  <sheetViews>
    <sheetView topLeftCell="A1307" zoomScale="60" zoomScaleNormal="60" workbookViewId="0">
      <selection activeCell="G1327" sqref="G1327"/>
    </sheetView>
  </sheetViews>
  <sheetFormatPr defaultRowHeight="15" x14ac:dyDescent="0.25"/>
  <cols>
    <col min="1" max="1" width="44.42578125" customWidth="1"/>
    <col min="2" max="2" width="17.7109375" customWidth="1"/>
    <col min="3" max="3" width="19.28515625" customWidth="1"/>
    <col min="4" max="4" width="12.28515625" customWidth="1"/>
    <col min="5" max="5" width="21.42578125" customWidth="1"/>
    <col min="6" max="6" width="41.42578125" customWidth="1"/>
    <col min="7" max="7" width="60.28515625" customWidth="1"/>
    <col min="8" max="8" width="57.5703125" customWidth="1"/>
    <col min="9" max="9" width="11" bestFit="1" customWidth="1"/>
    <col min="13" max="13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28</v>
      </c>
      <c r="H1" s="1" t="s">
        <v>5</v>
      </c>
    </row>
    <row r="2" spans="1:8" hidden="1" x14ac:dyDescent="0.25">
      <c r="A2" t="s">
        <v>7</v>
      </c>
      <c r="B2" s="2">
        <v>44603</v>
      </c>
      <c r="C2">
        <v>2022</v>
      </c>
      <c r="D2" s="23">
        <f>B2-DATE(YEAR(B2),1,0)</f>
        <v>42</v>
      </c>
      <c r="E2" t="s">
        <v>6</v>
      </c>
      <c r="F2">
        <f>(SingleBerryDW!F2/SingleBerryFW!F2)*100</f>
        <v>11.399999999999999</v>
      </c>
    </row>
    <row r="3" spans="1:8" hidden="1" x14ac:dyDescent="0.25">
      <c r="A3" t="s">
        <v>7</v>
      </c>
      <c r="B3" s="2">
        <v>44608</v>
      </c>
      <c r="C3">
        <v>2022</v>
      </c>
      <c r="D3" s="23">
        <f>B3-DATE(YEAR(B3),1,0)</f>
        <v>47</v>
      </c>
      <c r="E3" t="s">
        <v>6</v>
      </c>
      <c r="F3">
        <f>(SingleBerryDW!F3/SingleBerryFW!F3)*100</f>
        <v>13.4</v>
      </c>
    </row>
    <row r="4" spans="1:8" hidden="1" x14ac:dyDescent="0.25">
      <c r="A4" t="s">
        <v>7</v>
      </c>
      <c r="B4" s="2">
        <v>44622</v>
      </c>
      <c r="C4">
        <v>2022</v>
      </c>
      <c r="D4" s="23">
        <f t="shared" ref="D4:D67" si="0">B4-DATE(YEAR(B4),1,0)</f>
        <v>61</v>
      </c>
      <c r="E4" t="s">
        <v>6</v>
      </c>
      <c r="F4">
        <f>(SingleBerryDW!F4/SingleBerryFW!F4)*100</f>
        <v>11.699999999999998</v>
      </c>
    </row>
    <row r="5" spans="1:8" hidden="1" x14ac:dyDescent="0.25">
      <c r="A5" t="s">
        <v>7</v>
      </c>
      <c r="B5" s="2">
        <v>44636</v>
      </c>
      <c r="C5">
        <v>2022</v>
      </c>
      <c r="D5" s="23">
        <f t="shared" si="0"/>
        <v>75</v>
      </c>
      <c r="E5" t="s">
        <v>6</v>
      </c>
      <c r="F5">
        <f>(SingleBerryDW!F5/SingleBerryFW!F5)*100</f>
        <v>12.4</v>
      </c>
    </row>
    <row r="6" spans="1:8" hidden="1" x14ac:dyDescent="0.25">
      <c r="A6" t="s">
        <v>7</v>
      </c>
      <c r="B6" s="2">
        <v>44650</v>
      </c>
      <c r="C6">
        <v>2022</v>
      </c>
      <c r="D6" s="23">
        <f t="shared" si="0"/>
        <v>89</v>
      </c>
      <c r="E6" t="s">
        <v>6</v>
      </c>
      <c r="F6">
        <f>(SingleBerryDW!F6/SingleBerryFW!F6)*100</f>
        <v>15.100000000000001</v>
      </c>
    </row>
    <row r="7" spans="1:8" hidden="1" x14ac:dyDescent="0.25">
      <c r="A7" t="s">
        <v>7</v>
      </c>
      <c r="B7" s="2">
        <v>44664</v>
      </c>
      <c r="C7">
        <v>2022</v>
      </c>
      <c r="D7" s="23">
        <f t="shared" si="0"/>
        <v>103</v>
      </c>
      <c r="E7" t="s">
        <v>6</v>
      </c>
      <c r="F7">
        <f>(SingleBerryDW!F7/SingleBerryFW!F7)*100</f>
        <v>15.2</v>
      </c>
    </row>
    <row r="8" spans="1:8" hidden="1" x14ac:dyDescent="0.25">
      <c r="A8" t="s">
        <v>7</v>
      </c>
      <c r="B8" s="2">
        <v>44672</v>
      </c>
      <c r="C8">
        <v>2022</v>
      </c>
      <c r="D8" s="23">
        <f t="shared" si="0"/>
        <v>111</v>
      </c>
      <c r="E8" t="s">
        <v>6</v>
      </c>
      <c r="F8">
        <f>(SingleBerryDW!F8/SingleBerryFW!F8)*100</f>
        <v>16</v>
      </c>
    </row>
    <row r="9" spans="1:8" hidden="1" x14ac:dyDescent="0.25">
      <c r="A9" t="s">
        <v>7</v>
      </c>
      <c r="B9" s="2">
        <v>44680</v>
      </c>
      <c r="C9">
        <v>2022</v>
      </c>
      <c r="D9" s="23">
        <f t="shared" si="0"/>
        <v>119</v>
      </c>
      <c r="E9" t="s">
        <v>6</v>
      </c>
      <c r="F9">
        <f>(SingleBerryDW!F9/SingleBerryFW!F9)*100</f>
        <v>16.100000000000001</v>
      </c>
    </row>
    <row r="10" spans="1:8" hidden="1" x14ac:dyDescent="0.25">
      <c r="A10" t="s">
        <v>7</v>
      </c>
      <c r="B10" s="2">
        <v>44685</v>
      </c>
      <c r="C10">
        <v>2022</v>
      </c>
      <c r="D10" s="23">
        <f t="shared" si="0"/>
        <v>124</v>
      </c>
      <c r="E10" t="s">
        <v>6</v>
      </c>
      <c r="F10">
        <f>(SingleBerryDW!F10/SingleBerryFW!F10)*100</f>
        <v>15.8</v>
      </c>
    </row>
    <row r="11" spans="1:8" hidden="1" x14ac:dyDescent="0.25">
      <c r="A11" t="s">
        <v>7</v>
      </c>
      <c r="B11" s="2">
        <v>44699</v>
      </c>
      <c r="C11">
        <v>2022</v>
      </c>
      <c r="D11" s="23">
        <f t="shared" si="0"/>
        <v>138</v>
      </c>
      <c r="E11" t="s">
        <v>6</v>
      </c>
      <c r="F11">
        <f>(SingleBerryDW!F11/SingleBerryFW!F11)*100</f>
        <v>15.5</v>
      </c>
    </row>
    <row r="12" spans="1:8" hidden="1" x14ac:dyDescent="0.25">
      <c r="A12" t="s">
        <v>7</v>
      </c>
      <c r="B12" s="2">
        <v>44713</v>
      </c>
      <c r="C12">
        <v>2022</v>
      </c>
      <c r="D12" s="23">
        <f t="shared" si="0"/>
        <v>152</v>
      </c>
      <c r="E12" t="s">
        <v>6</v>
      </c>
      <c r="F12">
        <f>(SingleBerryDW!F12/SingleBerryFW!F12)*100</f>
        <v>16.3</v>
      </c>
    </row>
    <row r="13" spans="1:8" hidden="1" x14ac:dyDescent="0.25">
      <c r="A13" t="s">
        <v>7</v>
      </c>
      <c r="B13" s="2">
        <v>44952</v>
      </c>
      <c r="C13">
        <v>2023</v>
      </c>
      <c r="D13" s="23">
        <f t="shared" si="0"/>
        <v>26</v>
      </c>
      <c r="E13" t="s">
        <v>6</v>
      </c>
      <c r="F13">
        <f>(SingleBerryDW!F13/SingleBerryFW!F13)*100</f>
        <v>9.4</v>
      </c>
    </row>
    <row r="14" spans="1:8" hidden="1" x14ac:dyDescent="0.25">
      <c r="A14" t="s">
        <v>7</v>
      </c>
      <c r="B14" s="2">
        <v>44973</v>
      </c>
      <c r="C14">
        <v>2023</v>
      </c>
      <c r="D14" s="23">
        <f t="shared" si="0"/>
        <v>47</v>
      </c>
      <c r="E14" t="s">
        <v>6</v>
      </c>
      <c r="F14">
        <f>(SingleBerryDW!F14/SingleBerryFW!F14)*100</f>
        <v>12.5</v>
      </c>
    </row>
    <row r="15" spans="1:8" hidden="1" x14ac:dyDescent="0.25">
      <c r="A15" t="s">
        <v>7</v>
      </c>
      <c r="B15" s="2">
        <v>44984</v>
      </c>
      <c r="C15">
        <v>2023</v>
      </c>
      <c r="D15" s="23">
        <f t="shared" si="0"/>
        <v>58</v>
      </c>
      <c r="E15" t="s">
        <v>6</v>
      </c>
      <c r="F15">
        <f>(SingleBerryDW!F15/SingleBerryFW!F15)*100</f>
        <v>14.099999999999998</v>
      </c>
    </row>
    <row r="16" spans="1:8" hidden="1" x14ac:dyDescent="0.25">
      <c r="A16" t="s">
        <v>7</v>
      </c>
      <c r="B16" s="2">
        <v>45000</v>
      </c>
      <c r="C16">
        <v>2023</v>
      </c>
      <c r="D16" s="23">
        <f t="shared" si="0"/>
        <v>74</v>
      </c>
      <c r="E16" t="s">
        <v>6</v>
      </c>
      <c r="F16">
        <f>(SingleBerryDW!F16/SingleBerryFW!F16)*100</f>
        <v>15</v>
      </c>
    </row>
    <row r="17" spans="1:6" hidden="1" x14ac:dyDescent="0.25">
      <c r="A17" t="s">
        <v>7</v>
      </c>
      <c r="B17" s="2">
        <v>45015</v>
      </c>
      <c r="C17">
        <v>2023</v>
      </c>
      <c r="D17" s="23">
        <f t="shared" si="0"/>
        <v>89</v>
      </c>
      <c r="E17" t="s">
        <v>6</v>
      </c>
      <c r="F17">
        <f>(SingleBerryDW!F17/SingleBerryFW!F17)*100</f>
        <v>15.5</v>
      </c>
    </row>
    <row r="18" spans="1:6" hidden="1" x14ac:dyDescent="0.25">
      <c r="A18" t="s">
        <v>7</v>
      </c>
      <c r="B18" s="2">
        <v>45029</v>
      </c>
      <c r="C18">
        <v>2023</v>
      </c>
      <c r="D18" s="23">
        <f t="shared" si="0"/>
        <v>103</v>
      </c>
      <c r="E18" t="s">
        <v>6</v>
      </c>
      <c r="F18">
        <f>(SingleBerryDW!F18/SingleBerryFW!F18)*100</f>
        <v>15.7</v>
      </c>
    </row>
    <row r="19" spans="1:6" hidden="1" x14ac:dyDescent="0.25">
      <c r="A19" t="s">
        <v>7</v>
      </c>
      <c r="B19" s="2">
        <v>45041</v>
      </c>
      <c r="C19">
        <v>2023</v>
      </c>
      <c r="D19" s="23">
        <f t="shared" si="0"/>
        <v>115</v>
      </c>
      <c r="E19" t="s">
        <v>6</v>
      </c>
      <c r="F19">
        <f>(SingleBerryDW!F19/SingleBerryFW!F19)*100</f>
        <v>16.5</v>
      </c>
    </row>
    <row r="20" spans="1:6" hidden="1" x14ac:dyDescent="0.25">
      <c r="A20" t="s">
        <v>7</v>
      </c>
      <c r="B20" s="2">
        <v>45049</v>
      </c>
      <c r="C20">
        <v>2023</v>
      </c>
      <c r="D20" s="23">
        <f t="shared" si="0"/>
        <v>123</v>
      </c>
      <c r="E20" t="s">
        <v>6</v>
      </c>
      <c r="F20">
        <f>(SingleBerryDW!F20/SingleBerryFW!F20)*100</f>
        <v>16.400000000000002</v>
      </c>
    </row>
    <row r="21" spans="1:6" hidden="1" x14ac:dyDescent="0.25">
      <c r="A21" t="s">
        <v>7</v>
      </c>
      <c r="B21" s="2">
        <v>45062</v>
      </c>
      <c r="C21">
        <v>2023</v>
      </c>
      <c r="D21" s="23">
        <f t="shared" si="0"/>
        <v>136</v>
      </c>
      <c r="E21" t="s">
        <v>6</v>
      </c>
      <c r="F21">
        <f>(SingleBerryDW!F21/SingleBerryFW!F21)*100</f>
        <v>16.7</v>
      </c>
    </row>
    <row r="22" spans="1:6" hidden="1" x14ac:dyDescent="0.25">
      <c r="A22" t="s">
        <v>7</v>
      </c>
      <c r="B22" s="2">
        <v>45076</v>
      </c>
      <c r="C22">
        <v>2023</v>
      </c>
      <c r="D22" s="23">
        <f t="shared" si="0"/>
        <v>150</v>
      </c>
      <c r="E22" t="s">
        <v>6</v>
      </c>
      <c r="F22">
        <f>(SingleBerryDW!F22/SingleBerryFW!F22)*100</f>
        <v>17</v>
      </c>
    </row>
    <row r="23" spans="1:6" hidden="1" x14ac:dyDescent="0.25">
      <c r="A23" t="s">
        <v>7</v>
      </c>
      <c r="B23" s="2">
        <v>45083</v>
      </c>
      <c r="C23">
        <v>2023</v>
      </c>
      <c r="D23" s="23">
        <f t="shared" si="0"/>
        <v>157</v>
      </c>
      <c r="E23" t="s">
        <v>6</v>
      </c>
      <c r="F23">
        <f>(SingleBerryDW!F23/SingleBerryFW!F23)*100</f>
        <v>17.100000000000001</v>
      </c>
    </row>
    <row r="24" spans="1:6" hidden="1" x14ac:dyDescent="0.25">
      <c r="A24" t="s">
        <v>7</v>
      </c>
      <c r="B24" s="2">
        <v>45316</v>
      </c>
      <c r="C24">
        <v>2024</v>
      </c>
      <c r="D24" s="23">
        <f t="shared" si="0"/>
        <v>25</v>
      </c>
      <c r="E24" t="s">
        <v>6</v>
      </c>
      <c r="F24">
        <f>(SingleBerryDW!F24/SingleBerryFW!F24)*100</f>
        <v>9</v>
      </c>
    </row>
    <row r="25" spans="1:6" hidden="1" x14ac:dyDescent="0.25">
      <c r="A25" t="s">
        <v>7</v>
      </c>
      <c r="B25" s="2">
        <v>45337</v>
      </c>
      <c r="C25">
        <v>2024</v>
      </c>
      <c r="D25" s="23">
        <f t="shared" si="0"/>
        <v>46</v>
      </c>
      <c r="E25" t="s">
        <v>6</v>
      </c>
      <c r="F25">
        <f>(SingleBerryDW!F25/SingleBerryFW!F25)*100</f>
        <v>12.000000000000002</v>
      </c>
    </row>
    <row r="26" spans="1:6" hidden="1" x14ac:dyDescent="0.25">
      <c r="A26" t="s">
        <v>7</v>
      </c>
      <c r="B26" s="2">
        <v>45350</v>
      </c>
      <c r="C26">
        <v>2024</v>
      </c>
      <c r="D26" s="23">
        <f t="shared" si="0"/>
        <v>59</v>
      </c>
      <c r="E26" t="s">
        <v>6</v>
      </c>
      <c r="F26">
        <f>(SingleBerryDW!F26/SingleBerryFW!F26)*100</f>
        <v>13.5</v>
      </c>
    </row>
    <row r="27" spans="1:6" hidden="1" x14ac:dyDescent="0.25">
      <c r="A27" t="s">
        <v>7</v>
      </c>
      <c r="B27" s="2">
        <v>45364</v>
      </c>
      <c r="C27">
        <v>2024</v>
      </c>
      <c r="D27" s="23">
        <f t="shared" si="0"/>
        <v>73</v>
      </c>
      <c r="E27" t="s">
        <v>6</v>
      </c>
      <c r="F27">
        <f>(SingleBerryDW!F27/SingleBerryFW!F27)*100</f>
        <v>14.6</v>
      </c>
    </row>
    <row r="28" spans="1:6" hidden="1" x14ac:dyDescent="0.25">
      <c r="A28" t="s">
        <v>7</v>
      </c>
      <c r="B28" s="2">
        <v>45378</v>
      </c>
      <c r="C28">
        <v>2024</v>
      </c>
      <c r="D28" s="23">
        <f t="shared" si="0"/>
        <v>87</v>
      </c>
      <c r="E28" t="s">
        <v>6</v>
      </c>
      <c r="F28">
        <f>(SingleBerryDW!F28/SingleBerryFW!F28)*100</f>
        <v>15.300000000000002</v>
      </c>
    </row>
    <row r="29" spans="1:6" hidden="1" x14ac:dyDescent="0.25">
      <c r="A29" t="s">
        <v>7</v>
      </c>
      <c r="B29" s="2">
        <v>45390</v>
      </c>
      <c r="C29">
        <v>2024</v>
      </c>
      <c r="D29" s="23">
        <f t="shared" si="0"/>
        <v>99</v>
      </c>
      <c r="E29" t="s">
        <v>6</v>
      </c>
      <c r="F29">
        <f>(SingleBerryDW!F29/SingleBerryFW!F29)*100</f>
        <v>15.5</v>
      </c>
    </row>
    <row r="30" spans="1:6" hidden="1" x14ac:dyDescent="0.25">
      <c r="A30" t="s">
        <v>7</v>
      </c>
      <c r="B30" s="2">
        <v>45404</v>
      </c>
      <c r="C30">
        <v>2024</v>
      </c>
      <c r="D30" s="23">
        <f t="shared" si="0"/>
        <v>113</v>
      </c>
      <c r="E30" t="s">
        <v>6</v>
      </c>
      <c r="F30">
        <f>(SingleBerryDW!F30/SingleBerryFW!F30)*100</f>
        <v>16.399999999999999</v>
      </c>
    </row>
    <row r="31" spans="1:6" hidden="1" x14ac:dyDescent="0.25">
      <c r="A31" t="s">
        <v>7</v>
      </c>
      <c r="B31" s="2">
        <v>45414</v>
      </c>
      <c r="C31">
        <v>2024</v>
      </c>
      <c r="D31" s="23">
        <f t="shared" si="0"/>
        <v>123</v>
      </c>
      <c r="E31" t="s">
        <v>6</v>
      </c>
      <c r="F31">
        <f>(SingleBerryDW!F31/SingleBerryFW!F31)*100</f>
        <v>16.8</v>
      </c>
    </row>
    <row r="32" spans="1:6" hidden="1" x14ac:dyDescent="0.25">
      <c r="A32" t="s">
        <v>7</v>
      </c>
      <c r="B32" s="2">
        <v>45425</v>
      </c>
      <c r="C32">
        <v>2024</v>
      </c>
      <c r="D32" s="23">
        <f t="shared" si="0"/>
        <v>134</v>
      </c>
      <c r="E32" t="s">
        <v>6</v>
      </c>
      <c r="F32">
        <f>(SingleBerryDW!F32/SingleBerryFW!F32)*100</f>
        <v>17.200000000000003</v>
      </c>
    </row>
    <row r="33" spans="1:6" hidden="1" x14ac:dyDescent="0.25">
      <c r="A33" t="s">
        <v>7</v>
      </c>
      <c r="B33" s="2">
        <v>45439</v>
      </c>
      <c r="C33">
        <v>2024</v>
      </c>
      <c r="D33" s="23">
        <f t="shared" si="0"/>
        <v>148</v>
      </c>
      <c r="E33" t="s">
        <v>6</v>
      </c>
      <c r="F33">
        <f>(SingleBerryDW!F33/SingleBerryFW!F33)*100</f>
        <v>15.1</v>
      </c>
    </row>
    <row r="34" spans="1:6" hidden="1" x14ac:dyDescent="0.25">
      <c r="A34" t="s">
        <v>7</v>
      </c>
      <c r="B34" s="2">
        <v>45454</v>
      </c>
      <c r="C34">
        <v>2024</v>
      </c>
      <c r="D34" s="23">
        <f t="shared" si="0"/>
        <v>163</v>
      </c>
      <c r="E34" t="s">
        <v>6</v>
      </c>
      <c r="F34">
        <f>(SingleBerryDW!F34/SingleBerryFW!F34)*100</f>
        <v>17.100000000000001</v>
      </c>
    </row>
    <row r="35" spans="1:6" hidden="1" x14ac:dyDescent="0.25">
      <c r="A35" t="s">
        <v>7</v>
      </c>
      <c r="B35" s="2">
        <v>44595</v>
      </c>
      <c r="C35">
        <v>2022</v>
      </c>
      <c r="D35" s="23">
        <f t="shared" si="0"/>
        <v>34</v>
      </c>
      <c r="E35" t="s">
        <v>6</v>
      </c>
      <c r="F35">
        <f>(SingleBerryDW!F35/SingleBerryFW!F35)*100</f>
        <v>11.6</v>
      </c>
    </row>
    <row r="36" spans="1:6" hidden="1" x14ac:dyDescent="0.25">
      <c r="A36" t="s">
        <v>7</v>
      </c>
      <c r="B36" s="2">
        <v>44608</v>
      </c>
      <c r="C36">
        <v>2022</v>
      </c>
      <c r="D36" s="23">
        <f t="shared" si="0"/>
        <v>47</v>
      </c>
      <c r="E36" t="s">
        <v>6</v>
      </c>
      <c r="F36">
        <f>(SingleBerryDW!F36/SingleBerryFW!F36)*100</f>
        <v>13.200000000000001</v>
      </c>
    </row>
    <row r="37" spans="1:6" hidden="1" x14ac:dyDescent="0.25">
      <c r="A37" t="s">
        <v>7</v>
      </c>
      <c r="B37" s="2">
        <v>44622</v>
      </c>
      <c r="C37">
        <v>2022</v>
      </c>
      <c r="D37" s="23">
        <f t="shared" si="0"/>
        <v>61</v>
      </c>
      <c r="E37" t="s">
        <v>6</v>
      </c>
      <c r="F37">
        <f>(SingleBerryDW!F37/SingleBerryFW!F37)*100</f>
        <v>13.3</v>
      </c>
    </row>
    <row r="38" spans="1:6" hidden="1" x14ac:dyDescent="0.25">
      <c r="A38" t="s">
        <v>7</v>
      </c>
      <c r="B38" s="2">
        <v>44636</v>
      </c>
      <c r="C38">
        <v>2022</v>
      </c>
      <c r="D38" s="23">
        <f t="shared" si="0"/>
        <v>75</v>
      </c>
      <c r="E38" t="s">
        <v>6</v>
      </c>
      <c r="F38">
        <f>(SingleBerryDW!F38/SingleBerryFW!F38)*100</f>
        <v>14.399999999999999</v>
      </c>
    </row>
    <row r="39" spans="1:6" hidden="1" x14ac:dyDescent="0.25">
      <c r="A39" t="s">
        <v>7</v>
      </c>
      <c r="B39" s="2">
        <v>44650</v>
      </c>
      <c r="C39">
        <v>2022</v>
      </c>
      <c r="D39" s="23">
        <f t="shared" si="0"/>
        <v>89</v>
      </c>
      <c r="E39" t="s">
        <v>6</v>
      </c>
      <c r="F39">
        <f>(SingleBerryDW!F39/SingleBerryFW!F39)*100</f>
        <v>16.799999999999997</v>
      </c>
    </row>
    <row r="40" spans="1:6" hidden="1" x14ac:dyDescent="0.25">
      <c r="A40" t="s">
        <v>7</v>
      </c>
      <c r="B40" s="2">
        <v>44664</v>
      </c>
      <c r="C40">
        <v>2022</v>
      </c>
      <c r="D40" s="23">
        <f t="shared" si="0"/>
        <v>103</v>
      </c>
      <c r="E40" t="s">
        <v>6</v>
      </c>
      <c r="F40">
        <f>(SingleBerryDW!F40/SingleBerryFW!F40)*100</f>
        <v>17.100000000000001</v>
      </c>
    </row>
    <row r="41" spans="1:6" hidden="1" x14ac:dyDescent="0.25">
      <c r="A41" t="s">
        <v>7</v>
      </c>
      <c r="B41" s="2">
        <v>44672</v>
      </c>
      <c r="C41">
        <v>2022</v>
      </c>
      <c r="D41" s="23">
        <f t="shared" si="0"/>
        <v>111</v>
      </c>
      <c r="E41" t="s">
        <v>6</v>
      </c>
      <c r="F41">
        <f>(SingleBerryDW!F41/SingleBerryFW!F41)*100</f>
        <v>17.600000000000001</v>
      </c>
    </row>
    <row r="42" spans="1:6" hidden="1" x14ac:dyDescent="0.25">
      <c r="A42" t="s">
        <v>7</v>
      </c>
      <c r="B42" s="2">
        <v>44680</v>
      </c>
      <c r="C42">
        <v>2022</v>
      </c>
      <c r="D42" s="23">
        <f t="shared" si="0"/>
        <v>119</v>
      </c>
      <c r="E42" t="s">
        <v>6</v>
      </c>
      <c r="F42">
        <f>(SingleBerryDW!F42/SingleBerryFW!F42)*100</f>
        <v>18</v>
      </c>
    </row>
    <row r="43" spans="1:6" hidden="1" x14ac:dyDescent="0.25">
      <c r="A43" t="s">
        <v>7</v>
      </c>
      <c r="B43" s="2">
        <v>44685</v>
      </c>
      <c r="C43">
        <v>2022</v>
      </c>
      <c r="D43" s="23">
        <f t="shared" si="0"/>
        <v>124</v>
      </c>
      <c r="E43" t="s">
        <v>6</v>
      </c>
      <c r="F43">
        <f>(SingleBerryDW!F43/SingleBerryFW!F43)*100</f>
        <v>18.3</v>
      </c>
    </row>
    <row r="44" spans="1:6" hidden="1" x14ac:dyDescent="0.25">
      <c r="A44" t="s">
        <v>7</v>
      </c>
      <c r="B44" s="2">
        <v>44699</v>
      </c>
      <c r="C44">
        <v>2022</v>
      </c>
      <c r="D44" s="23">
        <f t="shared" si="0"/>
        <v>138</v>
      </c>
      <c r="E44" t="s">
        <v>6</v>
      </c>
      <c r="F44">
        <f>(SingleBerryDW!F44/SingleBerryFW!F44)*100</f>
        <v>18.7</v>
      </c>
    </row>
    <row r="45" spans="1:6" hidden="1" x14ac:dyDescent="0.25">
      <c r="A45" t="s">
        <v>7</v>
      </c>
      <c r="B45" s="2">
        <v>44713</v>
      </c>
      <c r="C45">
        <v>2022</v>
      </c>
      <c r="D45" s="23">
        <f t="shared" si="0"/>
        <v>152</v>
      </c>
      <c r="E45" t="s">
        <v>6</v>
      </c>
      <c r="F45">
        <f>(SingleBerryDW!F45/SingleBerryFW!F45)*100</f>
        <v>17.899999999999995</v>
      </c>
    </row>
    <row r="46" spans="1:6" hidden="1" x14ac:dyDescent="0.25">
      <c r="A46" t="s">
        <v>7</v>
      </c>
      <c r="B46" s="2">
        <v>44952</v>
      </c>
      <c r="C46">
        <v>2023</v>
      </c>
      <c r="D46" s="23">
        <f t="shared" si="0"/>
        <v>26</v>
      </c>
      <c r="E46" t="s">
        <v>6</v>
      </c>
      <c r="F46">
        <f>(SingleBerryDW!F46/SingleBerryFW!F46)*100</f>
        <v>9.6</v>
      </c>
    </row>
    <row r="47" spans="1:6" hidden="1" x14ac:dyDescent="0.25">
      <c r="A47" t="s">
        <v>7</v>
      </c>
      <c r="B47" s="2">
        <v>44974</v>
      </c>
      <c r="C47">
        <v>2023</v>
      </c>
      <c r="D47" s="23">
        <f t="shared" si="0"/>
        <v>48</v>
      </c>
      <c r="E47" t="s">
        <v>6</v>
      </c>
      <c r="F47">
        <f>(SingleBerryDW!F47/SingleBerryFW!F47)*100</f>
        <v>12.4</v>
      </c>
    </row>
    <row r="48" spans="1:6" hidden="1" x14ac:dyDescent="0.25">
      <c r="A48" t="s">
        <v>7</v>
      </c>
      <c r="B48" s="2">
        <v>44984</v>
      </c>
      <c r="C48">
        <v>2023</v>
      </c>
      <c r="D48" s="23">
        <f t="shared" si="0"/>
        <v>58</v>
      </c>
      <c r="E48" t="s">
        <v>6</v>
      </c>
      <c r="F48">
        <f>(SingleBerryDW!F48/SingleBerryFW!F48)*100</f>
        <v>13.999999999999998</v>
      </c>
    </row>
    <row r="49" spans="1:6" hidden="1" x14ac:dyDescent="0.25">
      <c r="A49" t="s">
        <v>7</v>
      </c>
      <c r="B49" s="2">
        <v>45000</v>
      </c>
      <c r="C49">
        <v>2023</v>
      </c>
      <c r="D49" s="23">
        <f t="shared" si="0"/>
        <v>74</v>
      </c>
      <c r="E49" t="s">
        <v>6</v>
      </c>
      <c r="F49">
        <f>(SingleBerryDW!F49/SingleBerryFW!F49)*100</f>
        <v>15.299999999999999</v>
      </c>
    </row>
    <row r="50" spans="1:6" hidden="1" x14ac:dyDescent="0.25">
      <c r="A50" t="s">
        <v>7</v>
      </c>
      <c r="B50" s="2">
        <v>45015</v>
      </c>
      <c r="C50">
        <v>2023</v>
      </c>
      <c r="D50" s="23">
        <f t="shared" si="0"/>
        <v>89</v>
      </c>
      <c r="E50" t="s">
        <v>6</v>
      </c>
      <c r="F50">
        <f>(SingleBerryDW!F50/SingleBerryFW!F50)*100</f>
        <v>15.900000000000002</v>
      </c>
    </row>
    <row r="51" spans="1:6" hidden="1" x14ac:dyDescent="0.25">
      <c r="A51" t="s">
        <v>7</v>
      </c>
      <c r="B51" s="2">
        <v>45029</v>
      </c>
      <c r="C51">
        <v>2023</v>
      </c>
      <c r="D51" s="23">
        <f t="shared" si="0"/>
        <v>103</v>
      </c>
      <c r="E51" t="s">
        <v>6</v>
      </c>
      <c r="F51">
        <f>(SingleBerryDW!F51/SingleBerryFW!F51)*100</f>
        <v>16.7</v>
      </c>
    </row>
    <row r="52" spans="1:6" hidden="1" x14ac:dyDescent="0.25">
      <c r="A52" t="s">
        <v>7</v>
      </c>
      <c r="B52" s="2">
        <v>45041</v>
      </c>
      <c r="C52">
        <v>2023</v>
      </c>
      <c r="D52" s="23">
        <f t="shared" si="0"/>
        <v>115</v>
      </c>
      <c r="E52" t="s">
        <v>6</v>
      </c>
      <c r="F52">
        <f>(SingleBerryDW!F52/SingleBerryFW!F52)*100</f>
        <v>17.600000000000001</v>
      </c>
    </row>
    <row r="53" spans="1:6" hidden="1" x14ac:dyDescent="0.25">
      <c r="A53" t="s">
        <v>7</v>
      </c>
      <c r="B53" s="2">
        <v>45049</v>
      </c>
      <c r="C53">
        <v>2023</v>
      </c>
      <c r="D53" s="23">
        <f t="shared" si="0"/>
        <v>123</v>
      </c>
      <c r="E53" t="s">
        <v>6</v>
      </c>
      <c r="F53">
        <f>(SingleBerryDW!F53/SingleBerryFW!F53)*100</f>
        <v>17.2</v>
      </c>
    </row>
    <row r="54" spans="1:6" hidden="1" x14ac:dyDescent="0.25">
      <c r="A54" t="s">
        <v>7</v>
      </c>
      <c r="B54" s="2">
        <v>45062</v>
      </c>
      <c r="C54">
        <v>2023</v>
      </c>
      <c r="D54" s="23">
        <f t="shared" si="0"/>
        <v>136</v>
      </c>
      <c r="E54" t="s">
        <v>6</v>
      </c>
      <c r="F54">
        <f>(SingleBerryDW!F54/SingleBerryFW!F54)*100</f>
        <v>17.399999999999999</v>
      </c>
    </row>
    <row r="55" spans="1:6" hidden="1" x14ac:dyDescent="0.25">
      <c r="A55" t="s">
        <v>7</v>
      </c>
      <c r="B55" s="2">
        <v>45077</v>
      </c>
      <c r="C55">
        <v>2023</v>
      </c>
      <c r="D55" s="23">
        <f t="shared" si="0"/>
        <v>151</v>
      </c>
      <c r="E55" t="s">
        <v>6</v>
      </c>
      <c r="F55">
        <f>(SingleBerryDW!F55/SingleBerryFW!F55)*100</f>
        <v>17.399999999999995</v>
      </c>
    </row>
    <row r="56" spans="1:6" hidden="1" x14ac:dyDescent="0.25">
      <c r="A56" t="s">
        <v>7</v>
      </c>
      <c r="B56" s="2">
        <v>45083</v>
      </c>
      <c r="C56">
        <v>2023</v>
      </c>
      <c r="D56" s="23">
        <f t="shared" si="0"/>
        <v>157</v>
      </c>
      <c r="E56" t="s">
        <v>6</v>
      </c>
      <c r="F56">
        <f>(SingleBerryDW!F56/SingleBerryFW!F56)*100</f>
        <v>17.2</v>
      </c>
    </row>
    <row r="57" spans="1:6" hidden="1" x14ac:dyDescent="0.25">
      <c r="A57" t="s">
        <v>7</v>
      </c>
      <c r="B57" s="2">
        <v>44595</v>
      </c>
      <c r="C57">
        <v>2022</v>
      </c>
      <c r="D57" s="23">
        <f t="shared" si="0"/>
        <v>34</v>
      </c>
      <c r="E57" t="s">
        <v>6</v>
      </c>
      <c r="F57">
        <f>(SingleBerryDW!F57/SingleBerryFW!F57)*100</f>
        <v>10.199999999999999</v>
      </c>
    </row>
    <row r="58" spans="1:6" hidden="1" x14ac:dyDescent="0.25">
      <c r="A58" t="s">
        <v>7</v>
      </c>
      <c r="B58" s="2">
        <v>44608</v>
      </c>
      <c r="C58">
        <v>2022</v>
      </c>
      <c r="D58" s="23">
        <f t="shared" si="0"/>
        <v>47</v>
      </c>
      <c r="E58" t="s">
        <v>6</v>
      </c>
      <c r="F58">
        <f>(SingleBerryDW!F58/SingleBerryFW!F58)*100</f>
        <v>12.9</v>
      </c>
    </row>
    <row r="59" spans="1:6" hidden="1" x14ac:dyDescent="0.25">
      <c r="A59" t="s">
        <v>7</v>
      </c>
      <c r="B59" s="2">
        <v>44622</v>
      </c>
      <c r="C59">
        <v>2022</v>
      </c>
      <c r="D59" s="23">
        <f t="shared" si="0"/>
        <v>61</v>
      </c>
      <c r="E59" t="s">
        <v>6</v>
      </c>
      <c r="F59">
        <f>(SingleBerryDW!F59/SingleBerryFW!F59)*100</f>
        <v>14.200000000000001</v>
      </c>
    </row>
    <row r="60" spans="1:6" hidden="1" x14ac:dyDescent="0.25">
      <c r="A60" t="s">
        <v>7</v>
      </c>
      <c r="B60" s="2">
        <v>44636</v>
      </c>
      <c r="C60">
        <v>2022</v>
      </c>
      <c r="D60" s="23">
        <f t="shared" si="0"/>
        <v>75</v>
      </c>
      <c r="E60" t="s">
        <v>6</v>
      </c>
      <c r="F60">
        <f>(SingleBerryDW!F60/SingleBerryFW!F60)*100</f>
        <v>16.2</v>
      </c>
    </row>
    <row r="61" spans="1:6" hidden="1" x14ac:dyDescent="0.25">
      <c r="A61" t="s">
        <v>7</v>
      </c>
      <c r="B61" s="2">
        <v>44650</v>
      </c>
      <c r="C61">
        <v>2022</v>
      </c>
      <c r="D61" s="23">
        <f t="shared" si="0"/>
        <v>89</v>
      </c>
      <c r="E61" t="s">
        <v>6</v>
      </c>
      <c r="F61">
        <f>(SingleBerryDW!F61/SingleBerryFW!F61)*100</f>
        <v>16.100000000000001</v>
      </c>
    </row>
    <row r="62" spans="1:6" hidden="1" x14ac:dyDescent="0.25">
      <c r="A62" t="s">
        <v>7</v>
      </c>
      <c r="B62" s="2">
        <v>44664</v>
      </c>
      <c r="C62">
        <v>2022</v>
      </c>
      <c r="D62" s="23">
        <f t="shared" si="0"/>
        <v>103</v>
      </c>
      <c r="E62" t="s">
        <v>6</v>
      </c>
      <c r="F62">
        <f>(SingleBerryDW!F62/SingleBerryFW!F62)*100</f>
        <v>16.600000000000001</v>
      </c>
    </row>
    <row r="63" spans="1:6" hidden="1" x14ac:dyDescent="0.25">
      <c r="A63" t="s">
        <v>7</v>
      </c>
      <c r="B63" s="2">
        <v>44673</v>
      </c>
      <c r="C63">
        <v>2022</v>
      </c>
      <c r="D63" s="23">
        <f t="shared" si="0"/>
        <v>112</v>
      </c>
      <c r="E63" t="s">
        <v>6</v>
      </c>
      <c r="F63">
        <f>(SingleBerryDW!F63/SingleBerryFW!F63)*100</f>
        <v>17.5</v>
      </c>
    </row>
    <row r="64" spans="1:6" hidden="1" x14ac:dyDescent="0.25">
      <c r="A64" t="s">
        <v>7</v>
      </c>
      <c r="B64" s="2">
        <v>44680</v>
      </c>
      <c r="C64">
        <v>2022</v>
      </c>
      <c r="D64" s="23">
        <f t="shared" si="0"/>
        <v>119</v>
      </c>
      <c r="E64" t="s">
        <v>6</v>
      </c>
      <c r="F64">
        <f>(SingleBerryDW!F64/SingleBerryFW!F64)*100</f>
        <v>17.2</v>
      </c>
    </row>
    <row r="65" spans="1:6" hidden="1" x14ac:dyDescent="0.25">
      <c r="A65" t="s">
        <v>7</v>
      </c>
      <c r="B65" s="2">
        <v>44685</v>
      </c>
      <c r="C65">
        <v>2022</v>
      </c>
      <c r="D65" s="23">
        <f t="shared" si="0"/>
        <v>124</v>
      </c>
      <c r="E65" t="s">
        <v>6</v>
      </c>
      <c r="F65">
        <f>(SingleBerryDW!F65/SingleBerryFW!F65)*100</f>
        <v>18.899999999999999</v>
      </c>
    </row>
    <row r="66" spans="1:6" hidden="1" x14ac:dyDescent="0.25">
      <c r="A66" t="s">
        <v>7</v>
      </c>
      <c r="B66" s="2">
        <v>44699</v>
      </c>
      <c r="C66">
        <v>2022</v>
      </c>
      <c r="D66" s="23">
        <f t="shared" si="0"/>
        <v>138</v>
      </c>
      <c r="E66" t="s">
        <v>6</v>
      </c>
      <c r="F66">
        <f>(SingleBerryDW!F66/SingleBerryFW!F66)*100</f>
        <v>17.600000000000001</v>
      </c>
    </row>
    <row r="67" spans="1:6" hidden="1" x14ac:dyDescent="0.25">
      <c r="A67" t="s">
        <v>7</v>
      </c>
      <c r="B67" s="2">
        <v>44713</v>
      </c>
      <c r="C67">
        <v>2022</v>
      </c>
      <c r="D67" s="23">
        <f t="shared" si="0"/>
        <v>152</v>
      </c>
      <c r="E67" t="s">
        <v>6</v>
      </c>
      <c r="F67">
        <f>(SingleBerryDW!F67/SingleBerryFW!F67)*100</f>
        <v>17.899999999999999</v>
      </c>
    </row>
    <row r="68" spans="1:6" hidden="1" x14ac:dyDescent="0.25">
      <c r="A68" t="s">
        <v>7</v>
      </c>
      <c r="B68" s="2">
        <v>44952</v>
      </c>
      <c r="C68">
        <v>2023</v>
      </c>
      <c r="D68" s="23">
        <f t="shared" ref="D68:D131" si="1">B68-DATE(YEAR(B68),1,0)</f>
        <v>26</v>
      </c>
      <c r="E68" t="s">
        <v>6</v>
      </c>
      <c r="F68">
        <f>(SingleBerryDW!F68/SingleBerryFW!F68)*100</f>
        <v>9.6999999999999993</v>
      </c>
    </row>
    <row r="69" spans="1:6" hidden="1" x14ac:dyDescent="0.25">
      <c r="A69" t="s">
        <v>7</v>
      </c>
      <c r="B69" s="2">
        <v>44973</v>
      </c>
      <c r="C69">
        <v>2023</v>
      </c>
      <c r="D69" s="23">
        <f t="shared" si="1"/>
        <v>47</v>
      </c>
      <c r="E69" t="s">
        <v>6</v>
      </c>
      <c r="F69">
        <f>(SingleBerryDW!F69/SingleBerryFW!F69)*100</f>
        <v>12.699999999999998</v>
      </c>
    </row>
    <row r="70" spans="1:6" hidden="1" x14ac:dyDescent="0.25">
      <c r="A70" t="s">
        <v>7</v>
      </c>
      <c r="B70" s="2">
        <v>44987</v>
      </c>
      <c r="C70">
        <v>2023</v>
      </c>
      <c r="D70" s="23">
        <f t="shared" si="1"/>
        <v>61</v>
      </c>
      <c r="E70" t="s">
        <v>6</v>
      </c>
      <c r="F70">
        <f>(SingleBerryDW!F70/SingleBerryFW!F70)*100</f>
        <v>14.399999999999999</v>
      </c>
    </row>
    <row r="71" spans="1:6" hidden="1" x14ac:dyDescent="0.25">
      <c r="A71" t="s">
        <v>7</v>
      </c>
      <c r="B71" s="2">
        <v>45001</v>
      </c>
      <c r="C71">
        <v>2023</v>
      </c>
      <c r="D71" s="23">
        <f t="shared" si="1"/>
        <v>75</v>
      </c>
      <c r="E71" t="s">
        <v>6</v>
      </c>
      <c r="F71">
        <f>(SingleBerryDW!F71/SingleBerryFW!F71)*100</f>
        <v>16.100000000000001</v>
      </c>
    </row>
    <row r="72" spans="1:6" hidden="1" x14ac:dyDescent="0.25">
      <c r="A72" t="s">
        <v>7</v>
      </c>
      <c r="B72" s="2">
        <v>45014</v>
      </c>
      <c r="C72">
        <v>2023</v>
      </c>
      <c r="D72" s="23">
        <f t="shared" si="1"/>
        <v>88</v>
      </c>
      <c r="E72" t="s">
        <v>6</v>
      </c>
      <c r="F72">
        <f>(SingleBerryDW!F72/SingleBerryFW!F72)*100</f>
        <v>17</v>
      </c>
    </row>
    <row r="73" spans="1:6" hidden="1" x14ac:dyDescent="0.25">
      <c r="A73" t="s">
        <v>7</v>
      </c>
      <c r="B73" s="2">
        <v>45029</v>
      </c>
      <c r="C73">
        <v>2023</v>
      </c>
      <c r="D73" s="23">
        <f t="shared" si="1"/>
        <v>103</v>
      </c>
      <c r="E73" t="s">
        <v>6</v>
      </c>
      <c r="F73">
        <f>(SingleBerryDW!F73/SingleBerryFW!F73)*100</f>
        <v>17.600000000000001</v>
      </c>
    </row>
    <row r="74" spans="1:6" hidden="1" x14ac:dyDescent="0.25">
      <c r="A74" t="s">
        <v>7</v>
      </c>
      <c r="B74" s="2">
        <v>45041</v>
      </c>
      <c r="C74">
        <v>2023</v>
      </c>
      <c r="D74" s="23">
        <f t="shared" si="1"/>
        <v>115</v>
      </c>
      <c r="E74" t="s">
        <v>6</v>
      </c>
      <c r="F74">
        <f>(SingleBerryDW!F74/SingleBerryFW!F74)*100</f>
        <v>18.600000000000001</v>
      </c>
    </row>
    <row r="75" spans="1:6" hidden="1" x14ac:dyDescent="0.25">
      <c r="A75" t="s">
        <v>7</v>
      </c>
      <c r="B75" s="2">
        <v>45049</v>
      </c>
      <c r="C75">
        <v>2023</v>
      </c>
      <c r="D75" s="23">
        <f t="shared" si="1"/>
        <v>123</v>
      </c>
      <c r="E75" t="s">
        <v>6</v>
      </c>
      <c r="F75">
        <f>(SingleBerryDW!F75/SingleBerryFW!F75)*100</f>
        <v>18.699999999999996</v>
      </c>
    </row>
    <row r="76" spans="1:6" hidden="1" x14ac:dyDescent="0.25">
      <c r="A76" t="s">
        <v>7</v>
      </c>
      <c r="B76" s="2">
        <v>45062</v>
      </c>
      <c r="C76">
        <v>2023</v>
      </c>
      <c r="D76" s="23">
        <f t="shared" si="1"/>
        <v>136</v>
      </c>
      <c r="E76" t="s">
        <v>6</v>
      </c>
      <c r="F76">
        <f>(SingleBerryDW!F76/SingleBerryFW!F76)*100</f>
        <v>18.2</v>
      </c>
    </row>
    <row r="77" spans="1:6" hidden="1" x14ac:dyDescent="0.25">
      <c r="A77" t="s">
        <v>7</v>
      </c>
      <c r="B77" s="2">
        <v>45076</v>
      </c>
      <c r="C77">
        <v>2023</v>
      </c>
      <c r="D77" s="23">
        <f t="shared" si="1"/>
        <v>150</v>
      </c>
      <c r="E77" t="s">
        <v>6</v>
      </c>
      <c r="F77">
        <f>(SingleBerryDW!F77/SingleBerryFW!F77)*100</f>
        <v>18.7</v>
      </c>
    </row>
    <row r="78" spans="1:6" hidden="1" x14ac:dyDescent="0.25">
      <c r="A78" t="s">
        <v>7</v>
      </c>
      <c r="B78" s="2">
        <v>45083</v>
      </c>
      <c r="C78">
        <v>2023</v>
      </c>
      <c r="D78" s="23">
        <f t="shared" si="1"/>
        <v>157</v>
      </c>
      <c r="E78" t="s">
        <v>6</v>
      </c>
      <c r="F78">
        <f>(SingleBerryDW!F78/SingleBerryFW!F78)*100</f>
        <v>18.899999999999999</v>
      </c>
    </row>
    <row r="79" spans="1:6" hidden="1" x14ac:dyDescent="0.25">
      <c r="A79" t="s">
        <v>7</v>
      </c>
      <c r="B79" s="2">
        <v>45314</v>
      </c>
      <c r="C79">
        <v>2024</v>
      </c>
      <c r="D79" s="23">
        <f t="shared" si="1"/>
        <v>23</v>
      </c>
      <c r="E79" t="s">
        <v>6</v>
      </c>
      <c r="F79">
        <f>(SingleBerryDW!F79/SingleBerryFW!F79)*100</f>
        <v>8.8000000000000025</v>
      </c>
    </row>
    <row r="80" spans="1:6" hidden="1" x14ac:dyDescent="0.25">
      <c r="A80" t="s">
        <v>7</v>
      </c>
      <c r="B80" s="2">
        <v>45337</v>
      </c>
      <c r="C80">
        <v>2024</v>
      </c>
      <c r="D80" s="23">
        <f t="shared" si="1"/>
        <v>46</v>
      </c>
      <c r="E80" t="s">
        <v>6</v>
      </c>
      <c r="F80">
        <f>(SingleBerryDW!F80/SingleBerryFW!F80)*100</f>
        <v>12.699999999999998</v>
      </c>
    </row>
    <row r="81" spans="1:6" hidden="1" x14ac:dyDescent="0.25">
      <c r="A81" t="s">
        <v>7</v>
      </c>
      <c r="B81" s="2">
        <v>45348</v>
      </c>
      <c r="C81">
        <v>2024</v>
      </c>
      <c r="D81" s="23">
        <f t="shared" si="1"/>
        <v>57</v>
      </c>
      <c r="E81" t="s">
        <v>6</v>
      </c>
      <c r="F81">
        <f>(SingleBerryDW!F81/SingleBerryFW!F81)*100</f>
        <v>13.600000000000001</v>
      </c>
    </row>
    <row r="82" spans="1:6" hidden="1" x14ac:dyDescent="0.25">
      <c r="A82" t="s">
        <v>7</v>
      </c>
      <c r="B82" s="2">
        <v>45365</v>
      </c>
      <c r="C82">
        <v>2024</v>
      </c>
      <c r="D82" s="23">
        <f t="shared" si="1"/>
        <v>74</v>
      </c>
      <c r="E82" t="s">
        <v>6</v>
      </c>
      <c r="F82">
        <f>(SingleBerryDW!F82/SingleBerryFW!F82)*100</f>
        <v>15.300000000000002</v>
      </c>
    </row>
    <row r="83" spans="1:6" hidden="1" x14ac:dyDescent="0.25">
      <c r="A83" t="s">
        <v>7</v>
      </c>
      <c r="B83" s="2">
        <v>45379</v>
      </c>
      <c r="C83">
        <v>2024</v>
      </c>
      <c r="D83" s="23">
        <f t="shared" si="1"/>
        <v>88</v>
      </c>
      <c r="E83" t="s">
        <v>6</v>
      </c>
      <c r="F83">
        <f>(SingleBerryDW!F83/SingleBerryFW!F83)*100</f>
        <v>16.600000000000001</v>
      </c>
    </row>
    <row r="84" spans="1:6" hidden="1" x14ac:dyDescent="0.25">
      <c r="A84" t="s">
        <v>7</v>
      </c>
      <c r="B84" s="2">
        <v>45393</v>
      </c>
      <c r="C84">
        <v>2024</v>
      </c>
      <c r="D84" s="23">
        <f t="shared" si="1"/>
        <v>102</v>
      </c>
      <c r="E84" t="s">
        <v>6</v>
      </c>
      <c r="F84">
        <f>(SingleBerryDW!F84/SingleBerryFW!F84)*100</f>
        <v>17</v>
      </c>
    </row>
    <row r="85" spans="1:6" hidden="1" x14ac:dyDescent="0.25">
      <c r="A85" t="s">
        <v>7</v>
      </c>
      <c r="B85" s="2">
        <v>45407</v>
      </c>
      <c r="C85">
        <v>2024</v>
      </c>
      <c r="D85" s="23">
        <f t="shared" si="1"/>
        <v>116</v>
      </c>
      <c r="E85" t="s">
        <v>6</v>
      </c>
      <c r="F85">
        <f>(SingleBerryDW!F85/SingleBerryFW!F85)*100</f>
        <v>17.399999999999999</v>
      </c>
    </row>
    <row r="86" spans="1:6" hidden="1" x14ac:dyDescent="0.25">
      <c r="A86" t="s">
        <v>7</v>
      </c>
      <c r="B86" s="2">
        <v>45414</v>
      </c>
      <c r="C86">
        <v>2024</v>
      </c>
      <c r="D86" s="23">
        <f t="shared" si="1"/>
        <v>123</v>
      </c>
      <c r="E86" t="s">
        <v>6</v>
      </c>
      <c r="F86">
        <f>(SingleBerryDW!F86/SingleBerryFW!F86)*100</f>
        <v>17.600000000000001</v>
      </c>
    </row>
    <row r="87" spans="1:6" hidden="1" x14ac:dyDescent="0.25">
      <c r="A87" t="s">
        <v>7</v>
      </c>
      <c r="B87" s="2">
        <v>45425</v>
      </c>
      <c r="C87">
        <v>2024</v>
      </c>
      <c r="D87" s="23">
        <f t="shared" si="1"/>
        <v>134</v>
      </c>
      <c r="E87" t="s">
        <v>6</v>
      </c>
      <c r="F87">
        <f>(SingleBerryDW!F87/SingleBerryFW!F87)*100</f>
        <v>18.399999999999999</v>
      </c>
    </row>
    <row r="88" spans="1:6" hidden="1" x14ac:dyDescent="0.25">
      <c r="A88" t="s">
        <v>7</v>
      </c>
      <c r="B88" s="2">
        <v>45441</v>
      </c>
      <c r="C88">
        <v>2024</v>
      </c>
      <c r="D88" s="23">
        <f t="shared" si="1"/>
        <v>150</v>
      </c>
      <c r="E88" t="s">
        <v>6</v>
      </c>
      <c r="F88">
        <f>(SingleBerryDW!F88/SingleBerryFW!F88)*100</f>
        <v>18.099999999999998</v>
      </c>
    </row>
    <row r="89" spans="1:6" hidden="1" x14ac:dyDescent="0.25">
      <c r="A89" t="s">
        <v>7</v>
      </c>
      <c r="B89" s="2">
        <v>45453</v>
      </c>
      <c r="C89">
        <v>2024</v>
      </c>
      <c r="D89" s="23">
        <f t="shared" si="1"/>
        <v>162</v>
      </c>
      <c r="E89" t="s">
        <v>6</v>
      </c>
      <c r="F89">
        <f>(SingleBerryDW!F89/SingleBerryFW!F89)*100</f>
        <v>17.899999999999995</v>
      </c>
    </row>
    <row r="90" spans="1:6" hidden="1" x14ac:dyDescent="0.25">
      <c r="A90" t="s">
        <v>7</v>
      </c>
      <c r="B90" s="2">
        <v>44595</v>
      </c>
      <c r="C90">
        <f>YEAR((B90))</f>
        <v>2022</v>
      </c>
      <c r="D90" s="23">
        <f t="shared" si="1"/>
        <v>34</v>
      </c>
      <c r="E90" t="s">
        <v>6</v>
      </c>
      <c r="F90">
        <f>(SingleBerryDW!F90/SingleBerryFW!F90)*100</f>
        <v>10</v>
      </c>
    </row>
    <row r="91" spans="1:6" hidden="1" x14ac:dyDescent="0.25">
      <c r="A91" t="s">
        <v>7</v>
      </c>
      <c r="B91" s="2">
        <v>44608</v>
      </c>
      <c r="C91">
        <f t="shared" ref="C91:C122" si="2">YEAR((B91))</f>
        <v>2022</v>
      </c>
      <c r="D91" s="23">
        <f t="shared" si="1"/>
        <v>47</v>
      </c>
      <c r="E91" t="s">
        <v>6</v>
      </c>
      <c r="F91">
        <f>(SingleBerryDW!F91/SingleBerryFW!F91)*100</f>
        <v>12.2</v>
      </c>
    </row>
    <row r="92" spans="1:6" hidden="1" x14ac:dyDescent="0.25">
      <c r="A92" t="s">
        <v>7</v>
      </c>
      <c r="B92" s="2">
        <v>44622</v>
      </c>
      <c r="C92">
        <f t="shared" si="2"/>
        <v>2022</v>
      </c>
      <c r="D92" s="23">
        <f t="shared" si="1"/>
        <v>61</v>
      </c>
      <c r="E92" t="s">
        <v>6</v>
      </c>
      <c r="F92">
        <f>(SingleBerryDW!F92/SingleBerryFW!F92)*100</f>
        <v>14.099999999999998</v>
      </c>
    </row>
    <row r="93" spans="1:6" hidden="1" x14ac:dyDescent="0.25">
      <c r="A93" t="s">
        <v>7</v>
      </c>
      <c r="B93" s="2">
        <v>44636</v>
      </c>
      <c r="C93">
        <f t="shared" si="2"/>
        <v>2022</v>
      </c>
      <c r="D93" s="23">
        <f t="shared" si="1"/>
        <v>75</v>
      </c>
      <c r="E93" t="s">
        <v>6</v>
      </c>
      <c r="F93">
        <f>(SingleBerryDW!F93/SingleBerryFW!F93)*100</f>
        <v>13.899999999999999</v>
      </c>
    </row>
    <row r="94" spans="1:6" hidden="1" x14ac:dyDescent="0.25">
      <c r="A94" t="s">
        <v>7</v>
      </c>
      <c r="B94" s="2">
        <v>44650</v>
      </c>
      <c r="C94">
        <f t="shared" si="2"/>
        <v>2022</v>
      </c>
      <c r="D94" s="23">
        <f t="shared" si="1"/>
        <v>89</v>
      </c>
      <c r="E94" t="s">
        <v>6</v>
      </c>
      <c r="F94">
        <f>(SingleBerryDW!F94/SingleBerryFW!F94)*100</f>
        <v>17.2</v>
      </c>
    </row>
    <row r="95" spans="1:6" hidden="1" x14ac:dyDescent="0.25">
      <c r="A95" t="s">
        <v>7</v>
      </c>
      <c r="B95" s="2">
        <v>44664</v>
      </c>
      <c r="C95">
        <f t="shared" si="2"/>
        <v>2022</v>
      </c>
      <c r="D95" s="23">
        <f t="shared" si="1"/>
        <v>103</v>
      </c>
      <c r="E95" t="s">
        <v>6</v>
      </c>
      <c r="F95">
        <f>(SingleBerryDW!F95/SingleBerryFW!F95)*100</f>
        <v>15.6</v>
      </c>
    </row>
    <row r="96" spans="1:6" hidden="1" x14ac:dyDescent="0.25">
      <c r="A96" t="s">
        <v>7</v>
      </c>
      <c r="B96" s="2">
        <v>44673</v>
      </c>
      <c r="C96">
        <f t="shared" si="2"/>
        <v>2022</v>
      </c>
      <c r="D96" s="23">
        <f t="shared" si="1"/>
        <v>112</v>
      </c>
      <c r="E96" t="s">
        <v>6</v>
      </c>
      <c r="F96">
        <f>(SingleBerryDW!F96/SingleBerryFW!F96)*100</f>
        <v>15.9</v>
      </c>
    </row>
    <row r="97" spans="1:6" hidden="1" x14ac:dyDescent="0.25">
      <c r="A97" t="s">
        <v>7</v>
      </c>
      <c r="B97" s="2">
        <v>44680</v>
      </c>
      <c r="C97">
        <f t="shared" si="2"/>
        <v>2022</v>
      </c>
      <c r="D97" s="23">
        <f t="shared" si="1"/>
        <v>119</v>
      </c>
      <c r="E97" t="s">
        <v>6</v>
      </c>
      <c r="F97">
        <f>(SingleBerryDW!F97/SingleBerryFW!F97)*100</f>
        <v>17.599999999999998</v>
      </c>
    </row>
    <row r="98" spans="1:6" hidden="1" x14ac:dyDescent="0.25">
      <c r="A98" t="s">
        <v>7</v>
      </c>
      <c r="B98" s="2">
        <v>44685</v>
      </c>
      <c r="C98">
        <f>YEAR((B98))</f>
        <v>2022</v>
      </c>
      <c r="D98" s="23">
        <f t="shared" si="1"/>
        <v>124</v>
      </c>
      <c r="E98" t="s">
        <v>6</v>
      </c>
      <c r="F98">
        <f>(SingleBerryDW!F98/SingleBerryFW!F98)*100</f>
        <v>18.199999999999996</v>
      </c>
    </row>
    <row r="99" spans="1:6" hidden="1" x14ac:dyDescent="0.25">
      <c r="A99" t="s">
        <v>7</v>
      </c>
      <c r="B99" s="2">
        <v>44699</v>
      </c>
      <c r="C99">
        <f t="shared" si="2"/>
        <v>2022</v>
      </c>
      <c r="D99" s="23">
        <f t="shared" si="1"/>
        <v>138</v>
      </c>
      <c r="E99" t="s">
        <v>6</v>
      </c>
      <c r="F99">
        <f>(SingleBerryDW!F99/SingleBerryFW!F99)*100</f>
        <v>17.7</v>
      </c>
    </row>
    <row r="100" spans="1:6" hidden="1" x14ac:dyDescent="0.25">
      <c r="A100" t="s">
        <v>7</v>
      </c>
      <c r="B100" s="2">
        <v>44713</v>
      </c>
      <c r="C100">
        <f t="shared" si="2"/>
        <v>2022</v>
      </c>
      <c r="D100" s="23">
        <f t="shared" si="1"/>
        <v>152</v>
      </c>
      <c r="E100" t="s">
        <v>6</v>
      </c>
      <c r="F100">
        <f>(SingleBerryDW!F100/SingleBerryFW!F100)*100</f>
        <v>18.100000000000001</v>
      </c>
    </row>
    <row r="101" spans="1:6" hidden="1" x14ac:dyDescent="0.25">
      <c r="A101" t="s">
        <v>7</v>
      </c>
      <c r="B101" s="2">
        <v>44950</v>
      </c>
      <c r="C101">
        <f t="shared" si="2"/>
        <v>2023</v>
      </c>
      <c r="D101" s="23">
        <f t="shared" si="1"/>
        <v>24</v>
      </c>
      <c r="E101" t="s">
        <v>6</v>
      </c>
      <c r="F101">
        <f>(SingleBerryDW!F101/SingleBerryFW!F101)*100</f>
        <v>9.0000000000000018</v>
      </c>
    </row>
    <row r="102" spans="1:6" hidden="1" x14ac:dyDescent="0.25">
      <c r="A102" t="s">
        <v>7</v>
      </c>
      <c r="B102" s="2">
        <v>44974</v>
      </c>
      <c r="C102">
        <f t="shared" si="2"/>
        <v>2023</v>
      </c>
      <c r="D102" s="23">
        <f t="shared" si="1"/>
        <v>48</v>
      </c>
      <c r="E102" t="s">
        <v>6</v>
      </c>
      <c r="F102">
        <f>(SingleBerryDW!F102/SingleBerryFW!F102)*100</f>
        <v>11.300000000000002</v>
      </c>
    </row>
    <row r="103" spans="1:6" hidden="1" x14ac:dyDescent="0.25">
      <c r="A103" t="s">
        <v>7</v>
      </c>
      <c r="B103" s="2">
        <v>44987</v>
      </c>
      <c r="C103">
        <f t="shared" si="2"/>
        <v>2023</v>
      </c>
      <c r="D103" s="23">
        <f t="shared" si="1"/>
        <v>61</v>
      </c>
      <c r="E103" t="s">
        <v>6</v>
      </c>
      <c r="F103">
        <f>(SingleBerryDW!F103/SingleBerryFW!F103)*100</f>
        <v>13.5</v>
      </c>
    </row>
    <row r="104" spans="1:6" hidden="1" x14ac:dyDescent="0.25">
      <c r="A104" t="s">
        <v>7</v>
      </c>
      <c r="B104" s="2">
        <v>45001</v>
      </c>
      <c r="C104">
        <f t="shared" si="2"/>
        <v>2023</v>
      </c>
      <c r="D104" s="23">
        <f t="shared" si="1"/>
        <v>75</v>
      </c>
      <c r="E104" t="s">
        <v>6</v>
      </c>
      <c r="F104">
        <f>(SingleBerryDW!F104/SingleBerryFW!F104)*100</f>
        <v>15.299999999999999</v>
      </c>
    </row>
    <row r="105" spans="1:6" hidden="1" x14ac:dyDescent="0.25">
      <c r="A105" t="s">
        <v>7</v>
      </c>
      <c r="B105" s="2">
        <v>45014</v>
      </c>
      <c r="C105">
        <f t="shared" si="2"/>
        <v>2023</v>
      </c>
      <c r="D105" s="23">
        <f t="shared" si="1"/>
        <v>88</v>
      </c>
      <c r="E105" t="s">
        <v>6</v>
      </c>
      <c r="F105">
        <f>(SingleBerryDW!F105/SingleBerryFW!F105)*100</f>
        <v>16</v>
      </c>
    </row>
    <row r="106" spans="1:6" hidden="1" x14ac:dyDescent="0.25">
      <c r="A106" t="s">
        <v>7</v>
      </c>
      <c r="B106" s="2">
        <v>45031</v>
      </c>
      <c r="C106">
        <f t="shared" si="2"/>
        <v>2023</v>
      </c>
      <c r="D106" s="23">
        <f t="shared" si="1"/>
        <v>105</v>
      </c>
      <c r="E106" t="s">
        <v>6</v>
      </c>
      <c r="F106">
        <f>(SingleBerryDW!F106/SingleBerryFW!F106)*100</f>
        <v>16.7</v>
      </c>
    </row>
    <row r="107" spans="1:6" hidden="1" x14ac:dyDescent="0.25">
      <c r="A107" t="s">
        <v>7</v>
      </c>
      <c r="B107" s="2">
        <v>45041</v>
      </c>
      <c r="C107">
        <f t="shared" si="2"/>
        <v>2023</v>
      </c>
      <c r="D107" s="23">
        <f t="shared" si="1"/>
        <v>115</v>
      </c>
      <c r="E107" t="s">
        <v>6</v>
      </c>
      <c r="F107">
        <f>(SingleBerryDW!F107/SingleBerryFW!F107)*100</f>
        <v>17.399999999999999</v>
      </c>
    </row>
    <row r="108" spans="1:6" hidden="1" x14ac:dyDescent="0.25">
      <c r="A108" t="s">
        <v>7</v>
      </c>
      <c r="B108" s="2">
        <v>45049</v>
      </c>
      <c r="C108">
        <f t="shared" si="2"/>
        <v>2023</v>
      </c>
      <c r="D108" s="23">
        <f t="shared" si="1"/>
        <v>123</v>
      </c>
      <c r="E108" t="s">
        <v>6</v>
      </c>
      <c r="F108">
        <f>(SingleBerryDW!F108/SingleBerryFW!F108)*100</f>
        <v>17.5</v>
      </c>
    </row>
    <row r="109" spans="1:6" hidden="1" x14ac:dyDescent="0.25">
      <c r="A109" t="s">
        <v>7</v>
      </c>
      <c r="B109" s="2">
        <v>45062</v>
      </c>
      <c r="C109">
        <f t="shared" si="2"/>
        <v>2023</v>
      </c>
      <c r="D109" s="23">
        <f t="shared" si="1"/>
        <v>136</v>
      </c>
      <c r="E109" t="s">
        <v>6</v>
      </c>
      <c r="F109">
        <f>(SingleBerryDW!F109/SingleBerryFW!F109)*100</f>
        <v>17.8</v>
      </c>
    </row>
    <row r="110" spans="1:6" hidden="1" x14ac:dyDescent="0.25">
      <c r="A110" t="s">
        <v>7</v>
      </c>
      <c r="B110" s="2">
        <v>45077</v>
      </c>
      <c r="C110">
        <f t="shared" si="2"/>
        <v>2023</v>
      </c>
      <c r="D110" s="23">
        <f t="shared" si="1"/>
        <v>151</v>
      </c>
      <c r="E110" t="s">
        <v>6</v>
      </c>
      <c r="F110">
        <f>(SingleBerryDW!F110/SingleBerryFW!F110)*100</f>
        <v>17.8</v>
      </c>
    </row>
    <row r="111" spans="1:6" hidden="1" x14ac:dyDescent="0.25">
      <c r="A111" t="s">
        <v>7</v>
      </c>
      <c r="B111" s="2">
        <v>45083</v>
      </c>
      <c r="C111">
        <f t="shared" si="2"/>
        <v>2023</v>
      </c>
      <c r="D111" s="23">
        <f t="shared" si="1"/>
        <v>157</v>
      </c>
      <c r="E111" t="s">
        <v>6</v>
      </c>
      <c r="F111">
        <f>(SingleBerryDW!F111/SingleBerryFW!F111)*100</f>
        <v>17.899999999999999</v>
      </c>
    </row>
    <row r="112" spans="1:6" hidden="1" x14ac:dyDescent="0.25">
      <c r="A112" t="s">
        <v>7</v>
      </c>
      <c r="B112" s="2">
        <v>45314</v>
      </c>
      <c r="C112">
        <f t="shared" si="2"/>
        <v>2024</v>
      </c>
      <c r="D112" s="23">
        <f t="shared" si="1"/>
        <v>23</v>
      </c>
      <c r="E112" t="s">
        <v>6</v>
      </c>
      <c r="F112">
        <f>(SingleBerryDW!F112/SingleBerryFW!F112)*100</f>
        <v>8.3000000000000007</v>
      </c>
    </row>
    <row r="113" spans="1:6" hidden="1" x14ac:dyDescent="0.25">
      <c r="A113" t="s">
        <v>7</v>
      </c>
      <c r="B113" s="2">
        <v>45336</v>
      </c>
      <c r="C113">
        <f t="shared" si="2"/>
        <v>2024</v>
      </c>
      <c r="D113" s="23">
        <f t="shared" si="1"/>
        <v>45</v>
      </c>
      <c r="E113" t="s">
        <v>6</v>
      </c>
      <c r="F113">
        <f>(SingleBerryDW!F113/SingleBerryFW!F113)*100</f>
        <v>11.9</v>
      </c>
    </row>
    <row r="114" spans="1:6" hidden="1" x14ac:dyDescent="0.25">
      <c r="A114" t="s">
        <v>7</v>
      </c>
      <c r="B114" s="2">
        <v>45348</v>
      </c>
      <c r="C114">
        <f t="shared" si="2"/>
        <v>2024</v>
      </c>
      <c r="D114" s="23">
        <f t="shared" si="1"/>
        <v>57</v>
      </c>
      <c r="E114" t="s">
        <v>6</v>
      </c>
      <c r="F114">
        <f>(SingleBerryDW!F114/SingleBerryFW!F114)*100</f>
        <v>13.5</v>
      </c>
    </row>
    <row r="115" spans="1:6" hidden="1" x14ac:dyDescent="0.25">
      <c r="A115" t="s">
        <v>7</v>
      </c>
      <c r="B115" s="2">
        <v>45365</v>
      </c>
      <c r="C115">
        <f t="shared" si="2"/>
        <v>2024</v>
      </c>
      <c r="D115" s="23">
        <f t="shared" si="1"/>
        <v>74</v>
      </c>
      <c r="E115" t="s">
        <v>6</v>
      </c>
      <c r="F115">
        <f>(SingleBerryDW!F115/SingleBerryFW!F115)*100</f>
        <v>15.2</v>
      </c>
    </row>
    <row r="116" spans="1:6" hidden="1" x14ac:dyDescent="0.25">
      <c r="A116" t="s">
        <v>7</v>
      </c>
      <c r="B116" s="2">
        <v>45379</v>
      </c>
      <c r="C116">
        <f t="shared" si="2"/>
        <v>2024</v>
      </c>
      <c r="D116" s="23">
        <f t="shared" si="1"/>
        <v>88</v>
      </c>
      <c r="E116" t="s">
        <v>6</v>
      </c>
      <c r="F116">
        <f>(SingleBerryDW!F116/SingleBerryFW!F116)*100</f>
        <v>16.400000000000002</v>
      </c>
    </row>
    <row r="117" spans="1:6" hidden="1" x14ac:dyDescent="0.25">
      <c r="A117" t="s">
        <v>7</v>
      </c>
      <c r="B117" s="2">
        <v>45390</v>
      </c>
      <c r="C117">
        <f t="shared" si="2"/>
        <v>2024</v>
      </c>
      <c r="D117" s="23">
        <f t="shared" si="1"/>
        <v>99</v>
      </c>
      <c r="E117" t="s">
        <v>6</v>
      </c>
      <c r="F117">
        <f>(SingleBerryDW!F117/SingleBerryFW!F117)*100</f>
        <v>16.8</v>
      </c>
    </row>
    <row r="118" spans="1:6" hidden="1" x14ac:dyDescent="0.25">
      <c r="A118" t="s">
        <v>7</v>
      </c>
      <c r="B118" s="2">
        <v>45404</v>
      </c>
      <c r="C118">
        <f t="shared" si="2"/>
        <v>2024</v>
      </c>
      <c r="D118" s="23">
        <f t="shared" si="1"/>
        <v>113</v>
      </c>
      <c r="E118" t="s">
        <v>6</v>
      </c>
      <c r="F118">
        <f>(SingleBerryDW!F118/SingleBerryFW!F118)*100</f>
        <v>17.2</v>
      </c>
    </row>
    <row r="119" spans="1:6" hidden="1" x14ac:dyDescent="0.25">
      <c r="A119" t="s">
        <v>7</v>
      </c>
      <c r="B119" s="2">
        <v>45413</v>
      </c>
      <c r="C119">
        <f t="shared" si="2"/>
        <v>2024</v>
      </c>
      <c r="D119" s="23">
        <f t="shared" si="1"/>
        <v>122</v>
      </c>
      <c r="E119" t="s">
        <v>6</v>
      </c>
      <c r="F119">
        <f>(SingleBerryDW!F119/SingleBerryFW!F119)*100</f>
        <v>17.699999999999996</v>
      </c>
    </row>
    <row r="120" spans="1:6" hidden="1" x14ac:dyDescent="0.25">
      <c r="A120" t="s">
        <v>7</v>
      </c>
      <c r="B120" s="2">
        <v>45425</v>
      </c>
      <c r="C120">
        <f t="shared" si="2"/>
        <v>2024</v>
      </c>
      <c r="D120" s="23">
        <f t="shared" si="1"/>
        <v>134</v>
      </c>
      <c r="E120" t="s">
        <v>6</v>
      </c>
      <c r="F120">
        <f>(SingleBerryDW!F120/SingleBerryFW!F120)*100</f>
        <v>18.399999999999999</v>
      </c>
    </row>
    <row r="121" spans="1:6" hidden="1" x14ac:dyDescent="0.25">
      <c r="A121" t="s">
        <v>7</v>
      </c>
      <c r="B121" s="2">
        <v>45441</v>
      </c>
      <c r="C121">
        <f t="shared" si="2"/>
        <v>2024</v>
      </c>
      <c r="D121" s="23">
        <f t="shared" si="1"/>
        <v>150</v>
      </c>
      <c r="E121" t="s">
        <v>6</v>
      </c>
      <c r="F121">
        <f>(SingleBerryDW!F121/SingleBerryFW!F121)*100</f>
        <v>17.899999999999995</v>
      </c>
    </row>
    <row r="122" spans="1:6" hidden="1" x14ac:dyDescent="0.25">
      <c r="A122" t="s">
        <v>7</v>
      </c>
      <c r="B122" s="2">
        <v>45453</v>
      </c>
      <c r="C122">
        <f t="shared" si="2"/>
        <v>2024</v>
      </c>
      <c r="D122" s="23">
        <f t="shared" si="1"/>
        <v>162</v>
      </c>
      <c r="E122" t="s">
        <v>6</v>
      </c>
      <c r="F122">
        <f>(SingleBerryDW!F122/SingleBerryFW!F122)*100</f>
        <v>18</v>
      </c>
    </row>
    <row r="123" spans="1:6" hidden="1" x14ac:dyDescent="0.25">
      <c r="A123" t="s">
        <v>7</v>
      </c>
      <c r="B123" s="2">
        <v>44595</v>
      </c>
      <c r="C123">
        <f>YEAR(B123)</f>
        <v>2022</v>
      </c>
      <c r="D123" s="23">
        <f t="shared" si="1"/>
        <v>34</v>
      </c>
      <c r="E123" t="s">
        <v>6</v>
      </c>
      <c r="F123">
        <f>(SingleBerryDW!F123/SingleBerryFW!F123)*100</f>
        <v>9.7000000000000011</v>
      </c>
    </row>
    <row r="124" spans="1:6" hidden="1" x14ac:dyDescent="0.25">
      <c r="A124" t="s">
        <v>7</v>
      </c>
      <c r="B124" s="2">
        <v>44608</v>
      </c>
      <c r="C124">
        <f t="shared" ref="C124:C187" si="3">YEAR(B124)</f>
        <v>2022</v>
      </c>
      <c r="D124" s="23">
        <f t="shared" si="1"/>
        <v>47</v>
      </c>
      <c r="E124" t="s">
        <v>6</v>
      </c>
      <c r="F124">
        <f>(SingleBerryDW!F124/SingleBerryFW!F124)*100</f>
        <v>11.4</v>
      </c>
    </row>
    <row r="125" spans="1:6" hidden="1" x14ac:dyDescent="0.25">
      <c r="A125" t="s">
        <v>7</v>
      </c>
      <c r="B125" s="2">
        <v>44622</v>
      </c>
      <c r="C125">
        <f t="shared" si="3"/>
        <v>2022</v>
      </c>
      <c r="D125" s="23">
        <f t="shared" si="1"/>
        <v>61</v>
      </c>
      <c r="E125" t="s">
        <v>6</v>
      </c>
      <c r="F125">
        <f>(SingleBerryDW!F125/SingleBerryFW!F125)*100</f>
        <v>12.8</v>
      </c>
    </row>
    <row r="126" spans="1:6" hidden="1" x14ac:dyDescent="0.25">
      <c r="A126" t="s">
        <v>7</v>
      </c>
      <c r="B126" s="2">
        <v>44636</v>
      </c>
      <c r="C126">
        <f t="shared" si="3"/>
        <v>2022</v>
      </c>
      <c r="D126" s="23">
        <f t="shared" si="1"/>
        <v>75</v>
      </c>
      <c r="E126" t="s">
        <v>6</v>
      </c>
      <c r="F126">
        <f>(SingleBerryDW!F126/SingleBerryFW!F126)*100</f>
        <v>12.099999999999998</v>
      </c>
    </row>
    <row r="127" spans="1:6" hidden="1" x14ac:dyDescent="0.25">
      <c r="A127" t="s">
        <v>7</v>
      </c>
      <c r="B127" s="2">
        <v>44650</v>
      </c>
      <c r="C127">
        <f t="shared" si="3"/>
        <v>2022</v>
      </c>
      <c r="D127" s="23">
        <f t="shared" si="1"/>
        <v>89</v>
      </c>
      <c r="E127" t="s">
        <v>6</v>
      </c>
      <c r="F127">
        <f>(SingleBerryDW!F127/SingleBerryFW!F127)*100</f>
        <v>14.6</v>
      </c>
    </row>
    <row r="128" spans="1:6" hidden="1" x14ac:dyDescent="0.25">
      <c r="A128" t="s">
        <v>7</v>
      </c>
      <c r="B128" s="2">
        <v>44664</v>
      </c>
      <c r="C128">
        <f t="shared" si="3"/>
        <v>2022</v>
      </c>
      <c r="D128" s="23">
        <f t="shared" si="1"/>
        <v>103</v>
      </c>
      <c r="E128" t="s">
        <v>6</v>
      </c>
      <c r="F128">
        <f>(SingleBerryDW!F128/SingleBerryFW!F128)*100</f>
        <v>14.400000000000002</v>
      </c>
    </row>
    <row r="129" spans="1:6" hidden="1" x14ac:dyDescent="0.25">
      <c r="A129" t="s">
        <v>7</v>
      </c>
      <c r="B129" s="2">
        <v>44672</v>
      </c>
      <c r="C129">
        <f t="shared" si="3"/>
        <v>2022</v>
      </c>
      <c r="D129" s="23">
        <f t="shared" si="1"/>
        <v>111</v>
      </c>
      <c r="E129" t="s">
        <v>6</v>
      </c>
      <c r="F129">
        <f>(SingleBerryDW!F129/SingleBerryFW!F129)*100</f>
        <v>14.799999999999999</v>
      </c>
    </row>
    <row r="130" spans="1:6" hidden="1" x14ac:dyDescent="0.25">
      <c r="A130" t="s">
        <v>7</v>
      </c>
      <c r="B130" s="2">
        <v>44680</v>
      </c>
      <c r="C130">
        <f t="shared" si="3"/>
        <v>2022</v>
      </c>
      <c r="D130" s="23">
        <f t="shared" si="1"/>
        <v>119</v>
      </c>
      <c r="E130" t="s">
        <v>6</v>
      </c>
      <c r="F130">
        <f>(SingleBerryDW!F130/SingleBerryFW!F130)*100</f>
        <v>14.7</v>
      </c>
    </row>
    <row r="131" spans="1:6" hidden="1" x14ac:dyDescent="0.25">
      <c r="A131" t="s">
        <v>7</v>
      </c>
      <c r="B131" s="2">
        <v>44685</v>
      </c>
      <c r="C131">
        <f t="shared" si="3"/>
        <v>2022</v>
      </c>
      <c r="D131" s="23">
        <f t="shared" si="1"/>
        <v>124</v>
      </c>
      <c r="E131" t="s">
        <v>6</v>
      </c>
      <c r="F131">
        <f>(SingleBerryDW!F131/SingleBerryFW!F131)*100</f>
        <v>14.6</v>
      </c>
    </row>
    <row r="132" spans="1:6" hidden="1" x14ac:dyDescent="0.25">
      <c r="A132" t="s">
        <v>7</v>
      </c>
      <c r="B132" s="2">
        <v>44699</v>
      </c>
      <c r="C132">
        <f t="shared" si="3"/>
        <v>2022</v>
      </c>
      <c r="D132" s="23">
        <f t="shared" ref="D132:D195" si="4">B132-DATE(YEAR(B132),1,0)</f>
        <v>138</v>
      </c>
      <c r="E132" t="s">
        <v>6</v>
      </c>
      <c r="F132">
        <f>(SingleBerryDW!F132/SingleBerryFW!F132)*100</f>
        <v>15.8</v>
      </c>
    </row>
    <row r="133" spans="1:6" hidden="1" x14ac:dyDescent="0.25">
      <c r="A133" t="s">
        <v>7</v>
      </c>
      <c r="B133" s="2">
        <v>44713</v>
      </c>
      <c r="C133">
        <f t="shared" si="3"/>
        <v>2022</v>
      </c>
      <c r="D133" s="23">
        <f t="shared" si="4"/>
        <v>152</v>
      </c>
      <c r="E133" t="s">
        <v>6</v>
      </c>
      <c r="F133">
        <f>(SingleBerryDW!F133/SingleBerryFW!F133)*100</f>
        <v>16</v>
      </c>
    </row>
    <row r="134" spans="1:6" hidden="1" x14ac:dyDescent="0.25">
      <c r="A134" t="s">
        <v>7</v>
      </c>
      <c r="B134" s="2">
        <v>44952</v>
      </c>
      <c r="C134">
        <f t="shared" si="3"/>
        <v>2023</v>
      </c>
      <c r="D134" s="23">
        <f t="shared" si="4"/>
        <v>26</v>
      </c>
      <c r="E134" t="s">
        <v>6</v>
      </c>
      <c r="F134">
        <f>(SingleBerryDW!F134/SingleBerryFW!F134)*100</f>
        <v>8.2999999999999989</v>
      </c>
    </row>
    <row r="135" spans="1:6" hidden="1" x14ac:dyDescent="0.25">
      <c r="A135" t="s">
        <v>7</v>
      </c>
      <c r="B135" s="2">
        <v>44974</v>
      </c>
      <c r="C135">
        <f t="shared" si="3"/>
        <v>2023</v>
      </c>
      <c r="D135" s="23">
        <f t="shared" si="4"/>
        <v>48</v>
      </c>
      <c r="E135" t="s">
        <v>6</v>
      </c>
      <c r="F135">
        <f>(SingleBerryDW!F135/SingleBerryFW!F135)*100</f>
        <v>10.5</v>
      </c>
    </row>
    <row r="136" spans="1:6" hidden="1" x14ac:dyDescent="0.25">
      <c r="A136" t="s">
        <v>7</v>
      </c>
      <c r="B136" s="2">
        <v>44984</v>
      </c>
      <c r="C136">
        <f t="shared" si="3"/>
        <v>2023</v>
      </c>
      <c r="D136" s="23">
        <f t="shared" si="4"/>
        <v>58</v>
      </c>
      <c r="E136" t="s">
        <v>6</v>
      </c>
      <c r="F136">
        <f>(SingleBerryDW!F136/SingleBerryFW!F136)*100</f>
        <v>12.4</v>
      </c>
    </row>
    <row r="137" spans="1:6" hidden="1" x14ac:dyDescent="0.25">
      <c r="A137" t="s">
        <v>7</v>
      </c>
      <c r="B137" s="2">
        <v>45000</v>
      </c>
      <c r="C137">
        <f t="shared" si="3"/>
        <v>2023</v>
      </c>
      <c r="D137" s="23">
        <f t="shared" si="4"/>
        <v>74</v>
      </c>
      <c r="E137" t="s">
        <v>6</v>
      </c>
      <c r="F137">
        <f>(SingleBerryDW!F137/SingleBerryFW!F137)*100</f>
        <v>14.299999999999999</v>
      </c>
    </row>
    <row r="138" spans="1:6" hidden="1" x14ac:dyDescent="0.25">
      <c r="A138" t="s">
        <v>7</v>
      </c>
      <c r="B138" s="2">
        <v>45015</v>
      </c>
      <c r="C138">
        <f t="shared" si="3"/>
        <v>2023</v>
      </c>
      <c r="D138" s="23">
        <f t="shared" si="4"/>
        <v>89</v>
      </c>
      <c r="E138" t="s">
        <v>6</v>
      </c>
      <c r="F138">
        <f>(SingleBerryDW!F138/SingleBerryFW!F138)*100</f>
        <v>15.000000000000002</v>
      </c>
    </row>
    <row r="139" spans="1:6" hidden="1" x14ac:dyDescent="0.25">
      <c r="A139" t="s">
        <v>7</v>
      </c>
      <c r="B139" s="2">
        <v>45029</v>
      </c>
      <c r="C139">
        <f t="shared" si="3"/>
        <v>2023</v>
      </c>
      <c r="D139" s="23">
        <f t="shared" si="4"/>
        <v>103</v>
      </c>
      <c r="E139" t="s">
        <v>6</v>
      </c>
      <c r="F139">
        <f>(SingleBerryDW!F139/SingleBerryFW!F139)*100</f>
        <v>15.5</v>
      </c>
    </row>
    <row r="140" spans="1:6" hidden="1" x14ac:dyDescent="0.25">
      <c r="A140" t="s">
        <v>7</v>
      </c>
      <c r="B140" s="2">
        <v>45041</v>
      </c>
      <c r="C140">
        <f t="shared" si="3"/>
        <v>2023</v>
      </c>
      <c r="D140" s="23">
        <f t="shared" si="4"/>
        <v>115</v>
      </c>
      <c r="E140" t="s">
        <v>6</v>
      </c>
      <c r="F140">
        <f>(SingleBerryDW!F140/SingleBerryFW!F140)*100</f>
        <v>16</v>
      </c>
    </row>
    <row r="141" spans="1:6" hidden="1" x14ac:dyDescent="0.25">
      <c r="A141" t="s">
        <v>7</v>
      </c>
      <c r="B141" s="2">
        <v>45049</v>
      </c>
      <c r="C141">
        <f t="shared" si="3"/>
        <v>2023</v>
      </c>
      <c r="D141" s="23">
        <f t="shared" si="4"/>
        <v>123</v>
      </c>
      <c r="E141" t="s">
        <v>6</v>
      </c>
      <c r="F141">
        <f>(SingleBerryDW!F141/SingleBerryFW!F141)*100</f>
        <v>15.6</v>
      </c>
    </row>
    <row r="142" spans="1:6" hidden="1" x14ac:dyDescent="0.25">
      <c r="A142" t="s">
        <v>7</v>
      </c>
      <c r="B142" s="2">
        <v>45062</v>
      </c>
      <c r="C142">
        <f t="shared" si="3"/>
        <v>2023</v>
      </c>
      <c r="D142" s="23">
        <f t="shared" si="4"/>
        <v>136</v>
      </c>
      <c r="E142" t="s">
        <v>6</v>
      </c>
      <c r="F142">
        <f>(SingleBerryDW!F142/SingleBerryFW!F142)*100</f>
        <v>15.4</v>
      </c>
    </row>
    <row r="143" spans="1:6" hidden="1" x14ac:dyDescent="0.25">
      <c r="A143" t="s">
        <v>7</v>
      </c>
      <c r="B143" s="2">
        <v>45076</v>
      </c>
      <c r="C143">
        <f t="shared" si="3"/>
        <v>2023</v>
      </c>
      <c r="D143" s="23">
        <f t="shared" si="4"/>
        <v>150</v>
      </c>
      <c r="E143" t="s">
        <v>6</v>
      </c>
      <c r="F143">
        <f>(SingleBerryDW!F143/SingleBerryFW!F143)*100</f>
        <v>16</v>
      </c>
    </row>
    <row r="144" spans="1:6" hidden="1" x14ac:dyDescent="0.25">
      <c r="A144" t="s">
        <v>7</v>
      </c>
      <c r="B144" s="2">
        <v>45083</v>
      </c>
      <c r="C144">
        <f t="shared" si="3"/>
        <v>2023</v>
      </c>
      <c r="D144" s="23">
        <f t="shared" si="4"/>
        <v>157</v>
      </c>
      <c r="E144" t="s">
        <v>6</v>
      </c>
      <c r="F144">
        <f>(SingleBerryDW!F144/SingleBerryFW!F144)*100</f>
        <v>17</v>
      </c>
    </row>
    <row r="145" spans="1:6" hidden="1" x14ac:dyDescent="0.25">
      <c r="A145" t="s">
        <v>7</v>
      </c>
      <c r="B145" s="2">
        <v>45316</v>
      </c>
      <c r="C145">
        <f t="shared" si="3"/>
        <v>2024</v>
      </c>
      <c r="D145" s="23">
        <f t="shared" si="4"/>
        <v>25</v>
      </c>
      <c r="E145" t="s">
        <v>6</v>
      </c>
      <c r="F145">
        <f>(SingleBerryDW!F145/SingleBerryFW!F145)*100</f>
        <v>8.3000000000000025</v>
      </c>
    </row>
    <row r="146" spans="1:6" hidden="1" x14ac:dyDescent="0.25">
      <c r="A146" t="s">
        <v>7</v>
      </c>
      <c r="B146" s="2">
        <v>45337</v>
      </c>
      <c r="C146">
        <f t="shared" si="3"/>
        <v>2024</v>
      </c>
      <c r="D146" s="23">
        <f t="shared" si="4"/>
        <v>46</v>
      </c>
      <c r="E146" t="s">
        <v>6</v>
      </c>
      <c r="F146">
        <f>(SingleBerryDW!F146/SingleBerryFW!F146)*100</f>
        <v>11.700000000000001</v>
      </c>
    </row>
    <row r="147" spans="1:6" hidden="1" x14ac:dyDescent="0.25">
      <c r="A147" t="s">
        <v>7</v>
      </c>
      <c r="B147" s="2">
        <v>45350</v>
      </c>
      <c r="C147">
        <f t="shared" si="3"/>
        <v>2024</v>
      </c>
      <c r="D147" s="23">
        <f t="shared" si="4"/>
        <v>59</v>
      </c>
      <c r="E147" t="s">
        <v>6</v>
      </c>
      <c r="F147">
        <f>(SingleBerryDW!F147/SingleBerryFW!F147)*100</f>
        <v>13.600000000000001</v>
      </c>
    </row>
    <row r="148" spans="1:6" hidden="1" x14ac:dyDescent="0.25">
      <c r="A148" t="s">
        <v>7</v>
      </c>
      <c r="B148" s="2">
        <v>45364</v>
      </c>
      <c r="C148">
        <f t="shared" si="3"/>
        <v>2024</v>
      </c>
      <c r="D148" s="23">
        <f t="shared" si="4"/>
        <v>73</v>
      </c>
      <c r="E148" t="s">
        <v>6</v>
      </c>
      <c r="F148">
        <f>(SingleBerryDW!F148/SingleBerryFW!F148)*100</f>
        <v>15.000000000000002</v>
      </c>
    </row>
    <row r="149" spans="1:6" hidden="1" x14ac:dyDescent="0.25">
      <c r="A149" t="s">
        <v>7</v>
      </c>
      <c r="B149" s="2">
        <v>45378</v>
      </c>
      <c r="C149">
        <f t="shared" si="3"/>
        <v>2024</v>
      </c>
      <c r="D149" s="23">
        <f t="shared" si="4"/>
        <v>87</v>
      </c>
      <c r="E149" t="s">
        <v>6</v>
      </c>
      <c r="F149">
        <f>(SingleBerryDW!F149/SingleBerryFW!F149)*100</f>
        <v>15.9</v>
      </c>
    </row>
    <row r="150" spans="1:6" hidden="1" x14ac:dyDescent="0.25">
      <c r="A150" t="s">
        <v>7</v>
      </c>
      <c r="B150" s="2">
        <v>45393</v>
      </c>
      <c r="C150">
        <f t="shared" si="3"/>
        <v>2024</v>
      </c>
      <c r="D150" s="23">
        <f t="shared" si="4"/>
        <v>102</v>
      </c>
      <c r="E150" t="s">
        <v>6</v>
      </c>
      <c r="F150">
        <f>(SingleBerryDW!F150/SingleBerryFW!F150)*100</f>
        <v>16.3</v>
      </c>
    </row>
    <row r="151" spans="1:6" hidden="1" x14ac:dyDescent="0.25">
      <c r="A151" t="s">
        <v>7</v>
      </c>
      <c r="B151" s="2">
        <v>45404</v>
      </c>
      <c r="C151">
        <f t="shared" si="3"/>
        <v>2024</v>
      </c>
      <c r="D151" s="23">
        <f t="shared" si="4"/>
        <v>113</v>
      </c>
      <c r="E151" t="s">
        <v>6</v>
      </c>
      <c r="F151">
        <f>(SingleBerryDW!F151/SingleBerryFW!F151)*100</f>
        <v>16.2</v>
      </c>
    </row>
    <row r="152" spans="1:6" hidden="1" x14ac:dyDescent="0.25">
      <c r="A152" t="s">
        <v>7</v>
      </c>
      <c r="B152" s="2">
        <v>45414</v>
      </c>
      <c r="C152">
        <f t="shared" si="3"/>
        <v>2024</v>
      </c>
      <c r="D152" s="23">
        <f t="shared" si="4"/>
        <v>123</v>
      </c>
      <c r="E152" t="s">
        <v>6</v>
      </c>
      <c r="F152">
        <f>(SingleBerryDW!F152/SingleBerryFW!F152)*100</f>
        <v>17.099999999999998</v>
      </c>
    </row>
    <row r="153" spans="1:6" hidden="1" x14ac:dyDescent="0.25">
      <c r="A153" t="s">
        <v>7</v>
      </c>
      <c r="B153" s="2">
        <v>45425</v>
      </c>
      <c r="C153">
        <f t="shared" si="3"/>
        <v>2024</v>
      </c>
      <c r="D153" s="23">
        <f t="shared" si="4"/>
        <v>134</v>
      </c>
      <c r="E153" t="s">
        <v>6</v>
      </c>
      <c r="F153">
        <f>(SingleBerryDW!F153/SingleBerryFW!F153)*100</f>
        <v>17.3</v>
      </c>
    </row>
    <row r="154" spans="1:6" hidden="1" x14ac:dyDescent="0.25">
      <c r="A154" t="s">
        <v>7</v>
      </c>
      <c r="B154" s="2">
        <v>45441</v>
      </c>
      <c r="C154">
        <f t="shared" si="3"/>
        <v>2024</v>
      </c>
      <c r="D154" s="23">
        <f t="shared" si="4"/>
        <v>150</v>
      </c>
      <c r="E154" t="s">
        <v>6</v>
      </c>
      <c r="F154">
        <f>(SingleBerryDW!F154/SingleBerryFW!F154)*100</f>
        <v>17.7</v>
      </c>
    </row>
    <row r="155" spans="1:6" hidden="1" x14ac:dyDescent="0.25">
      <c r="A155" t="s">
        <v>7</v>
      </c>
      <c r="B155" s="2">
        <v>45453</v>
      </c>
      <c r="C155">
        <f t="shared" si="3"/>
        <v>2024</v>
      </c>
      <c r="D155" s="23">
        <f t="shared" si="4"/>
        <v>162</v>
      </c>
      <c r="E155" t="s">
        <v>6</v>
      </c>
      <c r="F155">
        <f>(SingleBerryDW!F155/SingleBerryFW!F155)*100</f>
        <v>17.8</v>
      </c>
    </row>
    <row r="156" spans="1:6" hidden="1" x14ac:dyDescent="0.25">
      <c r="A156" t="s">
        <v>7</v>
      </c>
      <c r="B156" s="2">
        <v>45316</v>
      </c>
      <c r="C156">
        <f t="shared" si="3"/>
        <v>2024</v>
      </c>
      <c r="D156" s="23">
        <f t="shared" si="4"/>
        <v>25</v>
      </c>
      <c r="E156" t="s">
        <v>6</v>
      </c>
      <c r="F156">
        <f>(SingleBerryDW!F156/SingleBerryFW!F156)*100</f>
        <v>8.6999999999999975</v>
      </c>
    </row>
    <row r="157" spans="1:6" hidden="1" x14ac:dyDescent="0.25">
      <c r="A157" t="s">
        <v>7</v>
      </c>
      <c r="B157" s="2">
        <v>45337</v>
      </c>
      <c r="C157">
        <f t="shared" si="3"/>
        <v>2024</v>
      </c>
      <c r="D157" s="23">
        <f t="shared" si="4"/>
        <v>46</v>
      </c>
      <c r="E157" t="s">
        <v>6</v>
      </c>
      <c r="F157">
        <f>(SingleBerryDW!F157/SingleBerryFW!F157)*100</f>
        <v>12.1</v>
      </c>
    </row>
    <row r="158" spans="1:6" hidden="1" x14ac:dyDescent="0.25">
      <c r="A158" t="s">
        <v>7</v>
      </c>
      <c r="B158" s="2">
        <v>45350</v>
      </c>
      <c r="C158">
        <f t="shared" si="3"/>
        <v>2024</v>
      </c>
      <c r="D158" s="23">
        <f t="shared" si="4"/>
        <v>59</v>
      </c>
      <c r="E158" t="s">
        <v>6</v>
      </c>
      <c r="F158">
        <f>(SingleBerryDW!F158/SingleBerryFW!F158)*100</f>
        <v>13.5</v>
      </c>
    </row>
    <row r="159" spans="1:6" hidden="1" x14ac:dyDescent="0.25">
      <c r="A159" t="s">
        <v>7</v>
      </c>
      <c r="B159" s="2">
        <v>45364</v>
      </c>
      <c r="C159">
        <f t="shared" si="3"/>
        <v>2024</v>
      </c>
      <c r="D159" s="23">
        <f t="shared" si="4"/>
        <v>73</v>
      </c>
      <c r="E159" t="s">
        <v>6</v>
      </c>
      <c r="F159">
        <f>(SingleBerryDW!F159/SingleBerryFW!F159)*100</f>
        <v>14.7</v>
      </c>
    </row>
    <row r="160" spans="1:6" hidden="1" x14ac:dyDescent="0.25">
      <c r="A160" t="s">
        <v>7</v>
      </c>
      <c r="B160" s="2">
        <v>45378</v>
      </c>
      <c r="C160">
        <f t="shared" si="3"/>
        <v>2024</v>
      </c>
      <c r="D160" s="23">
        <f t="shared" si="4"/>
        <v>87</v>
      </c>
      <c r="E160" t="s">
        <v>6</v>
      </c>
      <c r="F160">
        <f>(SingleBerryDW!F160/SingleBerryFW!F160)*100</f>
        <v>15.7</v>
      </c>
    </row>
    <row r="161" spans="1:6" hidden="1" x14ac:dyDescent="0.25">
      <c r="A161" t="s">
        <v>7</v>
      </c>
      <c r="B161" s="2">
        <v>45390</v>
      </c>
      <c r="C161">
        <f t="shared" si="3"/>
        <v>2024</v>
      </c>
      <c r="D161" s="23">
        <f t="shared" si="4"/>
        <v>99</v>
      </c>
      <c r="E161" t="s">
        <v>6</v>
      </c>
      <c r="F161">
        <f>(SingleBerryDW!F161/SingleBerryFW!F161)*100</f>
        <v>16.499999999999996</v>
      </c>
    </row>
    <row r="162" spans="1:6" hidden="1" x14ac:dyDescent="0.25">
      <c r="A162" t="s">
        <v>7</v>
      </c>
      <c r="B162" s="2">
        <v>45407</v>
      </c>
      <c r="C162">
        <f t="shared" si="3"/>
        <v>2024</v>
      </c>
      <c r="D162" s="23">
        <f t="shared" si="4"/>
        <v>116</v>
      </c>
      <c r="E162" t="s">
        <v>6</v>
      </c>
      <c r="F162">
        <f>(SingleBerryDW!F162/SingleBerryFW!F162)*100</f>
        <v>16.5</v>
      </c>
    </row>
    <row r="163" spans="1:6" hidden="1" x14ac:dyDescent="0.25">
      <c r="A163" t="s">
        <v>7</v>
      </c>
      <c r="B163" s="2">
        <v>45413</v>
      </c>
      <c r="C163">
        <f t="shared" si="3"/>
        <v>2024</v>
      </c>
      <c r="D163" s="23">
        <f t="shared" si="4"/>
        <v>122</v>
      </c>
      <c r="E163" t="s">
        <v>6</v>
      </c>
      <c r="F163">
        <f>(SingleBerryDW!F163/SingleBerryFW!F163)*100</f>
        <v>16.8</v>
      </c>
    </row>
    <row r="164" spans="1:6" hidden="1" x14ac:dyDescent="0.25">
      <c r="A164" t="s">
        <v>7</v>
      </c>
      <c r="B164" s="2">
        <v>45425</v>
      </c>
      <c r="C164">
        <f t="shared" si="3"/>
        <v>2024</v>
      </c>
      <c r="D164" s="23">
        <f t="shared" si="4"/>
        <v>134</v>
      </c>
      <c r="E164" t="s">
        <v>6</v>
      </c>
      <c r="F164">
        <f>(SingleBerryDW!F164/SingleBerryFW!F164)*100</f>
        <v>17.8</v>
      </c>
    </row>
    <row r="165" spans="1:6" hidden="1" x14ac:dyDescent="0.25">
      <c r="A165" t="s">
        <v>7</v>
      </c>
      <c r="B165" s="2">
        <v>45439</v>
      </c>
      <c r="C165">
        <f t="shared" si="3"/>
        <v>2024</v>
      </c>
      <c r="D165" s="23">
        <f t="shared" si="4"/>
        <v>148</v>
      </c>
      <c r="E165" t="s">
        <v>6</v>
      </c>
      <c r="F165">
        <f>(SingleBerryDW!F165/SingleBerryFW!F165)*100</f>
        <v>15</v>
      </c>
    </row>
    <row r="166" spans="1:6" hidden="1" x14ac:dyDescent="0.25">
      <c r="A166" t="s">
        <v>7</v>
      </c>
      <c r="B166" s="2">
        <v>45454</v>
      </c>
      <c r="C166">
        <f t="shared" si="3"/>
        <v>2024</v>
      </c>
      <c r="D166" s="23">
        <f t="shared" si="4"/>
        <v>163</v>
      </c>
      <c r="E166" t="s">
        <v>6</v>
      </c>
      <c r="F166">
        <f>(SingleBerryDW!F166/SingleBerryFW!F166)*100</f>
        <v>17.5</v>
      </c>
    </row>
    <row r="167" spans="1:6" hidden="1" x14ac:dyDescent="0.25">
      <c r="A167" t="s">
        <v>7</v>
      </c>
      <c r="B167" s="2">
        <v>42387</v>
      </c>
      <c r="C167">
        <f t="shared" si="3"/>
        <v>2016</v>
      </c>
      <c r="D167" s="23">
        <f t="shared" si="4"/>
        <v>18</v>
      </c>
      <c r="E167" t="s">
        <v>6</v>
      </c>
      <c r="F167">
        <f>(SingleBerryDW!F167/SingleBerryFW!F167)*100</f>
        <v>7.3999999999999995</v>
      </c>
    </row>
    <row r="168" spans="1:6" hidden="1" x14ac:dyDescent="0.25">
      <c r="A168" t="s">
        <v>7</v>
      </c>
      <c r="B168" s="2">
        <v>42387</v>
      </c>
      <c r="C168">
        <f t="shared" si="3"/>
        <v>2016</v>
      </c>
      <c r="D168" s="23">
        <f t="shared" si="4"/>
        <v>18</v>
      </c>
      <c r="E168" t="s">
        <v>6</v>
      </c>
      <c r="F168">
        <f>(SingleBerryDW!F168/SingleBerryFW!F168)*100</f>
        <v>6.8999999999999995</v>
      </c>
    </row>
    <row r="169" spans="1:6" hidden="1" x14ac:dyDescent="0.25">
      <c r="A169" t="s">
        <v>7</v>
      </c>
      <c r="B169" s="2">
        <v>42423</v>
      </c>
      <c r="C169">
        <f t="shared" si="3"/>
        <v>2016</v>
      </c>
      <c r="D169" s="23">
        <f t="shared" si="4"/>
        <v>54</v>
      </c>
      <c r="E169" t="s">
        <v>6</v>
      </c>
      <c r="F169">
        <f>(SingleBerryDW!F169/SingleBerryFW!F169)*100</f>
        <v>11.8</v>
      </c>
    </row>
    <row r="170" spans="1:6" hidden="1" x14ac:dyDescent="0.25">
      <c r="A170" t="s">
        <v>7</v>
      </c>
      <c r="B170" s="2">
        <v>42423</v>
      </c>
      <c r="C170">
        <f t="shared" si="3"/>
        <v>2016</v>
      </c>
      <c r="D170" s="23">
        <f t="shared" si="4"/>
        <v>54</v>
      </c>
      <c r="E170" t="s">
        <v>6</v>
      </c>
      <c r="F170">
        <f>(SingleBerryDW!F170/SingleBerryFW!F170)*100</f>
        <v>11.899999999999999</v>
      </c>
    </row>
    <row r="171" spans="1:6" hidden="1" x14ac:dyDescent="0.25">
      <c r="A171" t="s">
        <v>7</v>
      </c>
      <c r="B171" s="2">
        <v>42437</v>
      </c>
      <c r="C171">
        <f t="shared" si="3"/>
        <v>2016</v>
      </c>
      <c r="D171" s="23">
        <f t="shared" si="4"/>
        <v>68</v>
      </c>
      <c r="E171" t="s">
        <v>6</v>
      </c>
      <c r="F171">
        <f>(SingleBerryDW!F171/SingleBerryFW!F171)*100</f>
        <v>13.399999999999999</v>
      </c>
    </row>
    <row r="172" spans="1:6" hidden="1" x14ac:dyDescent="0.25">
      <c r="A172" t="s">
        <v>7</v>
      </c>
      <c r="B172" s="2">
        <v>42437</v>
      </c>
      <c r="C172">
        <f t="shared" si="3"/>
        <v>2016</v>
      </c>
      <c r="D172" s="23">
        <f t="shared" si="4"/>
        <v>68</v>
      </c>
      <c r="E172" t="s">
        <v>6</v>
      </c>
      <c r="F172">
        <f>(SingleBerryDW!F172/SingleBerryFW!F172)*100</f>
        <v>13.600000000000001</v>
      </c>
    </row>
    <row r="173" spans="1:6" hidden="1" x14ac:dyDescent="0.25">
      <c r="A173" t="s">
        <v>7</v>
      </c>
      <c r="B173" s="2">
        <v>42451</v>
      </c>
      <c r="C173">
        <f t="shared" si="3"/>
        <v>2016</v>
      </c>
      <c r="D173" s="23">
        <f t="shared" si="4"/>
        <v>82</v>
      </c>
      <c r="E173" t="s">
        <v>6</v>
      </c>
      <c r="F173">
        <f>(SingleBerryDW!F173/SingleBerryFW!F173)*100</f>
        <v>14.299999999999999</v>
      </c>
    </row>
    <row r="174" spans="1:6" hidden="1" x14ac:dyDescent="0.25">
      <c r="A174" t="s">
        <v>7</v>
      </c>
      <c r="B174" s="2">
        <v>42451</v>
      </c>
      <c r="C174">
        <f t="shared" si="3"/>
        <v>2016</v>
      </c>
      <c r="D174" s="23">
        <f t="shared" si="4"/>
        <v>82</v>
      </c>
      <c r="E174" t="s">
        <v>6</v>
      </c>
      <c r="F174">
        <f>(SingleBerryDW!F174/SingleBerryFW!F174)*100</f>
        <v>14.899999999999999</v>
      </c>
    </row>
    <row r="175" spans="1:6" hidden="1" x14ac:dyDescent="0.25">
      <c r="A175" t="s">
        <v>7</v>
      </c>
      <c r="B175" s="2">
        <v>42466</v>
      </c>
      <c r="C175">
        <f t="shared" si="3"/>
        <v>2016</v>
      </c>
      <c r="D175" s="23">
        <f t="shared" si="4"/>
        <v>97</v>
      </c>
      <c r="E175" t="s">
        <v>6</v>
      </c>
      <c r="F175">
        <f>(SingleBerryDW!F175/SingleBerryFW!F175)*100</f>
        <v>14.500000000000002</v>
      </c>
    </row>
    <row r="176" spans="1:6" hidden="1" x14ac:dyDescent="0.25">
      <c r="A176" t="s">
        <v>7</v>
      </c>
      <c r="B176" s="2">
        <v>42467</v>
      </c>
      <c r="C176">
        <f t="shared" si="3"/>
        <v>2016</v>
      </c>
      <c r="D176" s="23">
        <f t="shared" si="4"/>
        <v>98</v>
      </c>
      <c r="E176" t="s">
        <v>6</v>
      </c>
      <c r="F176">
        <f>(SingleBerryDW!F176/SingleBerryFW!F176)*100</f>
        <v>15.299999999999999</v>
      </c>
    </row>
    <row r="177" spans="1:6" hidden="1" x14ac:dyDescent="0.25">
      <c r="A177" t="s">
        <v>7</v>
      </c>
      <c r="B177" s="2">
        <v>42474</v>
      </c>
      <c r="C177">
        <f t="shared" si="3"/>
        <v>2016</v>
      </c>
      <c r="D177" s="23">
        <f t="shared" si="4"/>
        <v>105</v>
      </c>
      <c r="E177" t="s">
        <v>6</v>
      </c>
      <c r="F177">
        <f>(SingleBerryDW!F177/SingleBerryFW!F177)*100</f>
        <v>15.300000000000002</v>
      </c>
    </row>
    <row r="178" spans="1:6" hidden="1" x14ac:dyDescent="0.25">
      <c r="A178" t="s">
        <v>7</v>
      </c>
      <c r="B178" s="2">
        <v>42475</v>
      </c>
      <c r="C178">
        <f t="shared" si="3"/>
        <v>2016</v>
      </c>
      <c r="D178" s="23">
        <f t="shared" si="4"/>
        <v>106</v>
      </c>
      <c r="E178" t="s">
        <v>6</v>
      </c>
      <c r="F178">
        <f>(SingleBerryDW!F178/SingleBerryFW!F178)*100</f>
        <v>15.2</v>
      </c>
    </row>
    <row r="179" spans="1:6" hidden="1" x14ac:dyDescent="0.25">
      <c r="A179" t="s">
        <v>7</v>
      </c>
      <c r="B179" s="2">
        <v>42482</v>
      </c>
      <c r="C179">
        <f t="shared" si="3"/>
        <v>2016</v>
      </c>
      <c r="D179" s="23">
        <f t="shared" si="4"/>
        <v>113</v>
      </c>
      <c r="E179" t="s">
        <v>6</v>
      </c>
      <c r="F179">
        <f>(SingleBerryDW!F179/SingleBerryFW!F179)*100</f>
        <v>15</v>
      </c>
    </row>
    <row r="180" spans="1:6" hidden="1" x14ac:dyDescent="0.25">
      <c r="A180" t="s">
        <v>7</v>
      </c>
      <c r="B180" s="2">
        <v>42482</v>
      </c>
      <c r="C180">
        <f t="shared" si="3"/>
        <v>2016</v>
      </c>
      <c r="D180" s="23">
        <f t="shared" si="4"/>
        <v>113</v>
      </c>
      <c r="E180" t="s">
        <v>6</v>
      </c>
      <c r="F180">
        <f>(SingleBerryDW!F180/SingleBerryFW!F180)*100</f>
        <v>15.599999999999998</v>
      </c>
    </row>
    <row r="181" spans="1:6" hidden="1" x14ac:dyDescent="0.25">
      <c r="A181" t="s">
        <v>7</v>
      </c>
      <c r="B181" s="2">
        <v>42486</v>
      </c>
      <c r="C181">
        <f t="shared" si="3"/>
        <v>2016</v>
      </c>
      <c r="D181" s="23">
        <f t="shared" si="4"/>
        <v>117</v>
      </c>
      <c r="E181" t="s">
        <v>6</v>
      </c>
      <c r="F181">
        <f>(SingleBerryDW!F181/SingleBerryFW!F181)*100</f>
        <v>15.5</v>
      </c>
    </row>
    <row r="182" spans="1:6" hidden="1" x14ac:dyDescent="0.25">
      <c r="A182" t="s">
        <v>7</v>
      </c>
      <c r="B182" s="2">
        <v>42486</v>
      </c>
      <c r="C182">
        <f t="shared" si="3"/>
        <v>2016</v>
      </c>
      <c r="D182" s="23">
        <f t="shared" si="4"/>
        <v>117</v>
      </c>
      <c r="E182" t="s">
        <v>6</v>
      </c>
      <c r="F182">
        <f>(SingleBerryDW!F182/SingleBerryFW!F182)*100</f>
        <v>15.6</v>
      </c>
    </row>
    <row r="183" spans="1:6" hidden="1" x14ac:dyDescent="0.25">
      <c r="A183" t="s">
        <v>7</v>
      </c>
      <c r="B183" s="2">
        <v>42493</v>
      </c>
      <c r="C183">
        <f t="shared" si="3"/>
        <v>2016</v>
      </c>
      <c r="D183" s="23">
        <f t="shared" si="4"/>
        <v>124</v>
      </c>
      <c r="E183" t="s">
        <v>6</v>
      </c>
      <c r="F183">
        <f>(SingleBerryDW!F183/SingleBerryFW!F183)*100</f>
        <v>15.7</v>
      </c>
    </row>
    <row r="184" spans="1:6" hidden="1" x14ac:dyDescent="0.25">
      <c r="A184" t="s">
        <v>7</v>
      </c>
      <c r="B184" s="2">
        <v>42493</v>
      </c>
      <c r="C184">
        <f t="shared" si="3"/>
        <v>2016</v>
      </c>
      <c r="D184" s="23">
        <f t="shared" si="4"/>
        <v>124</v>
      </c>
      <c r="E184" t="s">
        <v>6</v>
      </c>
      <c r="F184">
        <f>(SingleBerryDW!F184/SingleBerryFW!F184)*100</f>
        <v>16.5</v>
      </c>
    </row>
    <row r="185" spans="1:6" hidden="1" x14ac:dyDescent="0.25">
      <c r="A185" t="s">
        <v>7</v>
      </c>
      <c r="B185" s="2">
        <v>42510</v>
      </c>
      <c r="C185">
        <f t="shared" si="3"/>
        <v>2016</v>
      </c>
      <c r="D185" s="23">
        <f t="shared" si="4"/>
        <v>141</v>
      </c>
      <c r="E185" t="s">
        <v>6</v>
      </c>
      <c r="F185">
        <f>(SingleBerryDW!F185/SingleBerryFW!F185)*100</f>
        <v>15.800000000000002</v>
      </c>
    </row>
    <row r="186" spans="1:6" hidden="1" x14ac:dyDescent="0.25">
      <c r="A186" t="s">
        <v>7</v>
      </c>
      <c r="B186" s="2">
        <v>42510</v>
      </c>
      <c r="C186">
        <f t="shared" si="3"/>
        <v>2016</v>
      </c>
      <c r="D186" s="23">
        <f t="shared" si="4"/>
        <v>141</v>
      </c>
      <c r="E186" t="s">
        <v>6</v>
      </c>
      <c r="F186">
        <f>(SingleBerryDW!F186/SingleBerryFW!F186)*100</f>
        <v>16.600000000000001</v>
      </c>
    </row>
    <row r="187" spans="1:6" hidden="1" x14ac:dyDescent="0.25">
      <c r="A187" t="s">
        <v>7</v>
      </c>
      <c r="B187" s="2">
        <v>42521</v>
      </c>
      <c r="C187">
        <f t="shared" si="3"/>
        <v>2016</v>
      </c>
      <c r="D187" s="23">
        <f t="shared" si="4"/>
        <v>152</v>
      </c>
      <c r="E187" t="s">
        <v>6</v>
      </c>
      <c r="F187">
        <f>(SingleBerryDW!F187/SingleBerryFW!F187)*100</f>
        <v>15.900000000000002</v>
      </c>
    </row>
    <row r="188" spans="1:6" hidden="1" x14ac:dyDescent="0.25">
      <c r="A188" t="s">
        <v>7</v>
      </c>
      <c r="B188" s="2">
        <v>42521</v>
      </c>
      <c r="C188">
        <f t="shared" ref="C188:C251" si="5">YEAR(B188)</f>
        <v>2016</v>
      </c>
      <c r="D188" s="23">
        <f t="shared" si="4"/>
        <v>152</v>
      </c>
      <c r="E188" t="s">
        <v>6</v>
      </c>
      <c r="F188">
        <f>(SingleBerryDW!F188/SingleBerryFW!F188)*100</f>
        <v>16.600000000000001</v>
      </c>
    </row>
    <row r="189" spans="1:6" hidden="1" x14ac:dyDescent="0.25">
      <c r="A189" t="s">
        <v>7</v>
      </c>
      <c r="B189" s="2">
        <v>42535</v>
      </c>
      <c r="C189">
        <f t="shared" si="5"/>
        <v>2016</v>
      </c>
      <c r="D189" s="23">
        <f t="shared" si="4"/>
        <v>166</v>
      </c>
      <c r="E189" t="s">
        <v>6</v>
      </c>
      <c r="F189">
        <f>(SingleBerryDW!F189/SingleBerryFW!F189)*100</f>
        <v>16.899999999999999</v>
      </c>
    </row>
    <row r="190" spans="1:6" hidden="1" x14ac:dyDescent="0.25">
      <c r="A190" t="s">
        <v>7</v>
      </c>
      <c r="B190" s="2">
        <v>42535</v>
      </c>
      <c r="C190">
        <f t="shared" si="5"/>
        <v>2016</v>
      </c>
      <c r="D190" s="23">
        <f t="shared" si="4"/>
        <v>166</v>
      </c>
      <c r="E190" t="s">
        <v>6</v>
      </c>
      <c r="F190">
        <f>(SingleBerryDW!F190/SingleBerryFW!F190)*100</f>
        <v>17.100000000000005</v>
      </c>
    </row>
    <row r="191" spans="1:6" hidden="1" x14ac:dyDescent="0.25">
      <c r="A191" t="s">
        <v>7</v>
      </c>
      <c r="B191" s="2">
        <v>42752</v>
      </c>
      <c r="C191">
        <f t="shared" si="5"/>
        <v>2017</v>
      </c>
      <c r="D191" s="23">
        <f t="shared" si="4"/>
        <v>17</v>
      </c>
      <c r="E191" t="s">
        <v>6</v>
      </c>
      <c r="F191">
        <f>(SingleBerryDW!F191/SingleBerryFW!F191)*100</f>
        <v>8.6</v>
      </c>
    </row>
    <row r="192" spans="1:6" hidden="1" x14ac:dyDescent="0.25">
      <c r="A192" t="s">
        <v>7</v>
      </c>
      <c r="B192" s="2">
        <v>42752</v>
      </c>
      <c r="C192">
        <f t="shared" si="5"/>
        <v>2017</v>
      </c>
      <c r="D192" s="23">
        <f t="shared" si="4"/>
        <v>17</v>
      </c>
      <c r="E192" t="s">
        <v>6</v>
      </c>
      <c r="F192">
        <f>(SingleBerryDW!F192/SingleBerryFW!F192)*100</f>
        <v>7.1999999999999993</v>
      </c>
    </row>
    <row r="193" spans="1:6" hidden="1" x14ac:dyDescent="0.25">
      <c r="A193" t="s">
        <v>7</v>
      </c>
      <c r="B193" s="2">
        <v>42787</v>
      </c>
      <c r="C193">
        <f t="shared" si="5"/>
        <v>2017</v>
      </c>
      <c r="D193" s="23">
        <f t="shared" si="4"/>
        <v>52</v>
      </c>
      <c r="E193" t="s">
        <v>6</v>
      </c>
      <c r="F193">
        <f>(SingleBerryDW!F193/SingleBerryFW!F193)*100</f>
        <v>12.8</v>
      </c>
    </row>
    <row r="194" spans="1:6" hidden="1" x14ac:dyDescent="0.25">
      <c r="A194" t="s">
        <v>7</v>
      </c>
      <c r="B194" s="2">
        <v>42787</v>
      </c>
      <c r="C194">
        <f t="shared" si="5"/>
        <v>2017</v>
      </c>
      <c r="D194" s="23">
        <f t="shared" si="4"/>
        <v>52</v>
      </c>
      <c r="E194" t="s">
        <v>6</v>
      </c>
      <c r="F194">
        <f>(SingleBerryDW!F194/SingleBerryFW!F194)*100</f>
        <v>11.4</v>
      </c>
    </row>
    <row r="195" spans="1:6" hidden="1" x14ac:dyDescent="0.25">
      <c r="A195" t="s">
        <v>7</v>
      </c>
      <c r="B195" s="2">
        <v>42801</v>
      </c>
      <c r="C195">
        <f t="shared" si="5"/>
        <v>2017</v>
      </c>
      <c r="D195" s="23">
        <f t="shared" si="4"/>
        <v>66</v>
      </c>
      <c r="E195" t="s">
        <v>6</v>
      </c>
      <c r="F195">
        <f>(SingleBerryDW!F195/SingleBerryFW!F195)*100</f>
        <v>14.299999999999999</v>
      </c>
    </row>
    <row r="196" spans="1:6" hidden="1" x14ac:dyDescent="0.25">
      <c r="A196" t="s">
        <v>7</v>
      </c>
      <c r="B196" s="2">
        <v>42801</v>
      </c>
      <c r="C196">
        <f t="shared" si="5"/>
        <v>2017</v>
      </c>
      <c r="D196" s="23">
        <f t="shared" ref="D196:D259" si="6">B196-DATE(YEAR(B196),1,0)</f>
        <v>66</v>
      </c>
      <c r="E196" t="s">
        <v>6</v>
      </c>
      <c r="F196">
        <f>(SingleBerryDW!F196/SingleBerryFW!F196)*100</f>
        <v>12.7</v>
      </c>
    </row>
    <row r="197" spans="1:6" hidden="1" x14ac:dyDescent="0.25">
      <c r="A197" t="s">
        <v>7</v>
      </c>
      <c r="B197" s="2">
        <v>42815</v>
      </c>
      <c r="C197">
        <f t="shared" si="5"/>
        <v>2017</v>
      </c>
      <c r="D197" s="23">
        <f t="shared" si="6"/>
        <v>80</v>
      </c>
      <c r="E197" t="s">
        <v>6</v>
      </c>
      <c r="F197">
        <f>(SingleBerryDW!F197/SingleBerryFW!F197)*100</f>
        <v>14.7</v>
      </c>
    </row>
    <row r="198" spans="1:6" hidden="1" x14ac:dyDescent="0.25">
      <c r="A198" t="s">
        <v>7</v>
      </c>
      <c r="B198" s="2">
        <v>42815</v>
      </c>
      <c r="C198">
        <f t="shared" si="5"/>
        <v>2017</v>
      </c>
      <c r="D198" s="23">
        <f t="shared" si="6"/>
        <v>80</v>
      </c>
      <c r="E198" t="s">
        <v>6</v>
      </c>
      <c r="F198">
        <f>(SingleBerryDW!F198/SingleBerryFW!F198)*100</f>
        <v>13.700000000000001</v>
      </c>
    </row>
    <row r="199" spans="1:6" hidden="1" x14ac:dyDescent="0.25">
      <c r="A199" t="s">
        <v>7</v>
      </c>
      <c r="B199" s="2">
        <v>42829</v>
      </c>
      <c r="C199">
        <f t="shared" si="5"/>
        <v>2017</v>
      </c>
      <c r="D199" s="23">
        <f t="shared" si="6"/>
        <v>94</v>
      </c>
      <c r="E199" t="s">
        <v>6</v>
      </c>
      <c r="F199">
        <f>(SingleBerryDW!F199/SingleBerryFW!F199)*100</f>
        <v>15.300000000000002</v>
      </c>
    </row>
    <row r="200" spans="1:6" hidden="1" x14ac:dyDescent="0.25">
      <c r="A200" t="s">
        <v>7</v>
      </c>
      <c r="B200" s="2">
        <v>42829</v>
      </c>
      <c r="C200">
        <f t="shared" si="5"/>
        <v>2017</v>
      </c>
      <c r="D200" s="23">
        <f t="shared" si="6"/>
        <v>94</v>
      </c>
      <c r="E200" t="s">
        <v>6</v>
      </c>
      <c r="F200">
        <f>(SingleBerryDW!F200/SingleBerryFW!F200)*100</f>
        <v>14.400000000000002</v>
      </c>
    </row>
    <row r="201" spans="1:6" hidden="1" x14ac:dyDescent="0.25">
      <c r="A201" t="s">
        <v>7</v>
      </c>
      <c r="B201" s="2">
        <v>42839</v>
      </c>
      <c r="C201">
        <f t="shared" si="5"/>
        <v>2017</v>
      </c>
      <c r="D201" s="23">
        <f t="shared" si="6"/>
        <v>104</v>
      </c>
      <c r="E201" t="s">
        <v>6</v>
      </c>
      <c r="F201">
        <f>(SingleBerryDW!F201/SingleBerryFW!F201)*100</f>
        <v>14.900000000000002</v>
      </c>
    </row>
    <row r="202" spans="1:6" hidden="1" x14ac:dyDescent="0.25">
      <c r="A202" t="s">
        <v>7</v>
      </c>
      <c r="B202" s="2">
        <v>42839</v>
      </c>
      <c r="C202">
        <f t="shared" si="5"/>
        <v>2017</v>
      </c>
      <c r="D202" s="23">
        <f t="shared" si="6"/>
        <v>104</v>
      </c>
      <c r="E202" t="s">
        <v>6</v>
      </c>
      <c r="F202">
        <f>(SingleBerryDW!F202/SingleBerryFW!F202)*100</f>
        <v>14.2</v>
      </c>
    </row>
    <row r="203" spans="1:6" hidden="1" x14ac:dyDescent="0.25">
      <c r="A203" t="s">
        <v>7</v>
      </c>
      <c r="B203" s="2">
        <v>42844</v>
      </c>
      <c r="C203">
        <f t="shared" si="5"/>
        <v>2017</v>
      </c>
      <c r="D203" s="23">
        <f t="shared" si="6"/>
        <v>109</v>
      </c>
      <c r="E203" t="s">
        <v>6</v>
      </c>
      <c r="F203">
        <f>(SingleBerryDW!F203/SingleBerryFW!F203)*100</f>
        <v>15.7</v>
      </c>
    </row>
    <row r="204" spans="1:6" hidden="1" x14ac:dyDescent="0.25">
      <c r="A204" t="s">
        <v>7</v>
      </c>
      <c r="B204" s="2">
        <v>42844</v>
      </c>
      <c r="C204">
        <f t="shared" si="5"/>
        <v>2017</v>
      </c>
      <c r="D204" s="23">
        <f t="shared" si="6"/>
        <v>109</v>
      </c>
      <c r="E204" t="s">
        <v>6</v>
      </c>
      <c r="F204">
        <f>(SingleBerryDW!F204/SingleBerryFW!F204)*100</f>
        <v>14.900000000000002</v>
      </c>
    </row>
    <row r="205" spans="1:6" hidden="1" x14ac:dyDescent="0.25">
      <c r="A205" t="s">
        <v>7</v>
      </c>
      <c r="B205" s="2">
        <v>42850</v>
      </c>
      <c r="C205">
        <f t="shared" si="5"/>
        <v>2017</v>
      </c>
      <c r="D205" s="23">
        <f t="shared" si="6"/>
        <v>115</v>
      </c>
      <c r="E205" t="s">
        <v>6</v>
      </c>
      <c r="F205">
        <f>(SingleBerryDW!F205/SingleBerryFW!F205)*100</f>
        <v>15.1</v>
      </c>
    </row>
    <row r="206" spans="1:6" hidden="1" x14ac:dyDescent="0.25">
      <c r="A206" t="s">
        <v>7</v>
      </c>
      <c r="B206" s="2">
        <v>42853</v>
      </c>
      <c r="C206">
        <f t="shared" si="5"/>
        <v>2017</v>
      </c>
      <c r="D206" s="23">
        <f t="shared" si="6"/>
        <v>118</v>
      </c>
      <c r="E206" t="s">
        <v>6</v>
      </c>
      <c r="F206">
        <f>(SingleBerryDW!F206/SingleBerryFW!F206)*100</f>
        <v>15.9</v>
      </c>
    </row>
    <row r="207" spans="1:6" hidden="1" x14ac:dyDescent="0.25">
      <c r="A207" t="s">
        <v>7</v>
      </c>
      <c r="B207" s="2">
        <v>42858</v>
      </c>
      <c r="C207">
        <f t="shared" si="5"/>
        <v>2017</v>
      </c>
      <c r="D207" s="23">
        <f t="shared" si="6"/>
        <v>123</v>
      </c>
      <c r="E207" t="s">
        <v>6</v>
      </c>
      <c r="F207">
        <f>(SingleBerryDW!F207/SingleBerryFW!F207)*100</f>
        <v>16.100000000000001</v>
      </c>
    </row>
    <row r="208" spans="1:6" hidden="1" x14ac:dyDescent="0.25">
      <c r="A208" t="s">
        <v>7</v>
      </c>
      <c r="B208" s="2">
        <v>42858</v>
      </c>
      <c r="C208">
        <f t="shared" si="5"/>
        <v>2017</v>
      </c>
      <c r="D208" s="23">
        <f t="shared" si="6"/>
        <v>123</v>
      </c>
      <c r="E208" t="s">
        <v>6</v>
      </c>
      <c r="F208">
        <f>(SingleBerryDW!F208/SingleBerryFW!F208)*100</f>
        <v>15</v>
      </c>
    </row>
    <row r="209" spans="1:6" hidden="1" x14ac:dyDescent="0.25">
      <c r="A209" t="s">
        <v>7</v>
      </c>
      <c r="B209" s="2">
        <v>42871</v>
      </c>
      <c r="C209">
        <f t="shared" si="5"/>
        <v>2017</v>
      </c>
      <c r="D209" s="23">
        <f t="shared" si="6"/>
        <v>136</v>
      </c>
      <c r="E209" t="s">
        <v>6</v>
      </c>
      <c r="F209">
        <f>(SingleBerryDW!F209/SingleBerryFW!F209)*100</f>
        <v>16.8</v>
      </c>
    </row>
    <row r="210" spans="1:6" hidden="1" x14ac:dyDescent="0.25">
      <c r="A210" t="s">
        <v>7</v>
      </c>
      <c r="B210" s="2">
        <v>42871</v>
      </c>
      <c r="C210">
        <f t="shared" si="5"/>
        <v>2017</v>
      </c>
      <c r="D210" s="23">
        <f t="shared" si="6"/>
        <v>136</v>
      </c>
      <c r="E210" t="s">
        <v>6</v>
      </c>
      <c r="F210">
        <f>(SingleBerryDW!F210/SingleBerryFW!F210)*100</f>
        <v>16.2</v>
      </c>
    </row>
    <row r="211" spans="1:6" hidden="1" x14ac:dyDescent="0.25">
      <c r="A211" t="s">
        <v>7</v>
      </c>
      <c r="B211" s="2">
        <v>42885</v>
      </c>
      <c r="C211">
        <f t="shared" si="5"/>
        <v>2017</v>
      </c>
      <c r="D211" s="23">
        <f t="shared" si="6"/>
        <v>150</v>
      </c>
      <c r="E211" t="s">
        <v>6</v>
      </c>
      <c r="F211">
        <f>(SingleBerryDW!F211/SingleBerryFW!F211)*100</f>
        <v>16.900000000000002</v>
      </c>
    </row>
    <row r="212" spans="1:6" hidden="1" x14ac:dyDescent="0.25">
      <c r="A212" t="s">
        <v>7</v>
      </c>
      <c r="B212" s="2">
        <v>42885</v>
      </c>
      <c r="C212">
        <f t="shared" si="5"/>
        <v>2017</v>
      </c>
      <c r="D212" s="23">
        <f t="shared" si="6"/>
        <v>150</v>
      </c>
      <c r="E212" t="s">
        <v>6</v>
      </c>
      <c r="F212">
        <f>(SingleBerryDW!F212/SingleBerryFW!F212)*100</f>
        <v>16.3</v>
      </c>
    </row>
    <row r="213" spans="1:6" hidden="1" x14ac:dyDescent="0.25">
      <c r="A213" t="s">
        <v>7</v>
      </c>
      <c r="B213" s="2">
        <v>42893</v>
      </c>
      <c r="C213">
        <f t="shared" si="5"/>
        <v>2017</v>
      </c>
      <c r="D213" s="23">
        <f t="shared" si="6"/>
        <v>158</v>
      </c>
      <c r="E213" t="s">
        <v>6</v>
      </c>
      <c r="F213">
        <f>(SingleBerryDW!F213/SingleBerryFW!F213)*100</f>
        <v>17.100000000000005</v>
      </c>
    </row>
    <row r="214" spans="1:6" hidden="1" x14ac:dyDescent="0.25">
      <c r="A214" t="s">
        <v>7</v>
      </c>
      <c r="B214" s="2">
        <v>42893</v>
      </c>
      <c r="C214">
        <f t="shared" si="5"/>
        <v>2017</v>
      </c>
      <c r="D214" s="23">
        <f t="shared" si="6"/>
        <v>158</v>
      </c>
      <c r="E214" t="s">
        <v>6</v>
      </c>
      <c r="F214">
        <f>(SingleBerryDW!F214/SingleBerryFW!F214)*100</f>
        <v>16.5</v>
      </c>
    </row>
    <row r="215" spans="1:6" hidden="1" x14ac:dyDescent="0.25">
      <c r="A215" t="s">
        <v>7</v>
      </c>
      <c r="B215" s="2">
        <v>42907</v>
      </c>
      <c r="C215">
        <f t="shared" si="5"/>
        <v>2017</v>
      </c>
      <c r="D215" s="23">
        <f t="shared" si="6"/>
        <v>172</v>
      </c>
      <c r="E215" t="s">
        <v>6</v>
      </c>
      <c r="F215">
        <f>(SingleBerryDW!F215/SingleBerryFW!F215)*100</f>
        <v>17.3</v>
      </c>
    </row>
    <row r="216" spans="1:6" hidden="1" x14ac:dyDescent="0.25">
      <c r="A216" t="s">
        <v>7</v>
      </c>
      <c r="B216" s="2">
        <v>42907</v>
      </c>
      <c r="C216">
        <f t="shared" si="5"/>
        <v>2017</v>
      </c>
      <c r="D216" s="23">
        <f t="shared" si="6"/>
        <v>172</v>
      </c>
      <c r="E216" t="s">
        <v>6</v>
      </c>
      <c r="F216">
        <f>(SingleBerryDW!F216/SingleBerryFW!F216)*100</f>
        <v>16.400000000000002</v>
      </c>
    </row>
    <row r="217" spans="1:6" hidden="1" x14ac:dyDescent="0.25">
      <c r="A217" t="s">
        <v>7</v>
      </c>
      <c r="B217" s="2">
        <v>43116</v>
      </c>
      <c r="C217">
        <f t="shared" si="5"/>
        <v>2018</v>
      </c>
      <c r="D217" s="23">
        <f t="shared" si="6"/>
        <v>16</v>
      </c>
      <c r="E217" t="s">
        <v>6</v>
      </c>
      <c r="F217">
        <f>(SingleBerryDW!F217/SingleBerryFW!F217)*100</f>
        <v>7.7</v>
      </c>
    </row>
    <row r="218" spans="1:6" hidden="1" x14ac:dyDescent="0.25">
      <c r="A218" t="s">
        <v>7</v>
      </c>
      <c r="B218" s="2">
        <v>43116</v>
      </c>
      <c r="C218">
        <f t="shared" si="5"/>
        <v>2018</v>
      </c>
      <c r="D218" s="23">
        <f t="shared" si="6"/>
        <v>16</v>
      </c>
      <c r="E218" t="s">
        <v>6</v>
      </c>
      <c r="F218">
        <f>(SingleBerryDW!F218/SingleBerryFW!F218)*100</f>
        <v>6.7999999999999989</v>
      </c>
    </row>
    <row r="219" spans="1:6" hidden="1" x14ac:dyDescent="0.25">
      <c r="A219" t="s">
        <v>7</v>
      </c>
      <c r="B219" s="2">
        <v>43151</v>
      </c>
      <c r="C219">
        <f t="shared" si="5"/>
        <v>2018</v>
      </c>
      <c r="D219" s="23">
        <f t="shared" si="6"/>
        <v>51</v>
      </c>
      <c r="E219" t="s">
        <v>6</v>
      </c>
      <c r="F219">
        <f>(SingleBerryDW!F219/SingleBerryFW!F219)*100</f>
        <v>12.599999999999998</v>
      </c>
    </row>
    <row r="220" spans="1:6" hidden="1" x14ac:dyDescent="0.25">
      <c r="A220" t="s">
        <v>7</v>
      </c>
      <c r="B220" s="2">
        <v>43151</v>
      </c>
      <c r="C220">
        <f t="shared" si="5"/>
        <v>2018</v>
      </c>
      <c r="D220" s="23">
        <f t="shared" si="6"/>
        <v>51</v>
      </c>
      <c r="E220" t="s">
        <v>6</v>
      </c>
      <c r="F220">
        <f>(SingleBerryDW!F220/SingleBerryFW!F220)*100</f>
        <v>11.4</v>
      </c>
    </row>
    <row r="221" spans="1:6" hidden="1" x14ac:dyDescent="0.25">
      <c r="A221" t="s">
        <v>7</v>
      </c>
      <c r="B221" s="2">
        <v>43165</v>
      </c>
      <c r="C221">
        <f t="shared" si="5"/>
        <v>2018</v>
      </c>
      <c r="D221" s="23">
        <f t="shared" si="6"/>
        <v>65</v>
      </c>
      <c r="E221" t="s">
        <v>6</v>
      </c>
      <c r="F221">
        <f>(SingleBerryDW!F221/SingleBerryFW!F221)*100</f>
        <v>14.3</v>
      </c>
    </row>
    <row r="222" spans="1:6" hidden="1" x14ac:dyDescent="0.25">
      <c r="A222" t="s">
        <v>7</v>
      </c>
      <c r="B222" s="2">
        <v>43165</v>
      </c>
      <c r="C222">
        <f t="shared" si="5"/>
        <v>2018</v>
      </c>
      <c r="D222" s="23">
        <f t="shared" si="6"/>
        <v>65</v>
      </c>
      <c r="E222" t="s">
        <v>6</v>
      </c>
      <c r="F222">
        <f>(SingleBerryDW!F222/SingleBerryFW!F222)*100</f>
        <v>13.299999999999997</v>
      </c>
    </row>
    <row r="223" spans="1:6" hidden="1" x14ac:dyDescent="0.25">
      <c r="A223" t="s">
        <v>7</v>
      </c>
      <c r="B223" s="2">
        <v>43179</v>
      </c>
      <c r="C223">
        <f t="shared" si="5"/>
        <v>2018</v>
      </c>
      <c r="D223" s="23">
        <f t="shared" si="6"/>
        <v>79</v>
      </c>
      <c r="E223" t="s">
        <v>6</v>
      </c>
      <c r="F223">
        <f>(SingleBerryDW!F223/SingleBerryFW!F223)*100</f>
        <v>15.7</v>
      </c>
    </row>
    <row r="224" spans="1:6" hidden="1" x14ac:dyDescent="0.25">
      <c r="A224" t="s">
        <v>7</v>
      </c>
      <c r="B224" s="2">
        <v>43179</v>
      </c>
      <c r="C224">
        <f t="shared" si="5"/>
        <v>2018</v>
      </c>
      <c r="D224" s="23">
        <f t="shared" si="6"/>
        <v>79</v>
      </c>
      <c r="E224" t="s">
        <v>6</v>
      </c>
      <c r="F224">
        <f>(SingleBerryDW!F224/SingleBerryFW!F224)*100</f>
        <v>14.7</v>
      </c>
    </row>
    <row r="225" spans="1:6" hidden="1" x14ac:dyDescent="0.25">
      <c r="A225" t="s">
        <v>7</v>
      </c>
      <c r="B225" s="2">
        <v>43195</v>
      </c>
      <c r="C225">
        <f t="shared" si="5"/>
        <v>2018</v>
      </c>
      <c r="D225" s="23">
        <f t="shared" si="6"/>
        <v>95</v>
      </c>
      <c r="E225" t="s">
        <v>6</v>
      </c>
      <c r="F225">
        <f>(SingleBerryDW!F225/SingleBerryFW!F225)*100</f>
        <v>16.399999999999999</v>
      </c>
    </row>
    <row r="226" spans="1:6" hidden="1" x14ac:dyDescent="0.25">
      <c r="A226" t="s">
        <v>7</v>
      </c>
      <c r="B226" s="2">
        <v>43195</v>
      </c>
      <c r="C226">
        <f t="shared" si="5"/>
        <v>2018</v>
      </c>
      <c r="D226" s="23">
        <f t="shared" si="6"/>
        <v>95</v>
      </c>
      <c r="E226" t="s">
        <v>6</v>
      </c>
      <c r="F226">
        <f>(SingleBerryDW!F226/SingleBerryFW!F226)*100</f>
        <v>15.4</v>
      </c>
    </row>
    <row r="227" spans="1:6" hidden="1" x14ac:dyDescent="0.25">
      <c r="A227" t="s">
        <v>7</v>
      </c>
      <c r="B227" s="2">
        <v>43201</v>
      </c>
      <c r="C227">
        <f t="shared" si="5"/>
        <v>2018</v>
      </c>
      <c r="D227" s="23">
        <f t="shared" si="6"/>
        <v>101</v>
      </c>
      <c r="E227" t="s">
        <v>6</v>
      </c>
      <c r="F227">
        <f>(SingleBerryDW!F227/SingleBerryFW!F227)*100</f>
        <v>16.600000000000001</v>
      </c>
    </row>
    <row r="228" spans="1:6" hidden="1" x14ac:dyDescent="0.25">
      <c r="A228" t="s">
        <v>7</v>
      </c>
      <c r="B228" s="2">
        <v>43201</v>
      </c>
      <c r="C228">
        <f t="shared" si="5"/>
        <v>2018</v>
      </c>
      <c r="D228" s="23">
        <f t="shared" si="6"/>
        <v>101</v>
      </c>
      <c r="E228" t="s">
        <v>6</v>
      </c>
      <c r="F228">
        <f>(SingleBerryDW!F228/SingleBerryFW!F228)*100</f>
        <v>15.8</v>
      </c>
    </row>
    <row r="229" spans="1:6" hidden="1" x14ac:dyDescent="0.25">
      <c r="A229" t="s">
        <v>7</v>
      </c>
      <c r="B229" s="2">
        <v>43209</v>
      </c>
      <c r="C229">
        <f t="shared" si="5"/>
        <v>2018</v>
      </c>
      <c r="D229" s="23">
        <f t="shared" si="6"/>
        <v>109</v>
      </c>
      <c r="E229" t="s">
        <v>6</v>
      </c>
      <c r="F229">
        <f>(SingleBerryDW!F229/SingleBerryFW!F229)*100</f>
        <v>17.200000000000003</v>
      </c>
    </row>
    <row r="230" spans="1:6" hidden="1" x14ac:dyDescent="0.25">
      <c r="A230" t="s">
        <v>7</v>
      </c>
      <c r="B230" s="2">
        <v>43209</v>
      </c>
      <c r="C230">
        <f t="shared" si="5"/>
        <v>2018</v>
      </c>
      <c r="D230" s="23">
        <f t="shared" si="6"/>
        <v>109</v>
      </c>
      <c r="E230" t="s">
        <v>6</v>
      </c>
      <c r="F230">
        <f>(SingleBerryDW!F230/SingleBerryFW!F230)*100</f>
        <v>16</v>
      </c>
    </row>
    <row r="231" spans="1:6" hidden="1" x14ac:dyDescent="0.25">
      <c r="A231" t="s">
        <v>7</v>
      </c>
      <c r="B231" s="2">
        <v>43215</v>
      </c>
      <c r="C231">
        <f t="shared" si="5"/>
        <v>2018</v>
      </c>
      <c r="D231" s="23">
        <f t="shared" si="6"/>
        <v>115</v>
      </c>
      <c r="E231" t="s">
        <v>6</v>
      </c>
      <c r="F231">
        <f>(SingleBerryDW!F231/SingleBerryFW!F231)*100</f>
        <v>17.100000000000001</v>
      </c>
    </row>
    <row r="232" spans="1:6" hidden="1" x14ac:dyDescent="0.25">
      <c r="A232" t="s">
        <v>7</v>
      </c>
      <c r="B232" s="2">
        <v>43215</v>
      </c>
      <c r="C232">
        <f t="shared" si="5"/>
        <v>2018</v>
      </c>
      <c r="D232" s="23">
        <f t="shared" si="6"/>
        <v>115</v>
      </c>
      <c r="E232" t="s">
        <v>6</v>
      </c>
      <c r="F232">
        <f>(SingleBerryDW!F232/SingleBerryFW!F232)*100</f>
        <v>16</v>
      </c>
    </row>
    <row r="233" spans="1:6" hidden="1" x14ac:dyDescent="0.25">
      <c r="A233" t="s">
        <v>7</v>
      </c>
      <c r="B233" s="2">
        <v>43221</v>
      </c>
      <c r="C233">
        <f t="shared" si="5"/>
        <v>2018</v>
      </c>
      <c r="D233" s="23">
        <f t="shared" si="6"/>
        <v>121</v>
      </c>
      <c r="E233" t="s">
        <v>6</v>
      </c>
      <c r="F233">
        <f>(SingleBerryDW!F233/SingleBerryFW!F233)*100</f>
        <v>17.399999999999999</v>
      </c>
    </row>
    <row r="234" spans="1:6" hidden="1" x14ac:dyDescent="0.25">
      <c r="A234" t="s">
        <v>7</v>
      </c>
      <c r="B234" s="2">
        <v>43221</v>
      </c>
      <c r="C234">
        <f t="shared" si="5"/>
        <v>2018</v>
      </c>
      <c r="D234" s="23">
        <f t="shared" si="6"/>
        <v>121</v>
      </c>
      <c r="E234" t="s">
        <v>6</v>
      </c>
      <c r="F234">
        <f>(SingleBerryDW!F234/SingleBerryFW!F234)*100</f>
        <v>16.600000000000001</v>
      </c>
    </row>
    <row r="235" spans="1:6" hidden="1" x14ac:dyDescent="0.25">
      <c r="A235" t="s">
        <v>7</v>
      </c>
      <c r="B235" s="2">
        <v>43235</v>
      </c>
      <c r="C235">
        <f t="shared" si="5"/>
        <v>2018</v>
      </c>
      <c r="D235" s="23">
        <f t="shared" si="6"/>
        <v>135</v>
      </c>
      <c r="E235" t="s">
        <v>6</v>
      </c>
      <c r="F235">
        <f>(SingleBerryDW!F235/SingleBerryFW!F235)*100</f>
        <v>18.099999999999998</v>
      </c>
    </row>
    <row r="236" spans="1:6" hidden="1" x14ac:dyDescent="0.25">
      <c r="A236" t="s">
        <v>7</v>
      </c>
      <c r="B236" s="2">
        <v>43235</v>
      </c>
      <c r="C236">
        <f t="shared" si="5"/>
        <v>2018</v>
      </c>
      <c r="D236" s="23">
        <f t="shared" si="6"/>
        <v>135</v>
      </c>
      <c r="E236" t="s">
        <v>6</v>
      </c>
      <c r="F236">
        <f>(SingleBerryDW!F236/SingleBerryFW!F236)*100</f>
        <v>16.600000000000005</v>
      </c>
    </row>
    <row r="237" spans="1:6" hidden="1" x14ac:dyDescent="0.25">
      <c r="A237" t="s">
        <v>7</v>
      </c>
      <c r="B237" s="2">
        <v>43249</v>
      </c>
      <c r="C237">
        <f t="shared" si="5"/>
        <v>2018</v>
      </c>
      <c r="D237" s="23">
        <f t="shared" si="6"/>
        <v>149</v>
      </c>
      <c r="E237" t="s">
        <v>6</v>
      </c>
      <c r="F237">
        <f>(SingleBerryDW!F237/SingleBerryFW!F237)*100</f>
        <v>18.299999999999997</v>
      </c>
    </row>
    <row r="238" spans="1:6" hidden="1" x14ac:dyDescent="0.25">
      <c r="A238" t="s">
        <v>7</v>
      </c>
      <c r="B238" s="2">
        <v>43249</v>
      </c>
      <c r="C238">
        <f t="shared" si="5"/>
        <v>2018</v>
      </c>
      <c r="D238" s="23">
        <f t="shared" si="6"/>
        <v>149</v>
      </c>
      <c r="E238" t="s">
        <v>6</v>
      </c>
      <c r="F238">
        <f>(SingleBerryDW!F238/SingleBerryFW!F238)*100</f>
        <v>17.299999999999997</v>
      </c>
    </row>
    <row r="239" spans="1:6" hidden="1" x14ac:dyDescent="0.25">
      <c r="A239" t="s">
        <v>7</v>
      </c>
      <c r="B239" s="2">
        <v>43479</v>
      </c>
      <c r="C239">
        <f t="shared" si="5"/>
        <v>2019</v>
      </c>
      <c r="D239" s="23">
        <f t="shared" si="6"/>
        <v>14</v>
      </c>
      <c r="E239" t="s">
        <v>6</v>
      </c>
      <c r="F239">
        <f>(SingleBerryDW!F239/SingleBerryFW!F239)*100</f>
        <v>7.1</v>
      </c>
    </row>
    <row r="240" spans="1:6" hidden="1" x14ac:dyDescent="0.25">
      <c r="A240" t="s">
        <v>7</v>
      </c>
      <c r="B240" s="2">
        <v>43515</v>
      </c>
      <c r="C240">
        <f t="shared" si="5"/>
        <v>2019</v>
      </c>
      <c r="D240" s="23">
        <f t="shared" si="6"/>
        <v>50</v>
      </c>
      <c r="E240" t="s">
        <v>6</v>
      </c>
      <c r="F240">
        <f>(SingleBerryDW!F240/SingleBerryFW!F240)*100</f>
        <v>12.6</v>
      </c>
    </row>
    <row r="241" spans="1:6" hidden="1" x14ac:dyDescent="0.25">
      <c r="A241" t="s">
        <v>7</v>
      </c>
      <c r="B241" s="2">
        <v>43529</v>
      </c>
      <c r="C241">
        <f t="shared" si="5"/>
        <v>2019</v>
      </c>
      <c r="D241" s="23">
        <f t="shared" si="6"/>
        <v>64</v>
      </c>
      <c r="E241" t="s">
        <v>6</v>
      </c>
      <c r="F241">
        <f>(SingleBerryDW!F241/SingleBerryFW!F241)*100</f>
        <v>14.3</v>
      </c>
    </row>
    <row r="242" spans="1:6" hidden="1" x14ac:dyDescent="0.25">
      <c r="A242" t="s">
        <v>7</v>
      </c>
      <c r="B242" s="2">
        <v>43543</v>
      </c>
      <c r="C242">
        <f t="shared" si="5"/>
        <v>2019</v>
      </c>
      <c r="D242" s="23">
        <f t="shared" si="6"/>
        <v>78</v>
      </c>
      <c r="E242" t="s">
        <v>6</v>
      </c>
      <c r="F242">
        <f>(SingleBerryDW!F242/SingleBerryFW!F242)*100</f>
        <v>15.6</v>
      </c>
    </row>
    <row r="243" spans="1:6" hidden="1" x14ac:dyDescent="0.25">
      <c r="A243" t="s">
        <v>7</v>
      </c>
      <c r="B243" s="2">
        <v>43557</v>
      </c>
      <c r="C243">
        <f t="shared" si="5"/>
        <v>2019</v>
      </c>
      <c r="D243" s="23">
        <f t="shared" si="6"/>
        <v>92</v>
      </c>
      <c r="E243" t="s">
        <v>6</v>
      </c>
      <c r="F243">
        <f>(SingleBerryDW!F243/SingleBerryFW!F243)*100</f>
        <v>16</v>
      </c>
    </row>
    <row r="244" spans="1:6" hidden="1" x14ac:dyDescent="0.25">
      <c r="A244" t="s">
        <v>7</v>
      </c>
      <c r="B244" s="2">
        <v>43564</v>
      </c>
      <c r="C244">
        <f t="shared" si="5"/>
        <v>2019</v>
      </c>
      <c r="D244" s="23">
        <f t="shared" si="6"/>
        <v>99</v>
      </c>
      <c r="E244" t="s">
        <v>6</v>
      </c>
      <c r="F244">
        <f>(SingleBerryDW!F244/SingleBerryFW!F244)*100</f>
        <v>16.5</v>
      </c>
    </row>
    <row r="245" spans="1:6" hidden="1" x14ac:dyDescent="0.25">
      <c r="A245" t="s">
        <v>7</v>
      </c>
      <c r="B245" s="2">
        <v>43570</v>
      </c>
      <c r="C245">
        <f t="shared" si="5"/>
        <v>2019</v>
      </c>
      <c r="D245" s="23">
        <f t="shared" si="6"/>
        <v>105</v>
      </c>
      <c r="E245" t="s">
        <v>6</v>
      </c>
      <c r="F245">
        <f>(SingleBerryDW!F245/SingleBerryFW!F245)*100</f>
        <v>16.600000000000005</v>
      </c>
    </row>
    <row r="246" spans="1:6" hidden="1" x14ac:dyDescent="0.25">
      <c r="A246" t="s">
        <v>7</v>
      </c>
      <c r="B246" s="2">
        <v>43577</v>
      </c>
      <c r="C246">
        <f t="shared" si="5"/>
        <v>2019</v>
      </c>
      <c r="D246" s="23">
        <f t="shared" si="6"/>
        <v>112</v>
      </c>
      <c r="E246" t="s">
        <v>6</v>
      </c>
      <c r="F246">
        <f>(SingleBerryDW!F246/SingleBerryFW!F246)*100</f>
        <v>16.7</v>
      </c>
    </row>
    <row r="247" spans="1:6" hidden="1" x14ac:dyDescent="0.25">
      <c r="A247" t="s">
        <v>7</v>
      </c>
      <c r="B247" s="2">
        <v>43584</v>
      </c>
      <c r="C247">
        <f t="shared" si="5"/>
        <v>2019</v>
      </c>
      <c r="D247" s="23">
        <f t="shared" si="6"/>
        <v>119</v>
      </c>
      <c r="E247" t="s">
        <v>6</v>
      </c>
      <c r="F247">
        <f>(SingleBerryDW!F247/SingleBerryFW!F247)*100</f>
        <v>17.100000000000001</v>
      </c>
    </row>
    <row r="248" spans="1:6" hidden="1" x14ac:dyDescent="0.25">
      <c r="A248" t="s">
        <v>7</v>
      </c>
      <c r="B248" s="2">
        <v>43613</v>
      </c>
      <c r="C248">
        <f t="shared" si="5"/>
        <v>2019</v>
      </c>
      <c r="D248" s="23">
        <f t="shared" si="6"/>
        <v>148</v>
      </c>
      <c r="E248" t="s">
        <v>6</v>
      </c>
      <c r="F248">
        <f>(SingleBerryDW!F248/SingleBerryFW!F248)*100</f>
        <v>17.899999999999999</v>
      </c>
    </row>
    <row r="249" spans="1:6" hidden="1" x14ac:dyDescent="0.25">
      <c r="A249" t="s">
        <v>7</v>
      </c>
      <c r="B249" s="2">
        <v>43850</v>
      </c>
      <c r="C249">
        <f t="shared" si="5"/>
        <v>2020</v>
      </c>
      <c r="D249" s="23">
        <f t="shared" si="6"/>
        <v>20</v>
      </c>
      <c r="E249" t="s">
        <v>6</v>
      </c>
      <c r="F249">
        <f>(SingleBerryDW!F249/SingleBerryFW!F249)*100</f>
        <v>8.1</v>
      </c>
    </row>
    <row r="250" spans="1:6" hidden="1" x14ac:dyDescent="0.25">
      <c r="A250" t="s">
        <v>7</v>
      </c>
      <c r="B250" s="2">
        <v>43880</v>
      </c>
      <c r="C250">
        <f t="shared" si="5"/>
        <v>2020</v>
      </c>
      <c r="D250" s="23">
        <f t="shared" si="6"/>
        <v>50</v>
      </c>
      <c r="E250" t="s">
        <v>6</v>
      </c>
      <c r="F250">
        <f>(SingleBerryDW!F250/SingleBerryFW!F250)*100</f>
        <v>12.400000000000002</v>
      </c>
    </row>
    <row r="251" spans="1:6" hidden="1" x14ac:dyDescent="0.25">
      <c r="A251" t="s">
        <v>7</v>
      </c>
      <c r="B251" s="2">
        <v>43892</v>
      </c>
      <c r="C251">
        <f t="shared" si="5"/>
        <v>2020</v>
      </c>
      <c r="D251" s="23">
        <f t="shared" si="6"/>
        <v>62</v>
      </c>
      <c r="E251" t="s">
        <v>6</v>
      </c>
      <c r="F251">
        <f>(SingleBerryDW!F251/SingleBerryFW!F251)*100</f>
        <v>13.999999999999998</v>
      </c>
    </row>
    <row r="252" spans="1:6" hidden="1" x14ac:dyDescent="0.25">
      <c r="A252" t="s">
        <v>7</v>
      </c>
      <c r="B252" s="2">
        <v>43906</v>
      </c>
      <c r="C252">
        <f t="shared" ref="C252:C315" si="7">YEAR(B252)</f>
        <v>2020</v>
      </c>
      <c r="D252" s="23">
        <f t="shared" si="6"/>
        <v>76</v>
      </c>
      <c r="E252" t="s">
        <v>6</v>
      </c>
      <c r="F252">
        <f>(SingleBerryDW!F252/SingleBerryFW!F252)*100</f>
        <v>15.5</v>
      </c>
    </row>
    <row r="253" spans="1:6" hidden="1" x14ac:dyDescent="0.25">
      <c r="A253" t="s">
        <v>7</v>
      </c>
      <c r="B253" s="2">
        <v>43950</v>
      </c>
      <c r="C253">
        <f t="shared" si="7"/>
        <v>2020</v>
      </c>
      <c r="D253" s="23">
        <f t="shared" si="6"/>
        <v>120</v>
      </c>
      <c r="E253" t="s">
        <v>6</v>
      </c>
      <c r="F253">
        <f>(SingleBerryDW!F253/SingleBerryFW!F253)*100</f>
        <v>17.5</v>
      </c>
    </row>
    <row r="254" spans="1:6" hidden="1" x14ac:dyDescent="0.25">
      <c r="A254" t="s">
        <v>7</v>
      </c>
      <c r="B254" s="2">
        <v>43963</v>
      </c>
      <c r="C254">
        <f t="shared" si="7"/>
        <v>2020</v>
      </c>
      <c r="D254" s="23">
        <f t="shared" si="6"/>
        <v>133</v>
      </c>
      <c r="E254" t="s">
        <v>6</v>
      </c>
      <c r="F254">
        <f>(SingleBerryDW!F254/SingleBerryFW!F254)*100</f>
        <v>17.699999999999996</v>
      </c>
    </row>
    <row r="255" spans="1:6" hidden="1" x14ac:dyDescent="0.25">
      <c r="A255" t="s">
        <v>7</v>
      </c>
      <c r="B255" s="2">
        <v>43977</v>
      </c>
      <c r="C255">
        <f t="shared" si="7"/>
        <v>2020</v>
      </c>
      <c r="D255" s="23">
        <f t="shared" si="6"/>
        <v>147</v>
      </c>
      <c r="E255" t="s">
        <v>6</v>
      </c>
      <c r="F255">
        <f>(SingleBerryDW!F255/SingleBerryFW!F255)*100</f>
        <v>17.700000000000003</v>
      </c>
    </row>
    <row r="256" spans="1:6" hidden="1" x14ac:dyDescent="0.25">
      <c r="A256" t="s">
        <v>7</v>
      </c>
      <c r="B256" s="2">
        <v>44223</v>
      </c>
      <c r="C256">
        <f t="shared" si="7"/>
        <v>2021</v>
      </c>
      <c r="D256" s="23">
        <f t="shared" si="6"/>
        <v>27</v>
      </c>
      <c r="E256" t="s">
        <v>6</v>
      </c>
      <c r="F256">
        <f>(SingleBerryDW!F256/SingleBerryFW!F256)*100</f>
        <v>8.8219087849999998</v>
      </c>
    </row>
    <row r="257" spans="1:6" hidden="1" x14ac:dyDescent="0.25">
      <c r="A257" t="s">
        <v>7</v>
      </c>
      <c r="B257" s="2">
        <v>44244</v>
      </c>
      <c r="C257">
        <f t="shared" si="7"/>
        <v>2021</v>
      </c>
      <c r="D257" s="23">
        <f t="shared" si="6"/>
        <v>48</v>
      </c>
      <c r="E257" t="s">
        <v>6</v>
      </c>
      <c r="F257">
        <f>(SingleBerryDW!F257/SingleBerryFW!F257)*100</f>
        <v>11.326228609999999</v>
      </c>
    </row>
    <row r="258" spans="1:6" hidden="1" x14ac:dyDescent="0.25">
      <c r="A258" t="s">
        <v>7</v>
      </c>
      <c r="B258" s="2">
        <v>44258</v>
      </c>
      <c r="C258">
        <f t="shared" si="7"/>
        <v>2021</v>
      </c>
      <c r="D258" s="23">
        <f t="shared" si="6"/>
        <v>62</v>
      </c>
      <c r="E258" t="s">
        <v>6</v>
      </c>
      <c r="F258">
        <f>(SingleBerryDW!F258/SingleBerryFW!F258)*100</f>
        <v>13.338020979999998</v>
      </c>
    </row>
    <row r="259" spans="1:6" hidden="1" x14ac:dyDescent="0.25">
      <c r="A259" t="s">
        <v>7</v>
      </c>
      <c r="B259" s="2">
        <v>44272</v>
      </c>
      <c r="C259">
        <f t="shared" si="7"/>
        <v>2021</v>
      </c>
      <c r="D259" s="23">
        <f t="shared" si="6"/>
        <v>76</v>
      </c>
      <c r="E259" t="s">
        <v>6</v>
      </c>
      <c r="F259">
        <f>(SingleBerryDW!F259/SingleBerryFW!F259)*100</f>
        <v>14.397584729999998</v>
      </c>
    </row>
    <row r="260" spans="1:6" hidden="1" x14ac:dyDescent="0.25">
      <c r="A260" t="s">
        <v>7</v>
      </c>
      <c r="B260" s="2">
        <v>44286</v>
      </c>
      <c r="C260">
        <f t="shared" si="7"/>
        <v>2021</v>
      </c>
      <c r="D260" s="23">
        <f t="shared" ref="D260:D323" si="8">B260-DATE(YEAR(B260),1,0)</f>
        <v>90</v>
      </c>
      <c r="E260" t="s">
        <v>6</v>
      </c>
      <c r="F260">
        <f>(SingleBerryDW!F260/SingleBerryFW!F260)*100</f>
        <v>15.18128198</v>
      </c>
    </row>
    <row r="261" spans="1:6" hidden="1" x14ac:dyDescent="0.25">
      <c r="A261" t="s">
        <v>7</v>
      </c>
      <c r="B261" s="2">
        <v>44300</v>
      </c>
      <c r="C261">
        <f t="shared" si="7"/>
        <v>2021</v>
      </c>
      <c r="D261" s="23">
        <f t="shared" si="8"/>
        <v>104</v>
      </c>
      <c r="E261" t="s">
        <v>6</v>
      </c>
      <c r="F261">
        <f>(SingleBerryDW!F261/SingleBerryFW!F261)*100</f>
        <v>15.203008900000004</v>
      </c>
    </row>
    <row r="262" spans="1:6" hidden="1" x14ac:dyDescent="0.25">
      <c r="A262" t="s">
        <v>7</v>
      </c>
      <c r="B262" s="2">
        <v>44307</v>
      </c>
      <c r="C262">
        <f t="shared" si="7"/>
        <v>2021</v>
      </c>
      <c r="D262" s="23">
        <f t="shared" si="8"/>
        <v>111</v>
      </c>
      <c r="E262" t="s">
        <v>6</v>
      </c>
      <c r="F262">
        <f>(SingleBerryDW!F262/SingleBerryFW!F262)*100</f>
        <v>15.654528790000002</v>
      </c>
    </row>
    <row r="263" spans="1:6" hidden="1" x14ac:dyDescent="0.25">
      <c r="A263" t="s">
        <v>7</v>
      </c>
      <c r="B263" s="2">
        <v>44315</v>
      </c>
      <c r="C263">
        <f t="shared" si="7"/>
        <v>2021</v>
      </c>
      <c r="D263" s="23">
        <f t="shared" si="8"/>
        <v>119</v>
      </c>
      <c r="E263" t="s">
        <v>6</v>
      </c>
      <c r="F263">
        <f>(SingleBerryDW!F263/SingleBerryFW!F263)*100</f>
        <v>15.291157419999998</v>
      </c>
    </row>
    <row r="264" spans="1:6" hidden="1" x14ac:dyDescent="0.25">
      <c r="A264" t="s">
        <v>7</v>
      </c>
      <c r="B264" s="2">
        <v>44321</v>
      </c>
      <c r="C264">
        <f t="shared" si="7"/>
        <v>2021</v>
      </c>
      <c r="D264" s="23">
        <f t="shared" si="8"/>
        <v>125</v>
      </c>
      <c r="E264" t="s">
        <v>6</v>
      </c>
      <c r="F264">
        <f>(SingleBerryDW!F264/SingleBerryFW!F264)*100</f>
        <v>16.521215380000001</v>
      </c>
    </row>
    <row r="265" spans="1:6" hidden="1" x14ac:dyDescent="0.25">
      <c r="A265" t="s">
        <v>7</v>
      </c>
      <c r="B265" s="2">
        <v>44335</v>
      </c>
      <c r="C265">
        <f t="shared" si="7"/>
        <v>2021</v>
      </c>
      <c r="D265" s="23">
        <f t="shared" si="8"/>
        <v>139</v>
      </c>
      <c r="E265" t="s">
        <v>6</v>
      </c>
      <c r="F265">
        <f>(SingleBerryDW!F265/SingleBerryFW!F265)*100</f>
        <v>16.493120660000002</v>
      </c>
    </row>
    <row r="266" spans="1:6" hidden="1" x14ac:dyDescent="0.25">
      <c r="A266" t="s">
        <v>7</v>
      </c>
      <c r="B266" s="2">
        <v>44348</v>
      </c>
      <c r="C266">
        <f t="shared" si="7"/>
        <v>2021</v>
      </c>
      <c r="D266" s="23">
        <f t="shared" si="8"/>
        <v>152</v>
      </c>
      <c r="E266" t="s">
        <v>6</v>
      </c>
      <c r="F266">
        <f>(SingleBerryDW!F266/SingleBerryFW!F266)*100</f>
        <v>17.19554462</v>
      </c>
    </row>
    <row r="267" spans="1:6" hidden="1" x14ac:dyDescent="0.25">
      <c r="A267" t="s">
        <v>7</v>
      </c>
      <c r="B267" s="2">
        <v>42386</v>
      </c>
      <c r="C267">
        <f t="shared" si="7"/>
        <v>2016</v>
      </c>
      <c r="D267" s="23">
        <f t="shared" si="8"/>
        <v>17</v>
      </c>
      <c r="E267" t="s">
        <v>6</v>
      </c>
      <c r="F267">
        <f>(SingleBerryDW!F267/SingleBerryFW!F267)*100</f>
        <v>7.2000000000000011</v>
      </c>
    </row>
    <row r="268" spans="1:6" hidden="1" x14ac:dyDescent="0.25">
      <c r="A268" t="s">
        <v>7</v>
      </c>
      <c r="B268" s="2">
        <v>42424</v>
      </c>
      <c r="C268">
        <f t="shared" si="7"/>
        <v>2016</v>
      </c>
      <c r="D268" s="23">
        <f t="shared" si="8"/>
        <v>55</v>
      </c>
      <c r="E268" t="s">
        <v>6</v>
      </c>
      <c r="F268">
        <f>(SingleBerryDW!F268/SingleBerryFW!F268)*100</f>
        <v>12.7</v>
      </c>
    </row>
    <row r="269" spans="1:6" hidden="1" x14ac:dyDescent="0.25">
      <c r="A269" t="s">
        <v>7</v>
      </c>
      <c r="B269" s="2">
        <v>42439</v>
      </c>
      <c r="C269">
        <f t="shared" si="7"/>
        <v>2016</v>
      </c>
      <c r="D269" s="23">
        <f t="shared" si="8"/>
        <v>70</v>
      </c>
      <c r="E269" t="s">
        <v>6</v>
      </c>
      <c r="F269">
        <f>(SingleBerryDW!F269/SingleBerryFW!F269)*100</f>
        <v>14.400000000000002</v>
      </c>
    </row>
    <row r="270" spans="1:6" hidden="1" x14ac:dyDescent="0.25">
      <c r="A270" t="s">
        <v>7</v>
      </c>
      <c r="B270" s="2">
        <v>42452</v>
      </c>
      <c r="C270">
        <f t="shared" si="7"/>
        <v>2016</v>
      </c>
      <c r="D270" s="23">
        <f t="shared" si="8"/>
        <v>83</v>
      </c>
      <c r="E270" t="s">
        <v>6</v>
      </c>
      <c r="F270">
        <f>(SingleBerryDW!F270/SingleBerryFW!F270)*100</f>
        <v>15.4</v>
      </c>
    </row>
    <row r="271" spans="1:6" hidden="1" x14ac:dyDescent="0.25">
      <c r="A271" t="s">
        <v>7</v>
      </c>
      <c r="B271" s="2">
        <v>42467</v>
      </c>
      <c r="C271">
        <f t="shared" si="7"/>
        <v>2016</v>
      </c>
      <c r="D271" s="23">
        <f t="shared" si="8"/>
        <v>98</v>
      </c>
      <c r="E271" t="s">
        <v>6</v>
      </c>
      <c r="F271">
        <f>(SingleBerryDW!F271/SingleBerryFW!F271)*100</f>
        <v>16</v>
      </c>
    </row>
    <row r="272" spans="1:6" hidden="1" x14ac:dyDescent="0.25">
      <c r="A272" t="s">
        <v>7</v>
      </c>
      <c r="B272" s="2">
        <v>42474</v>
      </c>
      <c r="C272">
        <f t="shared" si="7"/>
        <v>2016</v>
      </c>
      <c r="D272" s="23">
        <f t="shared" si="8"/>
        <v>105</v>
      </c>
      <c r="E272" t="s">
        <v>6</v>
      </c>
      <c r="F272">
        <f>(SingleBerryDW!F272/SingleBerryFW!F272)*100</f>
        <v>16</v>
      </c>
    </row>
    <row r="273" spans="1:6" hidden="1" x14ac:dyDescent="0.25">
      <c r="A273" t="s">
        <v>7</v>
      </c>
      <c r="B273" s="2">
        <v>42482</v>
      </c>
      <c r="C273">
        <f t="shared" si="7"/>
        <v>2016</v>
      </c>
      <c r="D273" s="23">
        <f t="shared" si="8"/>
        <v>113</v>
      </c>
      <c r="E273" t="s">
        <v>6</v>
      </c>
      <c r="F273">
        <f>(SingleBerryDW!F273/SingleBerryFW!F273)*100</f>
        <v>16.5</v>
      </c>
    </row>
    <row r="274" spans="1:6" hidden="1" x14ac:dyDescent="0.25">
      <c r="A274" t="s">
        <v>7</v>
      </c>
      <c r="B274" s="2">
        <v>42489</v>
      </c>
      <c r="C274">
        <f t="shared" si="7"/>
        <v>2016</v>
      </c>
      <c r="D274" s="23">
        <f t="shared" si="8"/>
        <v>120</v>
      </c>
      <c r="E274" t="s">
        <v>6</v>
      </c>
      <c r="F274">
        <f>(SingleBerryDW!F274/SingleBerryFW!F274)*100</f>
        <v>16.600000000000001</v>
      </c>
    </row>
    <row r="275" spans="1:6" hidden="1" x14ac:dyDescent="0.25">
      <c r="A275" t="s">
        <v>7</v>
      </c>
      <c r="B275" s="2">
        <v>42496</v>
      </c>
      <c r="C275">
        <f t="shared" si="7"/>
        <v>2016</v>
      </c>
      <c r="D275" s="23">
        <f t="shared" si="8"/>
        <v>127</v>
      </c>
      <c r="E275" t="s">
        <v>6</v>
      </c>
      <c r="F275">
        <f>(SingleBerryDW!F275/SingleBerryFW!F275)*100</f>
        <v>16.8</v>
      </c>
    </row>
    <row r="276" spans="1:6" hidden="1" x14ac:dyDescent="0.25">
      <c r="A276" t="s">
        <v>7</v>
      </c>
      <c r="B276" s="2">
        <v>42510</v>
      </c>
      <c r="C276">
        <f t="shared" si="7"/>
        <v>2016</v>
      </c>
      <c r="D276" s="23">
        <f t="shared" si="8"/>
        <v>141</v>
      </c>
      <c r="E276" t="s">
        <v>6</v>
      </c>
      <c r="F276">
        <f>(SingleBerryDW!F276/SingleBerryFW!F276)*100</f>
        <v>17.700000000000003</v>
      </c>
    </row>
    <row r="277" spans="1:6" hidden="1" x14ac:dyDescent="0.25">
      <c r="A277" t="s">
        <v>7</v>
      </c>
      <c r="B277" s="2">
        <v>42523</v>
      </c>
      <c r="C277">
        <f t="shared" si="7"/>
        <v>2016</v>
      </c>
      <c r="D277" s="23">
        <f t="shared" si="8"/>
        <v>154</v>
      </c>
      <c r="E277" t="s">
        <v>6</v>
      </c>
      <c r="F277">
        <f>(SingleBerryDW!F277/SingleBerryFW!F277)*100</f>
        <v>17.899999999999995</v>
      </c>
    </row>
    <row r="278" spans="1:6" hidden="1" x14ac:dyDescent="0.25">
      <c r="A278" t="s">
        <v>7</v>
      </c>
      <c r="B278" s="2">
        <v>42535</v>
      </c>
      <c r="C278">
        <f t="shared" si="7"/>
        <v>2016</v>
      </c>
      <c r="D278" s="23">
        <f t="shared" si="8"/>
        <v>166</v>
      </c>
      <c r="E278" t="s">
        <v>6</v>
      </c>
      <c r="F278">
        <f>(SingleBerryDW!F278/SingleBerryFW!F278)*100</f>
        <v>17.899999999999999</v>
      </c>
    </row>
    <row r="279" spans="1:6" hidden="1" x14ac:dyDescent="0.25">
      <c r="A279" t="s">
        <v>7</v>
      </c>
      <c r="B279" s="2">
        <v>42753</v>
      </c>
      <c r="C279">
        <f t="shared" si="7"/>
        <v>2017</v>
      </c>
      <c r="D279" s="23">
        <f t="shared" si="8"/>
        <v>18</v>
      </c>
      <c r="E279" t="s">
        <v>6</v>
      </c>
      <c r="F279">
        <f>(SingleBerryDW!F279/SingleBerryFW!F279)*100</f>
        <v>8</v>
      </c>
    </row>
    <row r="280" spans="1:6" hidden="1" x14ac:dyDescent="0.25">
      <c r="A280" t="s">
        <v>7</v>
      </c>
      <c r="B280" s="2">
        <v>42789</v>
      </c>
      <c r="C280">
        <f t="shared" si="7"/>
        <v>2017</v>
      </c>
      <c r="D280" s="23">
        <f t="shared" si="8"/>
        <v>54</v>
      </c>
      <c r="E280" t="s">
        <v>6</v>
      </c>
      <c r="F280">
        <f>(SingleBerryDW!F280/SingleBerryFW!F280)*100</f>
        <v>12.4</v>
      </c>
    </row>
    <row r="281" spans="1:6" hidden="1" x14ac:dyDescent="0.25">
      <c r="A281" t="s">
        <v>7</v>
      </c>
      <c r="B281" s="2">
        <v>42804</v>
      </c>
      <c r="C281">
        <f t="shared" si="7"/>
        <v>2017</v>
      </c>
      <c r="D281" s="23">
        <f t="shared" si="8"/>
        <v>69</v>
      </c>
      <c r="E281" t="s">
        <v>6</v>
      </c>
      <c r="F281">
        <f>(SingleBerryDW!F281/SingleBerryFW!F281)*100</f>
        <v>14.6</v>
      </c>
    </row>
    <row r="282" spans="1:6" hidden="1" x14ac:dyDescent="0.25">
      <c r="A282" t="s">
        <v>7</v>
      </c>
      <c r="B282" s="2">
        <v>42817</v>
      </c>
      <c r="C282">
        <f t="shared" si="7"/>
        <v>2017</v>
      </c>
      <c r="D282" s="23">
        <f t="shared" si="8"/>
        <v>82</v>
      </c>
      <c r="E282" t="s">
        <v>6</v>
      </c>
      <c r="F282">
        <f>(SingleBerryDW!F282/SingleBerryFW!F282)*100</f>
        <v>15.5</v>
      </c>
    </row>
    <row r="283" spans="1:6" hidden="1" x14ac:dyDescent="0.25">
      <c r="A283" t="s">
        <v>7</v>
      </c>
      <c r="B283" s="2">
        <v>42832</v>
      </c>
      <c r="C283">
        <f t="shared" si="7"/>
        <v>2017</v>
      </c>
      <c r="D283" s="23">
        <f t="shared" si="8"/>
        <v>97</v>
      </c>
      <c r="E283" t="s">
        <v>6</v>
      </c>
      <c r="F283">
        <f>(SingleBerryDW!F283/SingleBerryFW!F283)*100</f>
        <v>15.9</v>
      </c>
    </row>
    <row r="284" spans="1:6" hidden="1" x14ac:dyDescent="0.25">
      <c r="A284" t="s">
        <v>7</v>
      </c>
      <c r="B284" s="2">
        <v>42838</v>
      </c>
      <c r="C284">
        <f t="shared" si="7"/>
        <v>2017</v>
      </c>
      <c r="D284" s="23">
        <f t="shared" si="8"/>
        <v>103</v>
      </c>
      <c r="E284" t="s">
        <v>6</v>
      </c>
      <c r="F284">
        <f>(SingleBerryDW!F284/SingleBerryFW!F284)*100</f>
        <v>16</v>
      </c>
    </row>
    <row r="285" spans="1:6" hidden="1" x14ac:dyDescent="0.25">
      <c r="A285" t="s">
        <v>7</v>
      </c>
      <c r="B285" s="2">
        <v>42845</v>
      </c>
      <c r="C285">
        <f t="shared" si="7"/>
        <v>2017</v>
      </c>
      <c r="D285" s="23">
        <f t="shared" si="8"/>
        <v>110</v>
      </c>
      <c r="E285" t="s">
        <v>6</v>
      </c>
      <c r="F285">
        <f>(SingleBerryDW!F285/SingleBerryFW!F285)*100</f>
        <v>16.7</v>
      </c>
    </row>
    <row r="286" spans="1:6" hidden="1" x14ac:dyDescent="0.25">
      <c r="A286" t="s">
        <v>7</v>
      </c>
      <c r="B286" s="2">
        <v>42853</v>
      </c>
      <c r="C286">
        <f t="shared" si="7"/>
        <v>2017</v>
      </c>
      <c r="D286" s="23">
        <f t="shared" si="8"/>
        <v>118</v>
      </c>
      <c r="E286" t="s">
        <v>6</v>
      </c>
      <c r="F286">
        <f>(SingleBerryDW!F286/SingleBerryFW!F286)*100</f>
        <v>16.900000000000002</v>
      </c>
    </row>
    <row r="287" spans="1:6" hidden="1" x14ac:dyDescent="0.25">
      <c r="A287" t="s">
        <v>7</v>
      </c>
      <c r="B287" s="2">
        <v>42859</v>
      </c>
      <c r="C287">
        <f t="shared" si="7"/>
        <v>2017</v>
      </c>
      <c r="D287" s="23">
        <f t="shared" si="8"/>
        <v>124</v>
      </c>
      <c r="E287" t="s">
        <v>6</v>
      </c>
      <c r="F287">
        <f>(SingleBerryDW!F287/SingleBerryFW!F287)*100</f>
        <v>17</v>
      </c>
    </row>
    <row r="288" spans="1:6" hidden="1" x14ac:dyDescent="0.25">
      <c r="A288" t="s">
        <v>7</v>
      </c>
      <c r="B288" s="2">
        <v>42873</v>
      </c>
      <c r="C288">
        <f t="shared" si="7"/>
        <v>2017</v>
      </c>
      <c r="D288" s="23">
        <f t="shared" si="8"/>
        <v>138</v>
      </c>
      <c r="E288" t="s">
        <v>6</v>
      </c>
      <c r="F288">
        <f>(SingleBerryDW!F288/SingleBerryFW!F288)*100</f>
        <v>17.7</v>
      </c>
    </row>
    <row r="289" spans="1:6" hidden="1" x14ac:dyDescent="0.25">
      <c r="A289" t="s">
        <v>7</v>
      </c>
      <c r="B289" s="2">
        <v>42887</v>
      </c>
      <c r="C289">
        <f t="shared" si="7"/>
        <v>2017</v>
      </c>
      <c r="D289" s="23">
        <f t="shared" si="8"/>
        <v>152</v>
      </c>
      <c r="E289" t="s">
        <v>6</v>
      </c>
      <c r="F289">
        <f>(SingleBerryDW!F289/SingleBerryFW!F289)*100</f>
        <v>17.7</v>
      </c>
    </row>
    <row r="290" spans="1:6" hidden="1" x14ac:dyDescent="0.25">
      <c r="A290" t="s">
        <v>7</v>
      </c>
      <c r="B290" s="2">
        <v>42894</v>
      </c>
      <c r="C290">
        <f t="shared" si="7"/>
        <v>2017</v>
      </c>
      <c r="D290" s="23">
        <f t="shared" si="8"/>
        <v>159</v>
      </c>
      <c r="E290" t="s">
        <v>6</v>
      </c>
      <c r="F290">
        <f>(SingleBerryDW!F290/SingleBerryFW!F290)*100</f>
        <v>18.100000000000001</v>
      </c>
    </row>
    <row r="291" spans="1:6" hidden="1" x14ac:dyDescent="0.25">
      <c r="A291" t="s">
        <v>7</v>
      </c>
      <c r="B291" s="2">
        <v>42908</v>
      </c>
      <c r="C291">
        <f t="shared" si="7"/>
        <v>2017</v>
      </c>
      <c r="D291" s="23">
        <f t="shared" si="8"/>
        <v>173</v>
      </c>
      <c r="E291" t="s">
        <v>6</v>
      </c>
      <c r="F291">
        <f>(SingleBerryDW!F291/SingleBerryFW!F291)*100</f>
        <v>17.899999999999999</v>
      </c>
    </row>
    <row r="292" spans="1:6" hidden="1" x14ac:dyDescent="0.25">
      <c r="A292" t="s">
        <v>7</v>
      </c>
      <c r="B292" s="2">
        <v>43116</v>
      </c>
      <c r="C292">
        <f t="shared" si="7"/>
        <v>2018</v>
      </c>
      <c r="D292" s="23">
        <f t="shared" si="8"/>
        <v>16</v>
      </c>
      <c r="E292" t="s">
        <v>6</v>
      </c>
      <c r="F292">
        <f>(SingleBerryDW!F292/SingleBerryFW!F292)*100</f>
        <v>7.1</v>
      </c>
    </row>
    <row r="293" spans="1:6" hidden="1" x14ac:dyDescent="0.25">
      <c r="A293" t="s">
        <v>7</v>
      </c>
      <c r="B293" s="2">
        <v>43151</v>
      </c>
      <c r="C293">
        <f t="shared" si="7"/>
        <v>2018</v>
      </c>
      <c r="D293" s="23">
        <f t="shared" si="8"/>
        <v>51</v>
      </c>
      <c r="E293" t="s">
        <v>6</v>
      </c>
      <c r="F293">
        <f>(SingleBerryDW!F293/SingleBerryFW!F293)*100</f>
        <v>11.300000000000002</v>
      </c>
    </row>
    <row r="294" spans="1:6" hidden="1" x14ac:dyDescent="0.25">
      <c r="A294" t="s">
        <v>7</v>
      </c>
      <c r="B294" s="2">
        <v>43165</v>
      </c>
      <c r="C294">
        <f t="shared" si="7"/>
        <v>2018</v>
      </c>
      <c r="D294" s="23">
        <f t="shared" si="8"/>
        <v>65</v>
      </c>
      <c r="E294" t="s">
        <v>6</v>
      </c>
      <c r="F294">
        <f>(SingleBerryDW!F294/SingleBerryFW!F294)*100</f>
        <v>13.699999999999998</v>
      </c>
    </row>
    <row r="295" spans="1:6" hidden="1" x14ac:dyDescent="0.25">
      <c r="A295" t="s">
        <v>7</v>
      </c>
      <c r="B295" s="2">
        <v>43179</v>
      </c>
      <c r="C295">
        <f t="shared" si="7"/>
        <v>2018</v>
      </c>
      <c r="D295" s="23">
        <f t="shared" si="8"/>
        <v>79</v>
      </c>
      <c r="E295" t="s">
        <v>6</v>
      </c>
      <c r="F295">
        <f>(SingleBerryDW!F295/SingleBerryFW!F295)*100</f>
        <v>15.300000000000002</v>
      </c>
    </row>
    <row r="296" spans="1:6" hidden="1" x14ac:dyDescent="0.25">
      <c r="A296" t="s">
        <v>7</v>
      </c>
      <c r="B296" s="2">
        <v>43194</v>
      </c>
      <c r="C296">
        <f t="shared" si="7"/>
        <v>2018</v>
      </c>
      <c r="D296" s="23">
        <f t="shared" si="8"/>
        <v>94</v>
      </c>
      <c r="E296" t="s">
        <v>6</v>
      </c>
      <c r="F296">
        <f>(SingleBerryDW!F296/SingleBerryFW!F296)*100</f>
        <v>15.9</v>
      </c>
    </row>
    <row r="297" spans="1:6" hidden="1" x14ac:dyDescent="0.25">
      <c r="A297" t="s">
        <v>7</v>
      </c>
      <c r="B297" s="2">
        <v>43201</v>
      </c>
      <c r="C297">
        <f t="shared" si="7"/>
        <v>2018</v>
      </c>
      <c r="D297" s="23">
        <f t="shared" si="8"/>
        <v>101</v>
      </c>
      <c r="E297" t="s">
        <v>6</v>
      </c>
      <c r="F297">
        <f>(SingleBerryDW!F297/SingleBerryFW!F297)*100</f>
        <v>16.2</v>
      </c>
    </row>
    <row r="298" spans="1:6" hidden="1" x14ac:dyDescent="0.25">
      <c r="A298" t="s">
        <v>7</v>
      </c>
      <c r="B298" s="2">
        <v>43209</v>
      </c>
      <c r="C298">
        <f t="shared" si="7"/>
        <v>2018</v>
      </c>
      <c r="D298" s="23">
        <f t="shared" si="8"/>
        <v>109</v>
      </c>
      <c r="E298" t="s">
        <v>6</v>
      </c>
      <c r="F298">
        <f>(SingleBerryDW!F298/SingleBerryFW!F298)*100</f>
        <v>16.3</v>
      </c>
    </row>
    <row r="299" spans="1:6" hidden="1" x14ac:dyDescent="0.25">
      <c r="A299" t="s">
        <v>7</v>
      </c>
      <c r="B299" s="2">
        <v>43215</v>
      </c>
      <c r="C299">
        <f t="shared" si="7"/>
        <v>2018</v>
      </c>
      <c r="D299" s="23">
        <f t="shared" si="8"/>
        <v>115</v>
      </c>
      <c r="E299" t="s">
        <v>6</v>
      </c>
      <c r="F299">
        <f>(SingleBerryDW!F299/SingleBerryFW!F299)*100</f>
        <v>16.800000000000004</v>
      </c>
    </row>
    <row r="300" spans="1:6" hidden="1" x14ac:dyDescent="0.25">
      <c r="A300" t="s">
        <v>7</v>
      </c>
      <c r="B300" s="2">
        <v>43221</v>
      </c>
      <c r="C300">
        <f t="shared" si="7"/>
        <v>2018</v>
      </c>
      <c r="D300" s="23">
        <f t="shared" si="8"/>
        <v>121</v>
      </c>
      <c r="E300" t="s">
        <v>6</v>
      </c>
      <c r="F300">
        <f>(SingleBerryDW!F300/SingleBerryFW!F300)*100</f>
        <v>17</v>
      </c>
    </row>
    <row r="301" spans="1:6" hidden="1" x14ac:dyDescent="0.25">
      <c r="A301" t="s">
        <v>7</v>
      </c>
      <c r="B301" s="2">
        <v>43235</v>
      </c>
      <c r="C301">
        <f t="shared" si="7"/>
        <v>2018</v>
      </c>
      <c r="D301" s="23">
        <f t="shared" si="8"/>
        <v>135</v>
      </c>
      <c r="E301" t="s">
        <v>6</v>
      </c>
      <c r="F301">
        <f>(SingleBerryDW!F301/SingleBerryFW!F301)*100</f>
        <v>17.3</v>
      </c>
    </row>
    <row r="302" spans="1:6" hidden="1" x14ac:dyDescent="0.25">
      <c r="A302" t="s">
        <v>7</v>
      </c>
      <c r="B302" s="2">
        <v>43249</v>
      </c>
      <c r="C302">
        <f t="shared" si="7"/>
        <v>2018</v>
      </c>
      <c r="D302" s="23">
        <f t="shared" si="8"/>
        <v>149</v>
      </c>
      <c r="E302" t="s">
        <v>6</v>
      </c>
      <c r="F302">
        <f>(SingleBerryDW!F302/SingleBerryFW!F302)*100</f>
        <v>17.599999999999998</v>
      </c>
    </row>
    <row r="303" spans="1:6" hidden="1" x14ac:dyDescent="0.25">
      <c r="A303" t="s">
        <v>7</v>
      </c>
      <c r="B303" s="2">
        <v>43479</v>
      </c>
      <c r="C303">
        <f t="shared" si="7"/>
        <v>2019</v>
      </c>
      <c r="D303" s="23">
        <f t="shared" si="8"/>
        <v>14</v>
      </c>
      <c r="E303" t="s">
        <v>6</v>
      </c>
      <c r="F303">
        <f>(SingleBerryDW!F303/SingleBerryFW!F303)*100</f>
        <v>7.3</v>
      </c>
    </row>
    <row r="304" spans="1:6" hidden="1" x14ac:dyDescent="0.25">
      <c r="A304" t="s">
        <v>7</v>
      </c>
      <c r="B304" s="2">
        <v>43515</v>
      </c>
      <c r="C304">
        <f t="shared" si="7"/>
        <v>2019</v>
      </c>
      <c r="D304" s="23">
        <f t="shared" si="8"/>
        <v>50</v>
      </c>
      <c r="E304" t="s">
        <v>6</v>
      </c>
      <c r="F304">
        <f>(SingleBerryDW!F304/SingleBerryFW!F304)*100</f>
        <v>12.9</v>
      </c>
    </row>
    <row r="305" spans="1:6" hidden="1" x14ac:dyDescent="0.25">
      <c r="A305" t="s">
        <v>7</v>
      </c>
      <c r="B305" s="2">
        <v>43529</v>
      </c>
      <c r="C305">
        <f t="shared" si="7"/>
        <v>2019</v>
      </c>
      <c r="D305" s="23">
        <f t="shared" si="8"/>
        <v>64</v>
      </c>
      <c r="E305" t="s">
        <v>6</v>
      </c>
      <c r="F305">
        <f>(SingleBerryDW!F305/SingleBerryFW!F305)*100</f>
        <v>14.6</v>
      </c>
    </row>
    <row r="306" spans="1:6" hidden="1" x14ac:dyDescent="0.25">
      <c r="A306" t="s">
        <v>7</v>
      </c>
      <c r="B306" s="2">
        <v>43543</v>
      </c>
      <c r="C306">
        <f t="shared" si="7"/>
        <v>2019</v>
      </c>
      <c r="D306" s="23">
        <f t="shared" si="8"/>
        <v>78</v>
      </c>
      <c r="E306" t="s">
        <v>6</v>
      </c>
      <c r="F306">
        <f>(SingleBerryDW!F306/SingleBerryFW!F306)*100</f>
        <v>16.100000000000001</v>
      </c>
    </row>
    <row r="307" spans="1:6" hidden="1" x14ac:dyDescent="0.25">
      <c r="A307" t="s">
        <v>7</v>
      </c>
      <c r="B307" s="2">
        <v>43557</v>
      </c>
      <c r="C307">
        <f t="shared" si="7"/>
        <v>2019</v>
      </c>
      <c r="D307" s="23">
        <f t="shared" si="8"/>
        <v>92</v>
      </c>
      <c r="E307" t="s">
        <v>6</v>
      </c>
      <c r="F307">
        <f>(SingleBerryDW!F307/SingleBerryFW!F307)*100</f>
        <v>16.5</v>
      </c>
    </row>
    <row r="308" spans="1:6" hidden="1" x14ac:dyDescent="0.25">
      <c r="A308" t="s">
        <v>7</v>
      </c>
      <c r="B308" s="2">
        <v>43564</v>
      </c>
      <c r="C308">
        <f t="shared" si="7"/>
        <v>2019</v>
      </c>
      <c r="D308" s="23">
        <f t="shared" si="8"/>
        <v>99</v>
      </c>
      <c r="E308" t="s">
        <v>6</v>
      </c>
      <c r="F308">
        <f>(SingleBerryDW!F308/SingleBerryFW!F308)*100</f>
        <v>16.899999999999999</v>
      </c>
    </row>
    <row r="309" spans="1:6" hidden="1" x14ac:dyDescent="0.25">
      <c r="A309" t="s">
        <v>7</v>
      </c>
      <c r="B309" s="2">
        <v>43570</v>
      </c>
      <c r="C309">
        <f t="shared" si="7"/>
        <v>2019</v>
      </c>
      <c r="D309" s="23">
        <f t="shared" si="8"/>
        <v>105</v>
      </c>
      <c r="E309" t="s">
        <v>6</v>
      </c>
      <c r="F309">
        <f>(SingleBerryDW!F309/SingleBerryFW!F309)*100</f>
        <v>17</v>
      </c>
    </row>
    <row r="310" spans="1:6" hidden="1" x14ac:dyDescent="0.25">
      <c r="A310" t="s">
        <v>7</v>
      </c>
      <c r="B310" s="2">
        <v>43577</v>
      </c>
      <c r="C310">
        <f t="shared" si="7"/>
        <v>2019</v>
      </c>
      <c r="D310" s="23">
        <f t="shared" si="8"/>
        <v>112</v>
      </c>
      <c r="E310" t="s">
        <v>6</v>
      </c>
      <c r="F310">
        <f>(SingleBerryDW!F310/SingleBerryFW!F310)*100</f>
        <v>17.299999999999997</v>
      </c>
    </row>
    <row r="311" spans="1:6" hidden="1" x14ac:dyDescent="0.25">
      <c r="A311" t="s">
        <v>7</v>
      </c>
      <c r="B311" s="2">
        <v>43584</v>
      </c>
      <c r="C311">
        <f t="shared" si="7"/>
        <v>2019</v>
      </c>
      <c r="D311" s="23">
        <f t="shared" si="8"/>
        <v>119</v>
      </c>
      <c r="E311" t="s">
        <v>6</v>
      </c>
      <c r="F311">
        <f>(SingleBerryDW!F311/SingleBerryFW!F311)*100</f>
        <v>17.5</v>
      </c>
    </row>
    <row r="312" spans="1:6" hidden="1" x14ac:dyDescent="0.25">
      <c r="A312" t="s">
        <v>7</v>
      </c>
      <c r="B312" s="2">
        <v>43613</v>
      </c>
      <c r="C312">
        <f t="shared" si="7"/>
        <v>2019</v>
      </c>
      <c r="D312" s="23">
        <f t="shared" si="8"/>
        <v>148</v>
      </c>
      <c r="E312" t="s">
        <v>6</v>
      </c>
      <c r="F312">
        <f>(SingleBerryDW!F312/SingleBerryFW!F312)*100</f>
        <v>18.3</v>
      </c>
    </row>
    <row r="313" spans="1:6" hidden="1" x14ac:dyDescent="0.25">
      <c r="A313" t="s">
        <v>7</v>
      </c>
      <c r="B313" s="2">
        <v>43851</v>
      </c>
      <c r="C313">
        <f t="shared" si="7"/>
        <v>2020</v>
      </c>
      <c r="D313" s="23">
        <f t="shared" si="8"/>
        <v>21</v>
      </c>
      <c r="E313" t="s">
        <v>6</v>
      </c>
      <c r="F313">
        <f>(SingleBerryDW!F313/SingleBerryFW!F313)*100</f>
        <v>8.6999999999999993</v>
      </c>
    </row>
    <row r="314" spans="1:6" hidden="1" x14ac:dyDescent="0.25">
      <c r="A314" t="s">
        <v>7</v>
      </c>
      <c r="B314" s="2">
        <v>43880</v>
      </c>
      <c r="C314">
        <f t="shared" si="7"/>
        <v>2020</v>
      </c>
      <c r="D314" s="23">
        <f t="shared" si="8"/>
        <v>50</v>
      </c>
      <c r="E314" t="s">
        <v>6</v>
      </c>
      <c r="F314">
        <f>(SingleBerryDW!F314/SingleBerryFW!F314)*100</f>
        <v>13.4</v>
      </c>
    </row>
    <row r="315" spans="1:6" hidden="1" x14ac:dyDescent="0.25">
      <c r="A315" t="s">
        <v>7</v>
      </c>
      <c r="B315" s="2">
        <v>43894</v>
      </c>
      <c r="C315">
        <f t="shared" si="7"/>
        <v>2020</v>
      </c>
      <c r="D315" s="23">
        <f t="shared" si="8"/>
        <v>64</v>
      </c>
      <c r="E315" t="s">
        <v>6</v>
      </c>
      <c r="F315">
        <f>(SingleBerryDW!F315/SingleBerryFW!F315)*100</f>
        <v>14.899999999999999</v>
      </c>
    </row>
    <row r="316" spans="1:6" hidden="1" x14ac:dyDescent="0.25">
      <c r="A316" t="s">
        <v>7</v>
      </c>
      <c r="B316" s="2">
        <v>43907</v>
      </c>
      <c r="C316">
        <f t="shared" ref="C316:C379" si="9">YEAR(B316)</f>
        <v>2020</v>
      </c>
      <c r="D316" s="23">
        <f t="shared" si="8"/>
        <v>77</v>
      </c>
      <c r="E316" t="s">
        <v>6</v>
      </c>
      <c r="F316">
        <f>(SingleBerryDW!F316/SingleBerryFW!F316)*100</f>
        <v>16.5</v>
      </c>
    </row>
    <row r="317" spans="1:6" hidden="1" x14ac:dyDescent="0.25">
      <c r="A317" t="s">
        <v>7</v>
      </c>
      <c r="B317" s="2">
        <v>43951</v>
      </c>
      <c r="C317">
        <f t="shared" si="9"/>
        <v>2020</v>
      </c>
      <c r="D317" s="23">
        <f t="shared" si="8"/>
        <v>121</v>
      </c>
      <c r="E317" t="s">
        <v>6</v>
      </c>
      <c r="F317">
        <f>(SingleBerryDW!F317/SingleBerryFW!F317)*100</f>
        <v>18.800000000000004</v>
      </c>
    </row>
    <row r="318" spans="1:6" hidden="1" x14ac:dyDescent="0.25">
      <c r="A318" t="s">
        <v>7</v>
      </c>
      <c r="B318" s="2">
        <v>43963</v>
      </c>
      <c r="C318">
        <f t="shared" si="9"/>
        <v>2020</v>
      </c>
      <c r="D318" s="23">
        <f t="shared" si="8"/>
        <v>133</v>
      </c>
      <c r="E318" t="s">
        <v>6</v>
      </c>
      <c r="F318">
        <f>(SingleBerryDW!F318/SingleBerryFW!F318)*100</f>
        <v>18.899999999999999</v>
      </c>
    </row>
    <row r="319" spans="1:6" hidden="1" x14ac:dyDescent="0.25">
      <c r="A319" t="s">
        <v>7</v>
      </c>
      <c r="B319" s="2">
        <v>43979</v>
      </c>
      <c r="C319">
        <f t="shared" si="9"/>
        <v>2020</v>
      </c>
      <c r="D319" s="23">
        <f t="shared" si="8"/>
        <v>149</v>
      </c>
      <c r="E319" t="s">
        <v>6</v>
      </c>
      <c r="F319">
        <f>(SingleBerryDW!F319/SingleBerryFW!F319)*100</f>
        <v>19.5</v>
      </c>
    </row>
    <row r="320" spans="1:6" hidden="1" x14ac:dyDescent="0.25">
      <c r="A320" t="s">
        <v>7</v>
      </c>
      <c r="B320" s="2">
        <v>44223</v>
      </c>
      <c r="C320">
        <f t="shared" si="9"/>
        <v>2021</v>
      </c>
      <c r="D320" s="23">
        <f t="shared" si="8"/>
        <v>27</v>
      </c>
      <c r="E320" t="s">
        <v>6</v>
      </c>
      <c r="F320">
        <f>(SingleBerryDW!F320/SingleBerryFW!F320)*100</f>
        <v>10.179676189999999</v>
      </c>
    </row>
    <row r="321" spans="1:6" hidden="1" x14ac:dyDescent="0.25">
      <c r="A321" t="s">
        <v>7</v>
      </c>
      <c r="B321" s="2">
        <v>44258</v>
      </c>
      <c r="C321">
        <f t="shared" si="9"/>
        <v>2021</v>
      </c>
      <c r="D321" s="23">
        <f t="shared" si="8"/>
        <v>62</v>
      </c>
      <c r="E321" t="s">
        <v>6</v>
      </c>
      <c r="F321">
        <f>(SingleBerryDW!F321/SingleBerryFW!F321)*100</f>
        <v>15.628000080000001</v>
      </c>
    </row>
    <row r="322" spans="1:6" hidden="1" x14ac:dyDescent="0.25">
      <c r="A322" t="s">
        <v>7</v>
      </c>
      <c r="B322" s="2">
        <v>44272</v>
      </c>
      <c r="C322">
        <f t="shared" si="9"/>
        <v>2021</v>
      </c>
      <c r="D322" s="23">
        <f t="shared" si="8"/>
        <v>76</v>
      </c>
      <c r="E322" t="s">
        <v>6</v>
      </c>
      <c r="F322">
        <f>(SingleBerryDW!F322/SingleBerryFW!F322)*100</f>
        <v>16.63794643</v>
      </c>
    </row>
    <row r="323" spans="1:6" hidden="1" x14ac:dyDescent="0.25">
      <c r="A323" t="s">
        <v>7</v>
      </c>
      <c r="B323" s="2">
        <v>44286</v>
      </c>
      <c r="C323">
        <f t="shared" si="9"/>
        <v>2021</v>
      </c>
      <c r="D323" s="23">
        <f t="shared" si="8"/>
        <v>90</v>
      </c>
      <c r="E323" t="s">
        <v>6</v>
      </c>
      <c r="F323">
        <f>(SingleBerryDW!F323/SingleBerryFW!F323)*100</f>
        <v>17.359527880000002</v>
      </c>
    </row>
    <row r="324" spans="1:6" hidden="1" x14ac:dyDescent="0.25">
      <c r="A324" t="s">
        <v>7</v>
      </c>
      <c r="B324" s="2">
        <v>44300</v>
      </c>
      <c r="C324">
        <f t="shared" si="9"/>
        <v>2021</v>
      </c>
      <c r="D324" s="23">
        <f t="shared" ref="D324:D387" si="10">B324-DATE(YEAR(B324),1,0)</f>
        <v>104</v>
      </c>
      <c r="E324" t="s">
        <v>6</v>
      </c>
      <c r="F324">
        <f>(SingleBerryDW!F324/SingleBerryFW!F324)*100</f>
        <v>17.60640596</v>
      </c>
    </row>
    <row r="325" spans="1:6" hidden="1" x14ac:dyDescent="0.25">
      <c r="A325" t="s">
        <v>7</v>
      </c>
      <c r="B325" s="2">
        <v>44307</v>
      </c>
      <c r="C325">
        <f t="shared" si="9"/>
        <v>2021</v>
      </c>
      <c r="D325" s="23">
        <f t="shared" si="10"/>
        <v>111</v>
      </c>
      <c r="E325" t="s">
        <v>6</v>
      </c>
      <c r="F325">
        <f>(SingleBerryDW!F325/SingleBerryFW!F325)*100</f>
        <v>17.904109959999996</v>
      </c>
    </row>
    <row r="326" spans="1:6" hidden="1" x14ac:dyDescent="0.25">
      <c r="A326" t="s">
        <v>7</v>
      </c>
      <c r="B326" s="2">
        <v>44315</v>
      </c>
      <c r="C326">
        <f t="shared" si="9"/>
        <v>2021</v>
      </c>
      <c r="D326" s="23">
        <f t="shared" si="10"/>
        <v>119</v>
      </c>
      <c r="E326" t="s">
        <v>6</v>
      </c>
      <c r="F326">
        <f>(SingleBerryDW!F326/SingleBerryFW!F326)*100</f>
        <v>18.175619019999996</v>
      </c>
    </row>
    <row r="327" spans="1:6" hidden="1" x14ac:dyDescent="0.25">
      <c r="A327" t="s">
        <v>7</v>
      </c>
      <c r="B327" s="2">
        <v>44321</v>
      </c>
      <c r="C327">
        <f t="shared" si="9"/>
        <v>2021</v>
      </c>
      <c r="D327" s="23">
        <f t="shared" si="10"/>
        <v>125</v>
      </c>
      <c r="E327" t="s">
        <v>6</v>
      </c>
      <c r="F327">
        <f>(SingleBerryDW!F327/SingleBerryFW!F327)*100</f>
        <v>18.282530170000001</v>
      </c>
    </row>
    <row r="328" spans="1:6" hidden="1" x14ac:dyDescent="0.25">
      <c r="A328" t="s">
        <v>7</v>
      </c>
      <c r="B328" s="2">
        <v>44335</v>
      </c>
      <c r="C328">
        <f t="shared" si="9"/>
        <v>2021</v>
      </c>
      <c r="D328" s="23">
        <f t="shared" si="10"/>
        <v>139</v>
      </c>
      <c r="E328" t="s">
        <v>6</v>
      </c>
      <c r="F328">
        <f>(SingleBerryDW!F328/SingleBerryFW!F328)*100</f>
        <v>18.609304609999999</v>
      </c>
    </row>
    <row r="329" spans="1:6" hidden="1" x14ac:dyDescent="0.25">
      <c r="A329" t="s">
        <v>7</v>
      </c>
      <c r="B329" s="2">
        <v>44348</v>
      </c>
      <c r="C329">
        <f t="shared" si="9"/>
        <v>2021</v>
      </c>
      <c r="D329" s="23">
        <f t="shared" si="10"/>
        <v>152</v>
      </c>
      <c r="E329" t="s">
        <v>6</v>
      </c>
      <c r="F329">
        <f>(SingleBerryDW!F329/SingleBerryFW!F329)*100</f>
        <v>18.614446149999999</v>
      </c>
    </row>
    <row r="330" spans="1:6" hidden="1" x14ac:dyDescent="0.25">
      <c r="A330" t="s">
        <v>7</v>
      </c>
      <c r="B330" s="2">
        <v>42386</v>
      </c>
      <c r="C330">
        <f t="shared" si="9"/>
        <v>2016</v>
      </c>
      <c r="D330" s="23">
        <f t="shared" si="10"/>
        <v>17</v>
      </c>
      <c r="E330" t="s">
        <v>6</v>
      </c>
      <c r="F330">
        <f>(SingleBerryDW!F330/SingleBerryFW!F330)*100</f>
        <v>7.7</v>
      </c>
    </row>
    <row r="331" spans="1:6" hidden="1" x14ac:dyDescent="0.25">
      <c r="A331" t="s">
        <v>7</v>
      </c>
      <c r="B331" s="2">
        <v>42386</v>
      </c>
      <c r="C331">
        <f t="shared" si="9"/>
        <v>2016</v>
      </c>
      <c r="D331" s="23">
        <f t="shared" si="10"/>
        <v>17</v>
      </c>
      <c r="E331" t="s">
        <v>6</v>
      </c>
      <c r="F331">
        <f>(SingleBerryDW!F331/SingleBerryFW!F331)*100</f>
        <v>7.1999999999999993</v>
      </c>
    </row>
    <row r="332" spans="1:6" hidden="1" x14ac:dyDescent="0.25">
      <c r="A332" t="s">
        <v>7</v>
      </c>
      <c r="B332" s="2">
        <v>42386</v>
      </c>
      <c r="C332">
        <f t="shared" si="9"/>
        <v>2016</v>
      </c>
      <c r="D332" s="23">
        <f t="shared" si="10"/>
        <v>17</v>
      </c>
      <c r="E332" t="s">
        <v>6</v>
      </c>
      <c r="F332">
        <f>(SingleBerryDW!F332/SingleBerryFW!F332)*100</f>
        <v>7.3</v>
      </c>
    </row>
    <row r="333" spans="1:6" hidden="1" x14ac:dyDescent="0.25">
      <c r="A333" t="s">
        <v>7</v>
      </c>
      <c r="B333" s="2">
        <v>42389</v>
      </c>
      <c r="C333">
        <f t="shared" si="9"/>
        <v>2016</v>
      </c>
      <c r="D333" s="23">
        <f t="shared" si="10"/>
        <v>20</v>
      </c>
      <c r="E333" t="s">
        <v>6</v>
      </c>
      <c r="F333">
        <f>(SingleBerryDW!F333/SingleBerryFW!F333)*100</f>
        <v>7.8</v>
      </c>
    </row>
    <row r="334" spans="1:6" hidden="1" x14ac:dyDescent="0.25">
      <c r="A334" t="s">
        <v>7</v>
      </c>
      <c r="B334" s="2">
        <v>42424</v>
      </c>
      <c r="C334">
        <f t="shared" si="9"/>
        <v>2016</v>
      </c>
      <c r="D334" s="23">
        <f t="shared" si="10"/>
        <v>55</v>
      </c>
      <c r="E334" t="s">
        <v>6</v>
      </c>
      <c r="F334">
        <f>(SingleBerryDW!F334/SingleBerryFW!F334)*100</f>
        <v>13.3</v>
      </c>
    </row>
    <row r="335" spans="1:6" hidden="1" x14ac:dyDescent="0.25">
      <c r="A335" t="s">
        <v>7</v>
      </c>
      <c r="B335" s="2">
        <v>42424</v>
      </c>
      <c r="C335">
        <f t="shared" si="9"/>
        <v>2016</v>
      </c>
      <c r="D335" s="23">
        <f t="shared" si="10"/>
        <v>55</v>
      </c>
      <c r="E335" t="s">
        <v>6</v>
      </c>
      <c r="F335">
        <f>(SingleBerryDW!F335/SingleBerryFW!F335)*100</f>
        <v>12.7</v>
      </c>
    </row>
    <row r="336" spans="1:6" hidden="1" x14ac:dyDescent="0.25">
      <c r="A336" t="s">
        <v>7</v>
      </c>
      <c r="B336" s="2">
        <v>42424</v>
      </c>
      <c r="C336">
        <f t="shared" si="9"/>
        <v>2016</v>
      </c>
      <c r="D336" s="23">
        <f t="shared" si="10"/>
        <v>55</v>
      </c>
      <c r="E336" t="s">
        <v>6</v>
      </c>
      <c r="F336">
        <f>(SingleBerryDW!F336/SingleBerryFW!F336)*100</f>
        <v>11.600000000000001</v>
      </c>
    </row>
    <row r="337" spans="1:6" hidden="1" x14ac:dyDescent="0.25">
      <c r="A337" t="s">
        <v>7</v>
      </c>
      <c r="B337" s="2">
        <v>42424</v>
      </c>
      <c r="C337">
        <f t="shared" si="9"/>
        <v>2016</v>
      </c>
      <c r="D337" s="23">
        <f t="shared" si="10"/>
        <v>55</v>
      </c>
      <c r="E337" t="s">
        <v>6</v>
      </c>
      <c r="F337">
        <f>(SingleBerryDW!F337/SingleBerryFW!F337)*100</f>
        <v>11.800000000000002</v>
      </c>
    </row>
    <row r="338" spans="1:6" hidden="1" x14ac:dyDescent="0.25">
      <c r="A338" t="s">
        <v>7</v>
      </c>
      <c r="B338" s="2">
        <v>42438</v>
      </c>
      <c r="C338">
        <f t="shared" si="9"/>
        <v>2016</v>
      </c>
      <c r="D338" s="23">
        <f t="shared" si="10"/>
        <v>69</v>
      </c>
      <c r="E338" t="s">
        <v>6</v>
      </c>
      <c r="F338">
        <f>(SingleBerryDW!F338/SingleBerryFW!F338)*100</f>
        <v>13.600000000000001</v>
      </c>
    </row>
    <row r="339" spans="1:6" hidden="1" x14ac:dyDescent="0.25">
      <c r="A339" t="s">
        <v>7</v>
      </c>
      <c r="B339" s="2">
        <v>42439</v>
      </c>
      <c r="C339">
        <f t="shared" si="9"/>
        <v>2016</v>
      </c>
      <c r="D339" s="23">
        <f t="shared" si="10"/>
        <v>70</v>
      </c>
      <c r="E339" t="s">
        <v>6</v>
      </c>
      <c r="F339">
        <f>(SingleBerryDW!F339/SingleBerryFW!F339)*100</f>
        <v>15</v>
      </c>
    </row>
    <row r="340" spans="1:6" hidden="1" x14ac:dyDescent="0.25">
      <c r="A340" t="s">
        <v>7</v>
      </c>
      <c r="B340" s="2">
        <v>42439</v>
      </c>
      <c r="C340">
        <f t="shared" si="9"/>
        <v>2016</v>
      </c>
      <c r="D340" s="23">
        <f t="shared" si="10"/>
        <v>70</v>
      </c>
      <c r="E340" t="s">
        <v>6</v>
      </c>
      <c r="F340">
        <f>(SingleBerryDW!F340/SingleBerryFW!F340)*100</f>
        <v>14.2</v>
      </c>
    </row>
    <row r="341" spans="1:6" hidden="1" x14ac:dyDescent="0.25">
      <c r="A341" t="s">
        <v>7</v>
      </c>
      <c r="B341" s="2">
        <v>42439</v>
      </c>
      <c r="C341">
        <f t="shared" si="9"/>
        <v>2016</v>
      </c>
      <c r="D341" s="23">
        <f t="shared" si="10"/>
        <v>70</v>
      </c>
      <c r="E341" t="s">
        <v>6</v>
      </c>
      <c r="F341">
        <f>(SingleBerryDW!F341/SingleBerryFW!F341)*100</f>
        <v>13.100000000000001</v>
      </c>
    </row>
    <row r="342" spans="1:6" hidden="1" x14ac:dyDescent="0.25">
      <c r="A342" t="s">
        <v>7</v>
      </c>
      <c r="B342" s="2">
        <v>42452</v>
      </c>
      <c r="C342">
        <f t="shared" si="9"/>
        <v>2016</v>
      </c>
      <c r="D342" s="23">
        <f t="shared" si="10"/>
        <v>83</v>
      </c>
      <c r="E342" t="s">
        <v>6</v>
      </c>
      <c r="F342">
        <f>(SingleBerryDW!F342/SingleBerryFW!F342)*100</f>
        <v>15.800000000000002</v>
      </c>
    </row>
    <row r="343" spans="1:6" hidden="1" x14ac:dyDescent="0.25">
      <c r="A343" t="s">
        <v>7</v>
      </c>
      <c r="B343" s="2">
        <v>42452</v>
      </c>
      <c r="C343">
        <f t="shared" si="9"/>
        <v>2016</v>
      </c>
      <c r="D343" s="23">
        <f t="shared" si="10"/>
        <v>83</v>
      </c>
      <c r="E343" t="s">
        <v>6</v>
      </c>
      <c r="F343">
        <f>(SingleBerryDW!F343/SingleBerryFW!F343)*100</f>
        <v>15</v>
      </c>
    </row>
    <row r="344" spans="1:6" hidden="1" x14ac:dyDescent="0.25">
      <c r="A344" t="s">
        <v>7</v>
      </c>
      <c r="B344" s="2">
        <v>42452</v>
      </c>
      <c r="C344">
        <f t="shared" si="9"/>
        <v>2016</v>
      </c>
      <c r="D344" s="23">
        <f t="shared" si="10"/>
        <v>83</v>
      </c>
      <c r="E344" t="s">
        <v>6</v>
      </c>
      <c r="F344">
        <f>(SingleBerryDW!F344/SingleBerryFW!F344)*100</f>
        <v>14.099999999999998</v>
      </c>
    </row>
    <row r="345" spans="1:6" hidden="1" x14ac:dyDescent="0.25">
      <c r="A345" t="s">
        <v>7</v>
      </c>
      <c r="B345" s="2">
        <v>42452</v>
      </c>
      <c r="C345">
        <f t="shared" si="9"/>
        <v>2016</v>
      </c>
      <c r="D345" s="23">
        <f t="shared" si="10"/>
        <v>83</v>
      </c>
      <c r="E345" t="s">
        <v>6</v>
      </c>
      <c r="F345">
        <f>(SingleBerryDW!F345/SingleBerryFW!F345)*100</f>
        <v>14.499999999999998</v>
      </c>
    </row>
    <row r="346" spans="1:6" hidden="1" x14ac:dyDescent="0.25">
      <c r="A346" t="s">
        <v>7</v>
      </c>
      <c r="B346" s="2">
        <v>42467</v>
      </c>
      <c r="C346">
        <f t="shared" si="9"/>
        <v>2016</v>
      </c>
      <c r="D346" s="23">
        <f t="shared" si="10"/>
        <v>98</v>
      </c>
      <c r="E346" t="s">
        <v>6</v>
      </c>
      <c r="F346">
        <f>(SingleBerryDW!F346/SingleBerryFW!F346)*100</f>
        <v>16.7</v>
      </c>
    </row>
    <row r="347" spans="1:6" hidden="1" x14ac:dyDescent="0.25">
      <c r="A347" t="s">
        <v>7</v>
      </c>
      <c r="B347" s="2">
        <v>42467</v>
      </c>
      <c r="C347">
        <f t="shared" si="9"/>
        <v>2016</v>
      </c>
      <c r="D347" s="23">
        <f t="shared" si="10"/>
        <v>98</v>
      </c>
      <c r="E347" t="s">
        <v>6</v>
      </c>
      <c r="F347">
        <f>(SingleBerryDW!F347/SingleBerryFW!F347)*100</f>
        <v>15.400000000000002</v>
      </c>
    </row>
    <row r="348" spans="1:6" hidden="1" x14ac:dyDescent="0.25">
      <c r="A348" t="s">
        <v>7</v>
      </c>
      <c r="B348" s="2">
        <v>42467</v>
      </c>
      <c r="C348">
        <f t="shared" si="9"/>
        <v>2016</v>
      </c>
      <c r="D348" s="23">
        <f t="shared" si="10"/>
        <v>98</v>
      </c>
      <c r="E348" t="s">
        <v>6</v>
      </c>
      <c r="F348">
        <f>(SingleBerryDW!F348/SingleBerryFW!F348)*100</f>
        <v>15</v>
      </c>
    </row>
    <row r="349" spans="1:6" hidden="1" x14ac:dyDescent="0.25">
      <c r="A349" t="s">
        <v>7</v>
      </c>
      <c r="B349" s="2">
        <v>42467</v>
      </c>
      <c r="C349">
        <f t="shared" si="9"/>
        <v>2016</v>
      </c>
      <c r="D349" s="23">
        <f t="shared" si="10"/>
        <v>98</v>
      </c>
      <c r="E349" t="s">
        <v>6</v>
      </c>
      <c r="F349">
        <f>(SingleBerryDW!F349/SingleBerryFW!F349)*100</f>
        <v>15.2</v>
      </c>
    </row>
    <row r="350" spans="1:6" hidden="1" x14ac:dyDescent="0.25">
      <c r="A350" t="s">
        <v>7</v>
      </c>
      <c r="B350" s="2">
        <v>42474</v>
      </c>
      <c r="C350">
        <f t="shared" si="9"/>
        <v>2016</v>
      </c>
      <c r="D350" s="23">
        <f t="shared" si="10"/>
        <v>105</v>
      </c>
      <c r="E350" t="s">
        <v>6</v>
      </c>
      <c r="F350">
        <f>(SingleBerryDW!F350/SingleBerryFW!F350)*100</f>
        <v>15.400000000000002</v>
      </c>
    </row>
    <row r="351" spans="1:6" hidden="1" x14ac:dyDescent="0.25">
      <c r="A351" t="s">
        <v>7</v>
      </c>
      <c r="B351" s="2">
        <v>42475</v>
      </c>
      <c r="C351">
        <f t="shared" si="9"/>
        <v>2016</v>
      </c>
      <c r="D351" s="23">
        <f t="shared" si="10"/>
        <v>106</v>
      </c>
      <c r="E351" t="s">
        <v>6</v>
      </c>
      <c r="F351">
        <f>(SingleBerryDW!F351/SingleBerryFW!F351)*100</f>
        <v>16.5</v>
      </c>
    </row>
    <row r="352" spans="1:6" hidden="1" x14ac:dyDescent="0.25">
      <c r="A352" t="s">
        <v>7</v>
      </c>
      <c r="B352" s="2">
        <v>42475</v>
      </c>
      <c r="C352">
        <f t="shared" si="9"/>
        <v>2016</v>
      </c>
      <c r="D352" s="23">
        <f t="shared" si="10"/>
        <v>106</v>
      </c>
      <c r="E352" t="s">
        <v>6</v>
      </c>
      <c r="F352">
        <f>(SingleBerryDW!F352/SingleBerryFW!F352)*100</f>
        <v>15.7</v>
      </c>
    </row>
    <row r="353" spans="1:6" hidden="1" x14ac:dyDescent="0.25">
      <c r="A353" t="s">
        <v>7</v>
      </c>
      <c r="B353" s="2">
        <v>42475</v>
      </c>
      <c r="C353">
        <f t="shared" si="9"/>
        <v>2016</v>
      </c>
      <c r="D353" s="23">
        <f t="shared" si="10"/>
        <v>106</v>
      </c>
      <c r="E353" t="s">
        <v>6</v>
      </c>
      <c r="F353">
        <f>(SingleBerryDW!F353/SingleBerryFW!F353)*100</f>
        <v>15.2</v>
      </c>
    </row>
    <row r="354" spans="1:6" hidden="1" x14ac:dyDescent="0.25">
      <c r="A354" t="s">
        <v>7</v>
      </c>
      <c r="B354" s="2">
        <v>42482</v>
      </c>
      <c r="C354">
        <f t="shared" si="9"/>
        <v>2016</v>
      </c>
      <c r="D354" s="23">
        <f t="shared" si="10"/>
        <v>113</v>
      </c>
      <c r="E354" t="s">
        <v>6</v>
      </c>
      <c r="F354">
        <f>(SingleBerryDW!F354/SingleBerryFW!F354)*100</f>
        <v>16.900000000000002</v>
      </c>
    </row>
    <row r="355" spans="1:6" hidden="1" x14ac:dyDescent="0.25">
      <c r="A355" t="s">
        <v>7</v>
      </c>
      <c r="B355" s="2">
        <v>42482</v>
      </c>
      <c r="C355">
        <f t="shared" si="9"/>
        <v>2016</v>
      </c>
      <c r="D355" s="23">
        <f t="shared" si="10"/>
        <v>113</v>
      </c>
      <c r="E355" t="s">
        <v>6</v>
      </c>
      <c r="F355">
        <f>(SingleBerryDW!F355/SingleBerryFW!F355)*100</f>
        <v>15.7</v>
      </c>
    </row>
    <row r="356" spans="1:6" hidden="1" x14ac:dyDescent="0.25">
      <c r="A356" t="s">
        <v>7</v>
      </c>
      <c r="B356" s="2">
        <v>42482</v>
      </c>
      <c r="C356">
        <f t="shared" si="9"/>
        <v>2016</v>
      </c>
      <c r="D356" s="23">
        <f t="shared" si="10"/>
        <v>113</v>
      </c>
      <c r="E356" t="s">
        <v>6</v>
      </c>
      <c r="F356">
        <f>(SingleBerryDW!F356/SingleBerryFW!F356)*100</f>
        <v>15.5</v>
      </c>
    </row>
    <row r="357" spans="1:6" hidden="1" x14ac:dyDescent="0.25">
      <c r="A357" t="s">
        <v>7</v>
      </c>
      <c r="B357" s="2">
        <v>42482</v>
      </c>
      <c r="C357">
        <f t="shared" si="9"/>
        <v>2016</v>
      </c>
      <c r="D357" s="23">
        <f t="shared" si="10"/>
        <v>113</v>
      </c>
      <c r="E357" t="s">
        <v>6</v>
      </c>
      <c r="F357">
        <f>(SingleBerryDW!F357/SingleBerryFW!F357)*100</f>
        <v>15.1</v>
      </c>
    </row>
    <row r="358" spans="1:6" hidden="1" x14ac:dyDescent="0.25">
      <c r="A358" t="s">
        <v>7</v>
      </c>
      <c r="B358" s="2">
        <v>42489</v>
      </c>
      <c r="C358">
        <f t="shared" si="9"/>
        <v>2016</v>
      </c>
      <c r="D358" s="23">
        <f t="shared" si="10"/>
        <v>120</v>
      </c>
      <c r="E358" t="s">
        <v>6</v>
      </c>
      <c r="F358">
        <f>(SingleBerryDW!F358/SingleBerryFW!F358)*100</f>
        <v>17.399999999999999</v>
      </c>
    </row>
    <row r="359" spans="1:6" hidden="1" x14ac:dyDescent="0.25">
      <c r="A359" t="s">
        <v>7</v>
      </c>
      <c r="B359" s="2">
        <v>42489</v>
      </c>
      <c r="C359">
        <f t="shared" si="9"/>
        <v>2016</v>
      </c>
      <c r="D359" s="23">
        <f t="shared" si="10"/>
        <v>120</v>
      </c>
      <c r="E359" t="s">
        <v>6</v>
      </c>
      <c r="F359">
        <f>(SingleBerryDW!F359/SingleBerryFW!F359)*100</f>
        <v>16</v>
      </c>
    </row>
    <row r="360" spans="1:6" hidden="1" x14ac:dyDescent="0.25">
      <c r="A360" t="s">
        <v>7</v>
      </c>
      <c r="B360" s="2">
        <v>42489</v>
      </c>
      <c r="C360">
        <f t="shared" si="9"/>
        <v>2016</v>
      </c>
      <c r="D360" s="23">
        <f t="shared" si="10"/>
        <v>120</v>
      </c>
      <c r="E360" t="s">
        <v>6</v>
      </c>
      <c r="F360">
        <f>(SingleBerryDW!F360/SingleBerryFW!F360)*100</f>
        <v>15.7</v>
      </c>
    </row>
    <row r="361" spans="1:6" hidden="1" x14ac:dyDescent="0.25">
      <c r="A361" t="s">
        <v>7</v>
      </c>
      <c r="B361" s="2">
        <v>42489</v>
      </c>
      <c r="C361">
        <f t="shared" si="9"/>
        <v>2016</v>
      </c>
      <c r="D361" s="23">
        <f t="shared" si="10"/>
        <v>120</v>
      </c>
      <c r="E361" t="s">
        <v>6</v>
      </c>
      <c r="F361">
        <f>(SingleBerryDW!F361/SingleBerryFW!F361)*100</f>
        <v>15.699999999999998</v>
      </c>
    </row>
    <row r="362" spans="1:6" hidden="1" x14ac:dyDescent="0.25">
      <c r="A362" t="s">
        <v>7</v>
      </c>
      <c r="B362" s="2">
        <v>42494</v>
      </c>
      <c r="C362">
        <f t="shared" si="9"/>
        <v>2016</v>
      </c>
      <c r="D362" s="23">
        <f t="shared" si="10"/>
        <v>125</v>
      </c>
      <c r="E362" t="s">
        <v>6</v>
      </c>
      <c r="F362">
        <f>(SingleBerryDW!F362/SingleBerryFW!F362)*100</f>
        <v>16.100000000000001</v>
      </c>
    </row>
    <row r="363" spans="1:6" hidden="1" x14ac:dyDescent="0.25">
      <c r="A363" t="s">
        <v>7</v>
      </c>
      <c r="B363" s="2">
        <v>42496</v>
      </c>
      <c r="C363">
        <f t="shared" si="9"/>
        <v>2016</v>
      </c>
      <c r="D363" s="23">
        <f t="shared" si="10"/>
        <v>127</v>
      </c>
      <c r="E363" t="s">
        <v>6</v>
      </c>
      <c r="F363">
        <f>(SingleBerryDW!F363/SingleBerryFW!F363)*100</f>
        <v>17.200000000000003</v>
      </c>
    </row>
    <row r="364" spans="1:6" hidden="1" x14ac:dyDescent="0.25">
      <c r="A364" t="s">
        <v>7</v>
      </c>
      <c r="B364" s="2">
        <v>42496</v>
      </c>
      <c r="C364">
        <f t="shared" si="9"/>
        <v>2016</v>
      </c>
      <c r="D364" s="23">
        <f t="shared" si="10"/>
        <v>127</v>
      </c>
      <c r="E364" t="s">
        <v>6</v>
      </c>
      <c r="F364">
        <f>(SingleBerryDW!F364/SingleBerryFW!F364)*100</f>
        <v>16.100000000000001</v>
      </c>
    </row>
    <row r="365" spans="1:6" hidden="1" x14ac:dyDescent="0.25">
      <c r="A365" t="s">
        <v>7</v>
      </c>
      <c r="B365" s="2">
        <v>42496</v>
      </c>
      <c r="C365">
        <f t="shared" si="9"/>
        <v>2016</v>
      </c>
      <c r="D365" s="23">
        <f t="shared" si="10"/>
        <v>127</v>
      </c>
      <c r="E365" t="s">
        <v>6</v>
      </c>
      <c r="F365">
        <f>(SingleBerryDW!F365/SingleBerryFW!F365)*100</f>
        <v>16.2</v>
      </c>
    </row>
    <row r="366" spans="1:6" hidden="1" x14ac:dyDescent="0.25">
      <c r="A366" t="s">
        <v>7</v>
      </c>
      <c r="B366" s="2">
        <v>42509</v>
      </c>
      <c r="C366">
        <f t="shared" si="9"/>
        <v>2016</v>
      </c>
      <c r="D366" s="23">
        <f t="shared" si="10"/>
        <v>140</v>
      </c>
      <c r="E366" t="s">
        <v>6</v>
      </c>
      <c r="F366">
        <f>(SingleBerryDW!F366/SingleBerryFW!F366)*100</f>
        <v>17.5</v>
      </c>
    </row>
    <row r="367" spans="1:6" hidden="1" x14ac:dyDescent="0.25">
      <c r="A367" t="s">
        <v>7</v>
      </c>
      <c r="B367" s="2">
        <v>42509</v>
      </c>
      <c r="C367">
        <f t="shared" si="9"/>
        <v>2016</v>
      </c>
      <c r="D367" s="23">
        <f t="shared" si="10"/>
        <v>140</v>
      </c>
      <c r="E367" t="s">
        <v>6</v>
      </c>
      <c r="F367">
        <f>(SingleBerryDW!F367/SingleBerryFW!F367)*100</f>
        <v>17.100000000000001</v>
      </c>
    </row>
    <row r="368" spans="1:6" hidden="1" x14ac:dyDescent="0.25">
      <c r="A368" t="s">
        <v>7</v>
      </c>
      <c r="B368" s="2">
        <v>42509</v>
      </c>
      <c r="C368">
        <f t="shared" si="9"/>
        <v>2016</v>
      </c>
      <c r="D368" s="23">
        <f t="shared" si="10"/>
        <v>140</v>
      </c>
      <c r="E368" t="s">
        <v>6</v>
      </c>
      <c r="F368">
        <f>(SingleBerryDW!F368/SingleBerryFW!F368)*100</f>
        <v>16.399999999999999</v>
      </c>
    </row>
    <row r="369" spans="1:6" hidden="1" x14ac:dyDescent="0.25">
      <c r="A369" t="s">
        <v>7</v>
      </c>
      <c r="B369" s="2">
        <v>42510</v>
      </c>
      <c r="C369">
        <f t="shared" si="9"/>
        <v>2016</v>
      </c>
      <c r="D369" s="23">
        <f t="shared" si="10"/>
        <v>141</v>
      </c>
      <c r="E369" t="s">
        <v>6</v>
      </c>
      <c r="F369">
        <f>(SingleBerryDW!F369/SingleBerryFW!F369)*100</f>
        <v>16.8</v>
      </c>
    </row>
    <row r="370" spans="1:6" hidden="1" x14ac:dyDescent="0.25">
      <c r="A370" t="s">
        <v>7</v>
      </c>
      <c r="B370" s="2">
        <v>42522</v>
      </c>
      <c r="C370">
        <f t="shared" si="9"/>
        <v>2016</v>
      </c>
      <c r="D370" s="23">
        <f t="shared" si="10"/>
        <v>153</v>
      </c>
      <c r="E370" t="s">
        <v>6</v>
      </c>
      <c r="F370">
        <f>(SingleBerryDW!F370/SingleBerryFW!F370)*100</f>
        <v>17.099999999999998</v>
      </c>
    </row>
    <row r="371" spans="1:6" hidden="1" x14ac:dyDescent="0.25">
      <c r="A371" t="s">
        <v>7</v>
      </c>
      <c r="B371" s="2">
        <v>42523</v>
      </c>
      <c r="C371">
        <f t="shared" si="9"/>
        <v>2016</v>
      </c>
      <c r="D371" s="23">
        <f t="shared" si="10"/>
        <v>154</v>
      </c>
      <c r="E371" t="s">
        <v>6</v>
      </c>
      <c r="F371">
        <f>(SingleBerryDW!F371/SingleBerryFW!F371)*100</f>
        <v>18.000000000000004</v>
      </c>
    </row>
    <row r="372" spans="1:6" hidden="1" x14ac:dyDescent="0.25">
      <c r="A372" t="s">
        <v>7</v>
      </c>
      <c r="B372" s="2">
        <v>42523</v>
      </c>
      <c r="C372">
        <f t="shared" si="9"/>
        <v>2016</v>
      </c>
      <c r="D372" s="23">
        <f t="shared" si="10"/>
        <v>154</v>
      </c>
      <c r="E372" t="s">
        <v>6</v>
      </c>
      <c r="F372">
        <f>(SingleBerryDW!F372/SingleBerryFW!F372)*100</f>
        <v>17.099999999999998</v>
      </c>
    </row>
    <row r="373" spans="1:6" hidden="1" x14ac:dyDescent="0.25">
      <c r="A373" t="s">
        <v>7</v>
      </c>
      <c r="B373" s="2">
        <v>42523</v>
      </c>
      <c r="C373">
        <f t="shared" si="9"/>
        <v>2016</v>
      </c>
      <c r="D373" s="23">
        <f t="shared" si="10"/>
        <v>154</v>
      </c>
      <c r="E373" t="s">
        <v>6</v>
      </c>
      <c r="F373">
        <f>(SingleBerryDW!F373/SingleBerryFW!F373)*100</f>
        <v>16.8</v>
      </c>
    </row>
    <row r="374" spans="1:6" hidden="1" x14ac:dyDescent="0.25">
      <c r="A374" t="s">
        <v>7</v>
      </c>
      <c r="B374" s="2">
        <v>42531</v>
      </c>
      <c r="C374">
        <f t="shared" si="9"/>
        <v>2016</v>
      </c>
      <c r="D374" s="23">
        <f t="shared" si="10"/>
        <v>162</v>
      </c>
      <c r="E374" t="s">
        <v>6</v>
      </c>
      <c r="F374">
        <f>(SingleBerryDW!F374/SingleBerryFW!F374)*100</f>
        <v>16.800000000000004</v>
      </c>
    </row>
    <row r="375" spans="1:6" hidden="1" x14ac:dyDescent="0.25">
      <c r="A375" t="s">
        <v>7</v>
      </c>
      <c r="B375" s="2">
        <v>42535</v>
      </c>
      <c r="C375">
        <f t="shared" si="9"/>
        <v>2016</v>
      </c>
      <c r="D375" s="23">
        <f t="shared" si="10"/>
        <v>166</v>
      </c>
      <c r="E375" t="s">
        <v>6</v>
      </c>
      <c r="F375">
        <f>(SingleBerryDW!F375/SingleBerryFW!F375)*100</f>
        <v>18.000000000000004</v>
      </c>
    </row>
    <row r="376" spans="1:6" hidden="1" x14ac:dyDescent="0.25">
      <c r="A376" t="s">
        <v>7</v>
      </c>
      <c r="B376" s="2">
        <v>42535</v>
      </c>
      <c r="C376">
        <f t="shared" si="9"/>
        <v>2016</v>
      </c>
      <c r="D376" s="23">
        <f t="shared" si="10"/>
        <v>166</v>
      </c>
      <c r="E376" t="s">
        <v>6</v>
      </c>
      <c r="F376">
        <f>(SingleBerryDW!F376/SingleBerryFW!F376)*100</f>
        <v>17.3</v>
      </c>
    </row>
    <row r="377" spans="1:6" hidden="1" x14ac:dyDescent="0.25">
      <c r="A377" t="s">
        <v>7</v>
      </c>
      <c r="B377" s="2">
        <v>42753</v>
      </c>
      <c r="C377">
        <f t="shared" si="9"/>
        <v>2017</v>
      </c>
      <c r="D377" s="23">
        <f t="shared" si="10"/>
        <v>18</v>
      </c>
      <c r="E377" t="s">
        <v>6</v>
      </c>
      <c r="F377">
        <f>(SingleBerryDW!F377/SingleBerryFW!F377)*100</f>
        <v>8</v>
      </c>
    </row>
    <row r="378" spans="1:6" hidden="1" x14ac:dyDescent="0.25">
      <c r="A378" t="s">
        <v>7</v>
      </c>
      <c r="B378" s="2">
        <v>42753</v>
      </c>
      <c r="C378">
        <f t="shared" si="9"/>
        <v>2017</v>
      </c>
      <c r="D378" s="23">
        <f t="shared" si="10"/>
        <v>18</v>
      </c>
      <c r="E378" t="s">
        <v>6</v>
      </c>
      <c r="F378">
        <f>(SingleBerryDW!F378/SingleBerryFW!F378)*100</f>
        <v>7.8</v>
      </c>
    </row>
    <row r="379" spans="1:6" hidden="1" x14ac:dyDescent="0.25">
      <c r="A379" t="s">
        <v>7</v>
      </c>
      <c r="B379" s="2">
        <v>42753</v>
      </c>
      <c r="C379">
        <f t="shared" si="9"/>
        <v>2017</v>
      </c>
      <c r="D379" s="23">
        <f t="shared" si="10"/>
        <v>18</v>
      </c>
      <c r="E379" t="s">
        <v>6</v>
      </c>
      <c r="F379">
        <f>(SingleBerryDW!F379/SingleBerryFW!F379)*100</f>
        <v>8.1</v>
      </c>
    </row>
    <row r="380" spans="1:6" hidden="1" x14ac:dyDescent="0.25">
      <c r="A380" t="s">
        <v>7</v>
      </c>
      <c r="B380" s="2">
        <v>42753</v>
      </c>
      <c r="C380">
        <f t="shared" ref="C380:C443" si="11">YEAR(B380)</f>
        <v>2017</v>
      </c>
      <c r="D380" s="23">
        <f t="shared" si="10"/>
        <v>18</v>
      </c>
      <c r="E380" t="s">
        <v>6</v>
      </c>
      <c r="F380">
        <f>(SingleBerryDW!F380/SingleBerryFW!F380)*100</f>
        <v>8.5</v>
      </c>
    </row>
    <row r="381" spans="1:6" hidden="1" x14ac:dyDescent="0.25">
      <c r="A381" t="s">
        <v>7</v>
      </c>
      <c r="B381" s="2">
        <v>42788</v>
      </c>
      <c r="C381">
        <f t="shared" si="11"/>
        <v>2017</v>
      </c>
      <c r="D381" s="23">
        <f t="shared" si="10"/>
        <v>53</v>
      </c>
      <c r="E381" t="s">
        <v>6</v>
      </c>
      <c r="F381">
        <f>(SingleBerryDW!F381/SingleBerryFW!F381)*100</f>
        <v>13.100000000000001</v>
      </c>
    </row>
    <row r="382" spans="1:6" hidden="1" x14ac:dyDescent="0.25">
      <c r="A382" t="s">
        <v>7</v>
      </c>
      <c r="B382" s="2">
        <v>42789</v>
      </c>
      <c r="C382">
        <f t="shared" si="11"/>
        <v>2017</v>
      </c>
      <c r="D382" s="23">
        <f t="shared" si="10"/>
        <v>54</v>
      </c>
      <c r="E382" t="s">
        <v>6</v>
      </c>
      <c r="F382">
        <f>(SingleBerryDW!F382/SingleBerryFW!F382)*100</f>
        <v>13</v>
      </c>
    </row>
    <row r="383" spans="1:6" hidden="1" x14ac:dyDescent="0.25">
      <c r="A383" t="s">
        <v>7</v>
      </c>
      <c r="B383" s="2">
        <v>42789</v>
      </c>
      <c r="C383">
        <f t="shared" si="11"/>
        <v>2017</v>
      </c>
      <c r="D383" s="23">
        <f t="shared" si="10"/>
        <v>54</v>
      </c>
      <c r="E383" t="s">
        <v>6</v>
      </c>
      <c r="F383">
        <f>(SingleBerryDW!F383/SingleBerryFW!F383)*100</f>
        <v>12.400000000000002</v>
      </c>
    </row>
    <row r="384" spans="1:6" hidden="1" x14ac:dyDescent="0.25">
      <c r="A384" t="s">
        <v>7</v>
      </c>
      <c r="B384" s="2">
        <v>42789</v>
      </c>
      <c r="C384">
        <f t="shared" si="11"/>
        <v>2017</v>
      </c>
      <c r="D384" s="23">
        <f t="shared" si="10"/>
        <v>54</v>
      </c>
      <c r="E384" t="s">
        <v>6</v>
      </c>
      <c r="F384">
        <f>(SingleBerryDW!F384/SingleBerryFW!F384)*100</f>
        <v>12.999999999999998</v>
      </c>
    </row>
    <row r="385" spans="1:6" hidden="1" x14ac:dyDescent="0.25">
      <c r="A385" t="s">
        <v>7</v>
      </c>
      <c r="B385" s="2">
        <v>42803</v>
      </c>
      <c r="C385">
        <f t="shared" si="11"/>
        <v>2017</v>
      </c>
      <c r="D385" s="23">
        <f t="shared" si="10"/>
        <v>68</v>
      </c>
      <c r="E385" t="s">
        <v>6</v>
      </c>
      <c r="F385">
        <f>(SingleBerryDW!F385/SingleBerryFW!F385)*100</f>
        <v>14.400000000000002</v>
      </c>
    </row>
    <row r="386" spans="1:6" hidden="1" x14ac:dyDescent="0.25">
      <c r="A386" t="s">
        <v>7</v>
      </c>
      <c r="B386" s="2">
        <v>42803</v>
      </c>
      <c r="C386">
        <f t="shared" si="11"/>
        <v>2017</v>
      </c>
      <c r="D386" s="23">
        <f t="shared" si="10"/>
        <v>68</v>
      </c>
      <c r="E386" t="s">
        <v>6</v>
      </c>
      <c r="F386">
        <f>(SingleBerryDW!F386/SingleBerryFW!F386)*100</f>
        <v>14.899999999999999</v>
      </c>
    </row>
    <row r="387" spans="1:6" hidden="1" x14ac:dyDescent="0.25">
      <c r="A387" t="s">
        <v>7</v>
      </c>
      <c r="B387" s="2">
        <v>42804</v>
      </c>
      <c r="C387">
        <f t="shared" si="11"/>
        <v>2017</v>
      </c>
      <c r="D387" s="23">
        <f t="shared" si="10"/>
        <v>69</v>
      </c>
      <c r="E387" t="s">
        <v>6</v>
      </c>
      <c r="F387">
        <f>(SingleBerryDW!F387/SingleBerryFW!F387)*100</f>
        <v>15.1</v>
      </c>
    </row>
    <row r="388" spans="1:6" hidden="1" x14ac:dyDescent="0.25">
      <c r="A388" t="s">
        <v>7</v>
      </c>
      <c r="B388" s="2">
        <v>42804</v>
      </c>
      <c r="C388">
        <f t="shared" si="11"/>
        <v>2017</v>
      </c>
      <c r="D388" s="23">
        <f t="shared" ref="D388:D451" si="12">B388-DATE(YEAR(B388),1,0)</f>
        <v>69</v>
      </c>
      <c r="E388" t="s">
        <v>6</v>
      </c>
      <c r="F388">
        <f>(SingleBerryDW!F388/SingleBerryFW!F388)*100</f>
        <v>14.7</v>
      </c>
    </row>
    <row r="389" spans="1:6" hidden="1" x14ac:dyDescent="0.25">
      <c r="A389" t="s">
        <v>7</v>
      </c>
      <c r="B389" s="2">
        <v>42816</v>
      </c>
      <c r="C389">
        <f t="shared" si="11"/>
        <v>2017</v>
      </c>
      <c r="D389" s="23">
        <f t="shared" si="12"/>
        <v>81</v>
      </c>
      <c r="E389" t="s">
        <v>6</v>
      </c>
      <c r="F389">
        <f>(SingleBerryDW!F389/SingleBerryFW!F389)*100</f>
        <v>15.6</v>
      </c>
    </row>
    <row r="390" spans="1:6" hidden="1" x14ac:dyDescent="0.25">
      <c r="A390" t="s">
        <v>7</v>
      </c>
      <c r="B390" s="2">
        <v>42817</v>
      </c>
      <c r="C390">
        <f t="shared" si="11"/>
        <v>2017</v>
      </c>
      <c r="D390" s="23">
        <f t="shared" si="12"/>
        <v>82</v>
      </c>
      <c r="E390" t="s">
        <v>6</v>
      </c>
      <c r="F390">
        <f>(SingleBerryDW!F390/SingleBerryFW!F390)*100</f>
        <v>15.599999999999998</v>
      </c>
    </row>
    <row r="391" spans="1:6" hidden="1" x14ac:dyDescent="0.25">
      <c r="A391" t="s">
        <v>7</v>
      </c>
      <c r="B391" s="2">
        <v>42817</v>
      </c>
      <c r="C391">
        <f t="shared" si="11"/>
        <v>2017</v>
      </c>
      <c r="D391" s="23">
        <f t="shared" si="12"/>
        <v>82</v>
      </c>
      <c r="E391" t="s">
        <v>6</v>
      </c>
      <c r="F391">
        <f>(SingleBerryDW!F391/SingleBerryFW!F391)*100</f>
        <v>14.899999999999999</v>
      </c>
    </row>
    <row r="392" spans="1:6" hidden="1" x14ac:dyDescent="0.25">
      <c r="A392" t="s">
        <v>7</v>
      </c>
      <c r="B392" s="2">
        <v>42817</v>
      </c>
      <c r="C392">
        <f t="shared" si="11"/>
        <v>2017</v>
      </c>
      <c r="D392" s="23">
        <f t="shared" si="12"/>
        <v>82</v>
      </c>
      <c r="E392" t="s">
        <v>6</v>
      </c>
      <c r="F392">
        <f>(SingleBerryDW!F392/SingleBerryFW!F392)*100</f>
        <v>15.699999999999998</v>
      </c>
    </row>
    <row r="393" spans="1:6" hidden="1" x14ac:dyDescent="0.25">
      <c r="A393" t="s">
        <v>7</v>
      </c>
      <c r="B393" s="2">
        <v>42831</v>
      </c>
      <c r="C393">
        <f t="shared" si="11"/>
        <v>2017</v>
      </c>
      <c r="D393" s="23">
        <f t="shared" si="12"/>
        <v>96</v>
      </c>
      <c r="E393" t="s">
        <v>6</v>
      </c>
      <c r="F393">
        <f>(SingleBerryDW!F393/SingleBerryFW!F393)*100</f>
        <v>16.100000000000001</v>
      </c>
    </row>
    <row r="394" spans="1:6" hidden="1" x14ac:dyDescent="0.25">
      <c r="A394" t="s">
        <v>7</v>
      </c>
      <c r="B394" s="2">
        <v>42832</v>
      </c>
      <c r="C394">
        <f t="shared" si="11"/>
        <v>2017</v>
      </c>
      <c r="D394" s="23">
        <f t="shared" si="12"/>
        <v>97</v>
      </c>
      <c r="E394" t="s">
        <v>6</v>
      </c>
      <c r="F394">
        <f>(SingleBerryDW!F394/SingleBerryFW!F394)*100</f>
        <v>16</v>
      </c>
    </row>
    <row r="395" spans="1:6" hidden="1" x14ac:dyDescent="0.25">
      <c r="A395" t="s">
        <v>7</v>
      </c>
      <c r="B395" s="2">
        <v>42832</v>
      </c>
      <c r="C395">
        <f t="shared" si="11"/>
        <v>2017</v>
      </c>
      <c r="D395" s="23">
        <f t="shared" si="12"/>
        <v>97</v>
      </c>
      <c r="E395" t="s">
        <v>6</v>
      </c>
      <c r="F395">
        <f>(SingleBerryDW!F395/SingleBerryFW!F395)*100</f>
        <v>15.400000000000002</v>
      </c>
    </row>
    <row r="396" spans="1:6" hidden="1" x14ac:dyDescent="0.25">
      <c r="A396" t="s">
        <v>7</v>
      </c>
      <c r="B396" s="2">
        <v>42832</v>
      </c>
      <c r="C396">
        <f t="shared" si="11"/>
        <v>2017</v>
      </c>
      <c r="D396" s="23">
        <f t="shared" si="12"/>
        <v>97</v>
      </c>
      <c r="E396" t="s">
        <v>6</v>
      </c>
      <c r="F396">
        <f>(SingleBerryDW!F396/SingleBerryFW!F396)*100</f>
        <v>16.2</v>
      </c>
    </row>
    <row r="397" spans="1:6" hidden="1" x14ac:dyDescent="0.25">
      <c r="A397" t="s">
        <v>7</v>
      </c>
      <c r="B397" s="2">
        <v>42837</v>
      </c>
      <c r="C397">
        <f t="shared" si="11"/>
        <v>2017</v>
      </c>
      <c r="D397" s="23">
        <f t="shared" si="12"/>
        <v>102</v>
      </c>
      <c r="E397" t="s">
        <v>6</v>
      </c>
      <c r="F397">
        <f>(SingleBerryDW!F397/SingleBerryFW!F397)*100</f>
        <v>16.100000000000001</v>
      </c>
    </row>
    <row r="398" spans="1:6" hidden="1" x14ac:dyDescent="0.25">
      <c r="A398" t="s">
        <v>7</v>
      </c>
      <c r="B398" s="2">
        <v>42838</v>
      </c>
      <c r="C398">
        <f t="shared" si="11"/>
        <v>2017</v>
      </c>
      <c r="D398" s="23">
        <f t="shared" si="12"/>
        <v>103</v>
      </c>
      <c r="E398" t="s">
        <v>6</v>
      </c>
      <c r="F398">
        <f>(SingleBerryDW!F398/SingleBerryFW!F398)*100</f>
        <v>16.100000000000001</v>
      </c>
    </row>
    <row r="399" spans="1:6" hidden="1" x14ac:dyDescent="0.25">
      <c r="A399" t="s">
        <v>7</v>
      </c>
      <c r="B399" s="2">
        <v>42838</v>
      </c>
      <c r="C399">
        <f t="shared" si="11"/>
        <v>2017</v>
      </c>
      <c r="D399" s="23">
        <f t="shared" si="12"/>
        <v>103</v>
      </c>
      <c r="E399" t="s">
        <v>6</v>
      </c>
      <c r="F399">
        <f>(SingleBerryDW!F399/SingleBerryFW!F399)*100</f>
        <v>15.400000000000002</v>
      </c>
    </row>
    <row r="400" spans="1:6" hidden="1" x14ac:dyDescent="0.25">
      <c r="A400" t="s">
        <v>7</v>
      </c>
      <c r="B400" s="2">
        <v>42838</v>
      </c>
      <c r="C400">
        <f t="shared" si="11"/>
        <v>2017</v>
      </c>
      <c r="D400" s="23">
        <f t="shared" si="12"/>
        <v>103</v>
      </c>
      <c r="E400" t="s">
        <v>6</v>
      </c>
      <c r="F400">
        <f>(SingleBerryDW!F400/SingleBerryFW!F400)*100</f>
        <v>16.100000000000001</v>
      </c>
    </row>
    <row r="401" spans="1:6" hidden="1" x14ac:dyDescent="0.25">
      <c r="A401" t="s">
        <v>7</v>
      </c>
      <c r="B401" s="2">
        <v>42844</v>
      </c>
      <c r="C401">
        <f t="shared" si="11"/>
        <v>2017</v>
      </c>
      <c r="D401" s="23">
        <f t="shared" si="12"/>
        <v>109</v>
      </c>
      <c r="E401" t="s">
        <v>6</v>
      </c>
      <c r="F401">
        <f>(SingleBerryDW!F401/SingleBerryFW!F401)*100</f>
        <v>16.100000000000001</v>
      </c>
    </row>
    <row r="402" spans="1:6" hidden="1" x14ac:dyDescent="0.25">
      <c r="A402" t="s">
        <v>7</v>
      </c>
      <c r="B402" s="2">
        <v>42845</v>
      </c>
      <c r="C402">
        <f t="shared" si="11"/>
        <v>2017</v>
      </c>
      <c r="D402" s="23">
        <f t="shared" si="12"/>
        <v>110</v>
      </c>
      <c r="E402" t="s">
        <v>6</v>
      </c>
      <c r="F402">
        <f>(SingleBerryDW!F402/SingleBerryFW!F402)*100</f>
        <v>16.3</v>
      </c>
    </row>
    <row r="403" spans="1:6" hidden="1" x14ac:dyDescent="0.25">
      <c r="A403" t="s">
        <v>7</v>
      </c>
      <c r="B403" s="2">
        <v>42845</v>
      </c>
      <c r="C403">
        <f t="shared" si="11"/>
        <v>2017</v>
      </c>
      <c r="D403" s="23">
        <f t="shared" si="12"/>
        <v>110</v>
      </c>
      <c r="E403" t="s">
        <v>6</v>
      </c>
      <c r="F403">
        <f>(SingleBerryDW!F403/SingleBerryFW!F403)*100</f>
        <v>15.5</v>
      </c>
    </row>
    <row r="404" spans="1:6" hidden="1" x14ac:dyDescent="0.25">
      <c r="A404" t="s">
        <v>7</v>
      </c>
      <c r="B404" s="2">
        <v>42845</v>
      </c>
      <c r="C404">
        <f t="shared" si="11"/>
        <v>2017</v>
      </c>
      <c r="D404" s="23">
        <f t="shared" si="12"/>
        <v>110</v>
      </c>
      <c r="E404" t="s">
        <v>6</v>
      </c>
      <c r="F404">
        <f>(SingleBerryDW!F404/SingleBerryFW!F404)*100</f>
        <v>16.799999999999997</v>
      </c>
    </row>
    <row r="405" spans="1:6" hidden="1" x14ac:dyDescent="0.25">
      <c r="A405" t="s">
        <v>7</v>
      </c>
      <c r="B405" s="2">
        <v>42853</v>
      </c>
      <c r="C405">
        <f t="shared" si="11"/>
        <v>2017</v>
      </c>
      <c r="D405" s="23">
        <f t="shared" si="12"/>
        <v>118</v>
      </c>
      <c r="E405" t="s">
        <v>6</v>
      </c>
      <c r="F405">
        <f>(SingleBerryDW!F405/SingleBerryFW!F405)*100</f>
        <v>16.7</v>
      </c>
    </row>
    <row r="406" spans="1:6" hidden="1" x14ac:dyDescent="0.25">
      <c r="A406" t="s">
        <v>7</v>
      </c>
      <c r="B406" s="2">
        <v>42853</v>
      </c>
      <c r="C406">
        <f t="shared" si="11"/>
        <v>2017</v>
      </c>
      <c r="D406" s="23">
        <f t="shared" si="12"/>
        <v>118</v>
      </c>
      <c r="E406" t="s">
        <v>6</v>
      </c>
      <c r="F406">
        <f>(SingleBerryDW!F406/SingleBerryFW!F406)*100</f>
        <v>16.2</v>
      </c>
    </row>
    <row r="407" spans="1:6" hidden="1" x14ac:dyDescent="0.25">
      <c r="A407" t="s">
        <v>7</v>
      </c>
      <c r="B407" s="2">
        <v>42853</v>
      </c>
      <c r="C407">
        <f t="shared" si="11"/>
        <v>2017</v>
      </c>
      <c r="D407" s="23">
        <f t="shared" si="12"/>
        <v>118</v>
      </c>
      <c r="E407" t="s">
        <v>6</v>
      </c>
      <c r="F407">
        <f>(SingleBerryDW!F407/SingleBerryFW!F407)*100</f>
        <v>17</v>
      </c>
    </row>
    <row r="408" spans="1:6" hidden="1" x14ac:dyDescent="0.25">
      <c r="A408" t="s">
        <v>7</v>
      </c>
      <c r="B408" s="2">
        <v>42853</v>
      </c>
      <c r="C408">
        <f t="shared" si="11"/>
        <v>2017</v>
      </c>
      <c r="D408" s="23">
        <f t="shared" si="12"/>
        <v>118</v>
      </c>
      <c r="E408" t="s">
        <v>6</v>
      </c>
      <c r="F408">
        <f>(SingleBerryDW!F408/SingleBerryFW!F408)*100</f>
        <v>17</v>
      </c>
    </row>
    <row r="409" spans="1:6" hidden="1" x14ac:dyDescent="0.25">
      <c r="A409" t="s">
        <v>7</v>
      </c>
      <c r="B409" s="2">
        <v>42858</v>
      </c>
      <c r="C409">
        <f t="shared" si="11"/>
        <v>2017</v>
      </c>
      <c r="D409" s="23">
        <f t="shared" si="12"/>
        <v>123</v>
      </c>
      <c r="E409" t="s">
        <v>6</v>
      </c>
      <c r="F409">
        <f>(SingleBerryDW!F409/SingleBerryFW!F409)*100</f>
        <v>17.2</v>
      </c>
    </row>
    <row r="410" spans="1:6" hidden="1" x14ac:dyDescent="0.25">
      <c r="A410" t="s">
        <v>7</v>
      </c>
      <c r="B410" s="2">
        <v>42859</v>
      </c>
      <c r="C410">
        <f t="shared" si="11"/>
        <v>2017</v>
      </c>
      <c r="D410" s="23">
        <f t="shared" si="12"/>
        <v>124</v>
      </c>
      <c r="E410" t="s">
        <v>6</v>
      </c>
      <c r="F410">
        <f>(SingleBerryDW!F410/SingleBerryFW!F410)*100</f>
        <v>16.399999999999999</v>
      </c>
    </row>
    <row r="411" spans="1:6" hidden="1" x14ac:dyDescent="0.25">
      <c r="A411" t="s">
        <v>7</v>
      </c>
      <c r="B411" s="2">
        <v>42860</v>
      </c>
      <c r="C411">
        <f t="shared" si="11"/>
        <v>2017</v>
      </c>
      <c r="D411" s="23">
        <f t="shared" si="12"/>
        <v>125</v>
      </c>
      <c r="E411" t="s">
        <v>6</v>
      </c>
      <c r="F411">
        <f>(SingleBerryDW!F411/SingleBerryFW!F411)*100</f>
        <v>16.800000000000004</v>
      </c>
    </row>
    <row r="412" spans="1:6" hidden="1" x14ac:dyDescent="0.25">
      <c r="A412" t="s">
        <v>7</v>
      </c>
      <c r="B412" s="2">
        <v>42860</v>
      </c>
      <c r="C412">
        <f t="shared" si="11"/>
        <v>2017</v>
      </c>
      <c r="D412" s="23">
        <f t="shared" si="12"/>
        <v>125</v>
      </c>
      <c r="E412" t="s">
        <v>6</v>
      </c>
      <c r="F412">
        <f>(SingleBerryDW!F412/SingleBerryFW!F412)*100</f>
        <v>17.199999999999996</v>
      </c>
    </row>
    <row r="413" spans="1:6" hidden="1" x14ac:dyDescent="0.25">
      <c r="A413" t="s">
        <v>7</v>
      </c>
      <c r="B413" s="2">
        <v>42872</v>
      </c>
      <c r="C413">
        <f t="shared" si="11"/>
        <v>2017</v>
      </c>
      <c r="D413" s="23">
        <f t="shared" si="12"/>
        <v>137</v>
      </c>
      <c r="E413" t="s">
        <v>6</v>
      </c>
      <c r="F413">
        <f>(SingleBerryDW!F413/SingleBerryFW!F413)*100</f>
        <v>17.699999999999996</v>
      </c>
    </row>
    <row r="414" spans="1:6" hidden="1" x14ac:dyDescent="0.25">
      <c r="A414" t="s">
        <v>7</v>
      </c>
      <c r="B414" s="2">
        <v>42873</v>
      </c>
      <c r="C414">
        <f t="shared" si="11"/>
        <v>2017</v>
      </c>
      <c r="D414" s="23">
        <f t="shared" si="12"/>
        <v>138</v>
      </c>
      <c r="E414" t="s">
        <v>6</v>
      </c>
      <c r="F414">
        <f>(SingleBerryDW!F414/SingleBerryFW!F414)*100</f>
        <v>17.2</v>
      </c>
    </row>
    <row r="415" spans="1:6" hidden="1" x14ac:dyDescent="0.25">
      <c r="A415" t="s">
        <v>7</v>
      </c>
      <c r="B415" s="2">
        <v>42873</v>
      </c>
      <c r="C415">
        <f t="shared" si="11"/>
        <v>2017</v>
      </c>
      <c r="D415" s="23">
        <f t="shared" si="12"/>
        <v>138</v>
      </c>
      <c r="E415" t="s">
        <v>6</v>
      </c>
      <c r="F415">
        <f>(SingleBerryDW!F415/SingleBerryFW!F415)*100</f>
        <v>16.7</v>
      </c>
    </row>
    <row r="416" spans="1:6" hidden="1" x14ac:dyDescent="0.25">
      <c r="A416" t="s">
        <v>7</v>
      </c>
      <c r="B416" s="2">
        <v>42873</v>
      </c>
      <c r="C416">
        <f t="shared" si="11"/>
        <v>2017</v>
      </c>
      <c r="D416" s="23">
        <f t="shared" si="12"/>
        <v>138</v>
      </c>
      <c r="E416" t="s">
        <v>6</v>
      </c>
      <c r="F416">
        <f>(SingleBerryDW!F416/SingleBerryFW!F416)*100</f>
        <v>17.600000000000001</v>
      </c>
    </row>
    <row r="417" spans="1:6" hidden="1" x14ac:dyDescent="0.25">
      <c r="A417" t="s">
        <v>7</v>
      </c>
      <c r="B417" s="2">
        <v>42886</v>
      </c>
      <c r="C417">
        <f t="shared" si="11"/>
        <v>2017</v>
      </c>
      <c r="D417" s="23">
        <f t="shared" si="12"/>
        <v>151</v>
      </c>
      <c r="E417" t="s">
        <v>6</v>
      </c>
      <c r="F417">
        <f>(SingleBerryDW!F417/SingleBerryFW!F417)*100</f>
        <v>18</v>
      </c>
    </row>
    <row r="418" spans="1:6" hidden="1" x14ac:dyDescent="0.25">
      <c r="A418" t="s">
        <v>7</v>
      </c>
      <c r="B418" s="2">
        <v>42887</v>
      </c>
      <c r="C418">
        <f t="shared" si="11"/>
        <v>2017</v>
      </c>
      <c r="D418" s="23">
        <f t="shared" si="12"/>
        <v>152</v>
      </c>
      <c r="E418" t="s">
        <v>6</v>
      </c>
      <c r="F418">
        <f>(SingleBerryDW!F418/SingleBerryFW!F418)*100</f>
        <v>17.399999999999999</v>
      </c>
    </row>
    <row r="419" spans="1:6" hidden="1" x14ac:dyDescent="0.25">
      <c r="A419" t="s">
        <v>7</v>
      </c>
      <c r="B419" s="2">
        <v>42887</v>
      </c>
      <c r="C419">
        <f t="shared" si="11"/>
        <v>2017</v>
      </c>
      <c r="D419" s="23">
        <f t="shared" si="12"/>
        <v>152</v>
      </c>
      <c r="E419" t="s">
        <v>6</v>
      </c>
      <c r="F419">
        <f>(SingleBerryDW!F419/SingleBerryFW!F419)*100</f>
        <v>16.899999999999999</v>
      </c>
    </row>
    <row r="420" spans="1:6" hidden="1" x14ac:dyDescent="0.25">
      <c r="A420" t="s">
        <v>7</v>
      </c>
      <c r="B420" s="2">
        <v>42887</v>
      </c>
      <c r="C420">
        <f t="shared" si="11"/>
        <v>2017</v>
      </c>
      <c r="D420" s="23">
        <f t="shared" si="12"/>
        <v>152</v>
      </c>
      <c r="E420" t="s">
        <v>6</v>
      </c>
      <c r="F420">
        <f>(SingleBerryDW!F420/SingleBerryFW!F420)*100</f>
        <v>18</v>
      </c>
    </row>
    <row r="421" spans="1:6" hidden="1" x14ac:dyDescent="0.25">
      <c r="A421" t="s">
        <v>7</v>
      </c>
      <c r="B421" s="2">
        <v>42893</v>
      </c>
      <c r="C421">
        <f t="shared" si="11"/>
        <v>2017</v>
      </c>
      <c r="D421" s="23">
        <f t="shared" si="12"/>
        <v>158</v>
      </c>
      <c r="E421" t="s">
        <v>6</v>
      </c>
      <c r="F421">
        <f>(SingleBerryDW!F421/SingleBerryFW!F421)*100</f>
        <v>17.899999999999999</v>
      </c>
    </row>
    <row r="422" spans="1:6" hidden="1" x14ac:dyDescent="0.25">
      <c r="A422" t="s">
        <v>7</v>
      </c>
      <c r="B422" s="2">
        <v>42893</v>
      </c>
      <c r="C422">
        <f t="shared" si="11"/>
        <v>2017</v>
      </c>
      <c r="D422" s="23">
        <f t="shared" si="12"/>
        <v>158</v>
      </c>
      <c r="E422" t="s">
        <v>6</v>
      </c>
      <c r="F422">
        <f>(SingleBerryDW!F422/SingleBerryFW!F422)*100</f>
        <v>17.8</v>
      </c>
    </row>
    <row r="423" spans="1:6" hidden="1" x14ac:dyDescent="0.25">
      <c r="A423" t="s">
        <v>7</v>
      </c>
      <c r="B423" s="2">
        <v>42894</v>
      </c>
      <c r="C423">
        <f t="shared" si="11"/>
        <v>2017</v>
      </c>
      <c r="D423" s="23">
        <f t="shared" si="12"/>
        <v>159</v>
      </c>
      <c r="E423" t="s">
        <v>6</v>
      </c>
      <c r="F423">
        <f>(SingleBerryDW!F423/SingleBerryFW!F423)*100</f>
        <v>17.7</v>
      </c>
    </row>
    <row r="424" spans="1:6" hidden="1" x14ac:dyDescent="0.25">
      <c r="A424" t="s">
        <v>7</v>
      </c>
      <c r="B424" s="2">
        <v>42907</v>
      </c>
      <c r="C424">
        <f t="shared" si="11"/>
        <v>2017</v>
      </c>
      <c r="D424" s="23">
        <f t="shared" si="12"/>
        <v>172</v>
      </c>
      <c r="E424" t="s">
        <v>6</v>
      </c>
      <c r="F424">
        <f>(SingleBerryDW!F424/SingleBerryFW!F424)*100</f>
        <v>17.5</v>
      </c>
    </row>
    <row r="425" spans="1:6" hidden="1" x14ac:dyDescent="0.25">
      <c r="A425" t="s">
        <v>7</v>
      </c>
      <c r="B425" s="2">
        <v>42907</v>
      </c>
      <c r="C425">
        <f t="shared" si="11"/>
        <v>2017</v>
      </c>
      <c r="D425" s="23">
        <f t="shared" si="12"/>
        <v>172</v>
      </c>
      <c r="E425" t="s">
        <v>6</v>
      </c>
      <c r="F425">
        <f>(SingleBerryDW!F425/SingleBerryFW!F425)*100</f>
        <v>18</v>
      </c>
    </row>
    <row r="426" spans="1:6" hidden="1" x14ac:dyDescent="0.25">
      <c r="A426" t="s">
        <v>7</v>
      </c>
      <c r="B426" s="2">
        <v>42908</v>
      </c>
      <c r="C426">
        <f t="shared" si="11"/>
        <v>2017</v>
      </c>
      <c r="D426" s="23">
        <f t="shared" si="12"/>
        <v>173</v>
      </c>
      <c r="E426" t="s">
        <v>6</v>
      </c>
      <c r="F426">
        <f>(SingleBerryDW!F426/SingleBerryFW!F426)*100</f>
        <v>17.8</v>
      </c>
    </row>
    <row r="427" spans="1:6" hidden="1" x14ac:dyDescent="0.25">
      <c r="A427" t="s">
        <v>7</v>
      </c>
      <c r="B427" s="2">
        <v>43115</v>
      </c>
      <c r="C427">
        <f t="shared" si="11"/>
        <v>2018</v>
      </c>
      <c r="D427" s="23">
        <f t="shared" si="12"/>
        <v>15</v>
      </c>
      <c r="E427" t="s">
        <v>6</v>
      </c>
      <c r="F427">
        <f>(SingleBerryDW!F427/SingleBerryFW!F427)*100</f>
        <v>7.1999999999999993</v>
      </c>
    </row>
    <row r="428" spans="1:6" hidden="1" x14ac:dyDescent="0.25">
      <c r="A428" t="s">
        <v>7</v>
      </c>
      <c r="B428" s="2">
        <v>43115</v>
      </c>
      <c r="C428">
        <f t="shared" si="11"/>
        <v>2018</v>
      </c>
      <c r="D428" s="23">
        <f t="shared" si="12"/>
        <v>15</v>
      </c>
      <c r="E428" t="s">
        <v>6</v>
      </c>
      <c r="F428">
        <f>(SingleBerryDW!F428/SingleBerryFW!F428)*100</f>
        <v>7.8</v>
      </c>
    </row>
    <row r="429" spans="1:6" hidden="1" x14ac:dyDescent="0.25">
      <c r="A429" t="s">
        <v>7</v>
      </c>
      <c r="B429" s="2">
        <v>43116</v>
      </c>
      <c r="C429">
        <f t="shared" si="11"/>
        <v>2018</v>
      </c>
      <c r="D429" s="23">
        <f t="shared" si="12"/>
        <v>16</v>
      </c>
      <c r="E429" t="s">
        <v>6</v>
      </c>
      <c r="F429">
        <f>(SingleBerryDW!F429/SingleBerryFW!F429)*100</f>
        <v>7.4000000000000012</v>
      </c>
    </row>
    <row r="430" spans="1:6" hidden="1" x14ac:dyDescent="0.25">
      <c r="A430" t="s">
        <v>7</v>
      </c>
      <c r="B430" s="2">
        <v>43116</v>
      </c>
      <c r="C430">
        <f t="shared" si="11"/>
        <v>2018</v>
      </c>
      <c r="D430" s="23">
        <f t="shared" si="12"/>
        <v>16</v>
      </c>
      <c r="E430" t="s">
        <v>6</v>
      </c>
      <c r="F430">
        <f>(SingleBerryDW!F430/SingleBerryFW!F430)*100</f>
        <v>7.4000000000000012</v>
      </c>
    </row>
    <row r="431" spans="1:6" hidden="1" x14ac:dyDescent="0.25">
      <c r="A431" t="s">
        <v>7</v>
      </c>
      <c r="B431" s="2">
        <v>43150</v>
      </c>
      <c r="C431">
        <f t="shared" si="11"/>
        <v>2018</v>
      </c>
      <c r="D431" s="23">
        <f t="shared" si="12"/>
        <v>50</v>
      </c>
      <c r="E431" t="s">
        <v>6</v>
      </c>
      <c r="F431">
        <f>(SingleBerryDW!F431/SingleBerryFW!F431)*100</f>
        <v>12.2</v>
      </c>
    </row>
    <row r="432" spans="1:6" hidden="1" x14ac:dyDescent="0.25">
      <c r="A432" t="s">
        <v>7</v>
      </c>
      <c r="B432" s="2">
        <v>43150</v>
      </c>
      <c r="C432">
        <f t="shared" si="11"/>
        <v>2018</v>
      </c>
      <c r="D432" s="23">
        <f t="shared" si="12"/>
        <v>50</v>
      </c>
      <c r="E432" t="s">
        <v>6</v>
      </c>
      <c r="F432">
        <f>(SingleBerryDW!F432/SingleBerryFW!F432)*100</f>
        <v>11.8</v>
      </c>
    </row>
    <row r="433" spans="1:6" hidden="1" x14ac:dyDescent="0.25">
      <c r="A433" t="s">
        <v>7</v>
      </c>
      <c r="B433" s="2">
        <v>43151</v>
      </c>
      <c r="C433">
        <f t="shared" si="11"/>
        <v>2018</v>
      </c>
      <c r="D433" s="23">
        <f t="shared" si="12"/>
        <v>51</v>
      </c>
      <c r="E433" t="s">
        <v>6</v>
      </c>
      <c r="F433">
        <f>(SingleBerryDW!F433/SingleBerryFW!F433)*100</f>
        <v>11.6</v>
      </c>
    </row>
    <row r="434" spans="1:6" hidden="1" x14ac:dyDescent="0.25">
      <c r="A434" t="s">
        <v>7</v>
      </c>
      <c r="B434" s="2">
        <v>43151</v>
      </c>
      <c r="C434">
        <f t="shared" si="11"/>
        <v>2018</v>
      </c>
      <c r="D434" s="23">
        <f t="shared" si="12"/>
        <v>51</v>
      </c>
      <c r="E434" t="s">
        <v>6</v>
      </c>
      <c r="F434">
        <f>(SingleBerryDW!F434/SingleBerryFW!F434)*100</f>
        <v>12.000000000000002</v>
      </c>
    </row>
    <row r="435" spans="1:6" hidden="1" x14ac:dyDescent="0.25">
      <c r="A435" t="s">
        <v>7</v>
      </c>
      <c r="B435" s="2">
        <v>43164</v>
      </c>
      <c r="C435">
        <f t="shared" si="11"/>
        <v>2018</v>
      </c>
      <c r="D435" s="23">
        <f t="shared" si="12"/>
        <v>64</v>
      </c>
      <c r="E435" t="s">
        <v>6</v>
      </c>
      <c r="F435">
        <f>(SingleBerryDW!F435/SingleBerryFW!F435)*100</f>
        <v>14.200000000000001</v>
      </c>
    </row>
    <row r="436" spans="1:6" hidden="1" x14ac:dyDescent="0.25">
      <c r="A436" t="s">
        <v>7</v>
      </c>
      <c r="B436" s="2">
        <v>43164</v>
      </c>
      <c r="C436">
        <f t="shared" si="11"/>
        <v>2018</v>
      </c>
      <c r="D436" s="23">
        <f t="shared" si="12"/>
        <v>64</v>
      </c>
      <c r="E436" t="s">
        <v>6</v>
      </c>
      <c r="F436">
        <f>(SingleBerryDW!F436/SingleBerryFW!F436)*100</f>
        <v>14.200000000000001</v>
      </c>
    </row>
    <row r="437" spans="1:6" hidden="1" x14ac:dyDescent="0.25">
      <c r="A437" t="s">
        <v>7</v>
      </c>
      <c r="B437" s="2">
        <v>43165</v>
      </c>
      <c r="C437">
        <f t="shared" si="11"/>
        <v>2018</v>
      </c>
      <c r="D437" s="23">
        <f t="shared" si="12"/>
        <v>65</v>
      </c>
      <c r="E437" t="s">
        <v>6</v>
      </c>
      <c r="F437">
        <f>(SingleBerryDW!F437/SingleBerryFW!F437)*100</f>
        <v>12.800000000000002</v>
      </c>
    </row>
    <row r="438" spans="1:6" hidden="1" x14ac:dyDescent="0.25">
      <c r="A438" t="s">
        <v>7</v>
      </c>
      <c r="B438" s="2">
        <v>43165</v>
      </c>
      <c r="C438">
        <f t="shared" si="11"/>
        <v>2018</v>
      </c>
      <c r="D438" s="23">
        <f t="shared" si="12"/>
        <v>65</v>
      </c>
      <c r="E438" t="s">
        <v>6</v>
      </c>
      <c r="F438">
        <f>(SingleBerryDW!F438/SingleBerryFW!F438)*100</f>
        <v>14.100000000000001</v>
      </c>
    </row>
    <row r="439" spans="1:6" hidden="1" x14ac:dyDescent="0.25">
      <c r="A439" t="s">
        <v>7</v>
      </c>
      <c r="B439" s="2">
        <v>43178</v>
      </c>
      <c r="C439">
        <f t="shared" si="11"/>
        <v>2018</v>
      </c>
      <c r="D439" s="23">
        <f t="shared" si="12"/>
        <v>78</v>
      </c>
      <c r="E439" t="s">
        <v>6</v>
      </c>
      <c r="F439">
        <f>(SingleBerryDW!F439/SingleBerryFW!F439)*100</f>
        <v>15.1</v>
      </c>
    </row>
    <row r="440" spans="1:6" hidden="1" x14ac:dyDescent="0.25">
      <c r="A440" t="s">
        <v>7</v>
      </c>
      <c r="B440" s="2">
        <v>43178</v>
      </c>
      <c r="C440">
        <f t="shared" si="11"/>
        <v>2018</v>
      </c>
      <c r="D440" s="23">
        <f t="shared" si="12"/>
        <v>78</v>
      </c>
      <c r="E440" t="s">
        <v>6</v>
      </c>
      <c r="F440">
        <f>(SingleBerryDW!F440/SingleBerryFW!F440)*100</f>
        <v>15.7</v>
      </c>
    </row>
    <row r="441" spans="1:6" hidden="1" x14ac:dyDescent="0.25">
      <c r="A441" t="s">
        <v>7</v>
      </c>
      <c r="B441" s="2">
        <v>43179</v>
      </c>
      <c r="C441">
        <f t="shared" si="11"/>
        <v>2018</v>
      </c>
      <c r="D441" s="23">
        <f t="shared" si="12"/>
        <v>79</v>
      </c>
      <c r="E441" t="s">
        <v>6</v>
      </c>
      <c r="F441">
        <f>(SingleBerryDW!F441/SingleBerryFW!F441)*100</f>
        <v>14.099999999999998</v>
      </c>
    </row>
    <row r="442" spans="1:6" hidden="1" x14ac:dyDescent="0.25">
      <c r="A442" t="s">
        <v>7</v>
      </c>
      <c r="B442" s="2">
        <v>43179</v>
      </c>
      <c r="C442">
        <f t="shared" si="11"/>
        <v>2018</v>
      </c>
      <c r="D442" s="23">
        <f t="shared" si="12"/>
        <v>79</v>
      </c>
      <c r="E442" t="s">
        <v>6</v>
      </c>
      <c r="F442">
        <f>(SingleBerryDW!F442/SingleBerryFW!F442)*100</f>
        <v>15.299999999999999</v>
      </c>
    </row>
    <row r="443" spans="1:6" hidden="1" x14ac:dyDescent="0.25">
      <c r="A443" t="s">
        <v>7</v>
      </c>
      <c r="B443" s="2">
        <v>43194</v>
      </c>
      <c r="C443">
        <f t="shared" si="11"/>
        <v>2018</v>
      </c>
      <c r="D443" s="23">
        <f t="shared" si="12"/>
        <v>94</v>
      </c>
      <c r="E443" t="s">
        <v>6</v>
      </c>
      <c r="F443">
        <f>(SingleBerryDW!F443/SingleBerryFW!F443)*100</f>
        <v>15.600000000000003</v>
      </c>
    </row>
    <row r="444" spans="1:6" hidden="1" x14ac:dyDescent="0.25">
      <c r="A444" t="s">
        <v>7</v>
      </c>
      <c r="B444" s="2">
        <v>43194</v>
      </c>
      <c r="C444">
        <f t="shared" ref="C444:C507" si="13">YEAR(B444)</f>
        <v>2018</v>
      </c>
      <c r="D444" s="23">
        <f t="shared" si="12"/>
        <v>94</v>
      </c>
      <c r="E444" t="s">
        <v>6</v>
      </c>
      <c r="F444">
        <f>(SingleBerryDW!F444/SingleBerryFW!F444)*100</f>
        <v>16.600000000000005</v>
      </c>
    </row>
    <row r="445" spans="1:6" hidden="1" x14ac:dyDescent="0.25">
      <c r="A445" t="s">
        <v>7</v>
      </c>
      <c r="B445" s="2">
        <v>43195</v>
      </c>
      <c r="C445">
        <f t="shared" si="13"/>
        <v>2018</v>
      </c>
      <c r="D445" s="23">
        <f t="shared" si="12"/>
        <v>95</v>
      </c>
      <c r="E445" t="s">
        <v>6</v>
      </c>
      <c r="F445">
        <f>(SingleBerryDW!F445/SingleBerryFW!F445)*100</f>
        <v>14.6</v>
      </c>
    </row>
    <row r="446" spans="1:6" hidden="1" x14ac:dyDescent="0.25">
      <c r="A446" t="s">
        <v>7</v>
      </c>
      <c r="B446" s="2">
        <v>43195</v>
      </c>
      <c r="C446">
        <f t="shared" si="13"/>
        <v>2018</v>
      </c>
      <c r="D446" s="23">
        <f t="shared" si="12"/>
        <v>95</v>
      </c>
      <c r="E446" t="s">
        <v>6</v>
      </c>
      <c r="F446">
        <f>(SingleBerryDW!F446/SingleBerryFW!F446)*100</f>
        <v>15.8</v>
      </c>
    </row>
    <row r="447" spans="1:6" hidden="1" x14ac:dyDescent="0.25">
      <c r="A447" t="s">
        <v>7</v>
      </c>
      <c r="B447" s="2">
        <v>43200</v>
      </c>
      <c r="C447">
        <f t="shared" si="13"/>
        <v>2018</v>
      </c>
      <c r="D447" s="23">
        <f t="shared" si="12"/>
        <v>100</v>
      </c>
      <c r="E447" t="s">
        <v>6</v>
      </c>
      <c r="F447">
        <f>(SingleBerryDW!F447/SingleBerryFW!F447)*100</f>
        <v>16.100000000000001</v>
      </c>
    </row>
    <row r="448" spans="1:6" hidden="1" x14ac:dyDescent="0.25">
      <c r="A448" t="s">
        <v>7</v>
      </c>
      <c r="B448" s="2">
        <v>43200</v>
      </c>
      <c r="C448">
        <f t="shared" si="13"/>
        <v>2018</v>
      </c>
      <c r="D448" s="23">
        <f t="shared" si="12"/>
        <v>100</v>
      </c>
      <c r="E448" t="s">
        <v>6</v>
      </c>
      <c r="F448">
        <f>(SingleBerryDW!F448/SingleBerryFW!F448)*100</f>
        <v>16.399999999999999</v>
      </c>
    </row>
    <row r="449" spans="1:6" hidden="1" x14ac:dyDescent="0.25">
      <c r="A449" t="s">
        <v>7</v>
      </c>
      <c r="B449" s="2">
        <v>43201</v>
      </c>
      <c r="C449">
        <f t="shared" si="13"/>
        <v>2018</v>
      </c>
      <c r="D449" s="23">
        <f t="shared" si="12"/>
        <v>101</v>
      </c>
      <c r="E449" t="s">
        <v>6</v>
      </c>
      <c r="F449">
        <f>(SingleBerryDW!F449/SingleBerryFW!F449)*100</f>
        <v>14.6</v>
      </c>
    </row>
    <row r="450" spans="1:6" hidden="1" x14ac:dyDescent="0.25">
      <c r="A450" t="s">
        <v>7</v>
      </c>
      <c r="B450" s="2">
        <v>43201</v>
      </c>
      <c r="C450">
        <f t="shared" si="13"/>
        <v>2018</v>
      </c>
      <c r="D450" s="23">
        <f t="shared" si="12"/>
        <v>101</v>
      </c>
      <c r="E450" t="s">
        <v>6</v>
      </c>
      <c r="F450">
        <f>(SingleBerryDW!F450/SingleBerryFW!F450)*100</f>
        <v>16.300000000000004</v>
      </c>
    </row>
    <row r="451" spans="1:6" hidden="1" x14ac:dyDescent="0.25">
      <c r="A451" t="s">
        <v>7</v>
      </c>
      <c r="B451" s="2">
        <v>43206</v>
      </c>
      <c r="C451">
        <f t="shared" si="13"/>
        <v>2018</v>
      </c>
      <c r="D451" s="23">
        <f t="shared" si="12"/>
        <v>106</v>
      </c>
      <c r="E451" t="s">
        <v>6</v>
      </c>
      <c r="F451">
        <f>(SingleBerryDW!F451/SingleBerryFW!F451)*100</f>
        <v>16</v>
      </c>
    </row>
    <row r="452" spans="1:6" hidden="1" x14ac:dyDescent="0.25">
      <c r="A452" t="s">
        <v>7</v>
      </c>
      <c r="B452" s="2">
        <v>43206</v>
      </c>
      <c r="C452">
        <f t="shared" si="13"/>
        <v>2018</v>
      </c>
      <c r="D452" s="23">
        <f t="shared" ref="D452:D515" si="14">B452-DATE(YEAR(B452),1,0)</f>
        <v>106</v>
      </c>
      <c r="E452" t="s">
        <v>6</v>
      </c>
      <c r="F452">
        <f>(SingleBerryDW!F452/SingleBerryFW!F452)*100</f>
        <v>17</v>
      </c>
    </row>
    <row r="453" spans="1:6" hidden="1" x14ac:dyDescent="0.25">
      <c r="A453" t="s">
        <v>7</v>
      </c>
      <c r="B453" s="2">
        <v>43209</v>
      </c>
      <c r="C453">
        <f t="shared" si="13"/>
        <v>2018</v>
      </c>
      <c r="D453" s="23">
        <f t="shared" si="14"/>
        <v>109</v>
      </c>
      <c r="E453" t="s">
        <v>6</v>
      </c>
      <c r="F453">
        <f>(SingleBerryDW!F453/SingleBerryFW!F453)*100</f>
        <v>15.299999999999999</v>
      </c>
    </row>
    <row r="454" spans="1:6" hidden="1" x14ac:dyDescent="0.25">
      <c r="A454" t="s">
        <v>7</v>
      </c>
      <c r="B454" s="2">
        <v>43209</v>
      </c>
      <c r="C454">
        <f t="shared" si="13"/>
        <v>2018</v>
      </c>
      <c r="D454" s="23">
        <f t="shared" si="14"/>
        <v>109</v>
      </c>
      <c r="E454" t="s">
        <v>6</v>
      </c>
      <c r="F454">
        <f>(SingleBerryDW!F454/SingleBerryFW!F454)*100</f>
        <v>16.600000000000001</v>
      </c>
    </row>
    <row r="455" spans="1:6" hidden="1" x14ac:dyDescent="0.25">
      <c r="A455" t="s">
        <v>7</v>
      </c>
      <c r="B455" s="2">
        <v>43215</v>
      </c>
      <c r="C455">
        <f t="shared" si="13"/>
        <v>2018</v>
      </c>
      <c r="D455" s="23">
        <f t="shared" si="14"/>
        <v>115</v>
      </c>
      <c r="E455" t="s">
        <v>6</v>
      </c>
      <c r="F455">
        <f>(SingleBerryDW!F455/SingleBerryFW!F455)*100</f>
        <v>15.6</v>
      </c>
    </row>
    <row r="456" spans="1:6" hidden="1" x14ac:dyDescent="0.25">
      <c r="A456" t="s">
        <v>7</v>
      </c>
      <c r="B456" s="2">
        <v>43215</v>
      </c>
      <c r="C456">
        <f t="shared" si="13"/>
        <v>2018</v>
      </c>
      <c r="D456" s="23">
        <f t="shared" si="14"/>
        <v>115</v>
      </c>
      <c r="E456" t="s">
        <v>6</v>
      </c>
      <c r="F456">
        <f>(SingleBerryDW!F456/SingleBerryFW!F456)*100</f>
        <v>16.600000000000005</v>
      </c>
    </row>
    <row r="457" spans="1:6" hidden="1" x14ac:dyDescent="0.25">
      <c r="A457" t="s">
        <v>7</v>
      </c>
      <c r="B457" s="2">
        <v>43215</v>
      </c>
      <c r="C457">
        <f t="shared" si="13"/>
        <v>2018</v>
      </c>
      <c r="D457" s="23">
        <f t="shared" si="14"/>
        <v>115</v>
      </c>
      <c r="E457" t="s">
        <v>6</v>
      </c>
      <c r="F457">
        <f>(SingleBerryDW!F457/SingleBerryFW!F457)*100</f>
        <v>17.100000000000001</v>
      </c>
    </row>
    <row r="458" spans="1:6" hidden="1" x14ac:dyDescent="0.25">
      <c r="A458" t="s">
        <v>7</v>
      </c>
      <c r="B458" s="2">
        <v>43215</v>
      </c>
      <c r="C458">
        <f t="shared" si="13"/>
        <v>2018</v>
      </c>
      <c r="D458" s="23">
        <f t="shared" si="14"/>
        <v>115</v>
      </c>
      <c r="E458" t="s">
        <v>6</v>
      </c>
      <c r="F458">
        <f>(SingleBerryDW!F458/SingleBerryFW!F458)*100</f>
        <v>17.100000000000005</v>
      </c>
    </row>
    <row r="459" spans="1:6" hidden="1" x14ac:dyDescent="0.25">
      <c r="A459" t="s">
        <v>7</v>
      </c>
      <c r="B459" s="2">
        <v>43221</v>
      </c>
      <c r="C459">
        <f t="shared" si="13"/>
        <v>2018</v>
      </c>
      <c r="D459" s="23">
        <f t="shared" si="14"/>
        <v>121</v>
      </c>
      <c r="E459" t="s">
        <v>6</v>
      </c>
      <c r="F459">
        <f>(SingleBerryDW!F459/SingleBerryFW!F459)*100</f>
        <v>15.7</v>
      </c>
    </row>
    <row r="460" spans="1:6" hidden="1" x14ac:dyDescent="0.25">
      <c r="A460" t="s">
        <v>7</v>
      </c>
      <c r="B460" s="2">
        <v>43221</v>
      </c>
      <c r="C460">
        <f t="shared" si="13"/>
        <v>2018</v>
      </c>
      <c r="D460" s="23">
        <f t="shared" si="14"/>
        <v>121</v>
      </c>
      <c r="E460" t="s">
        <v>6</v>
      </c>
      <c r="F460">
        <f>(SingleBerryDW!F460/SingleBerryFW!F460)*100</f>
        <v>16.600000000000001</v>
      </c>
    </row>
    <row r="461" spans="1:6" hidden="1" x14ac:dyDescent="0.25">
      <c r="A461" t="s">
        <v>7</v>
      </c>
      <c r="B461" s="2">
        <v>43221</v>
      </c>
      <c r="C461">
        <f t="shared" si="13"/>
        <v>2018</v>
      </c>
      <c r="D461" s="23">
        <f t="shared" si="14"/>
        <v>121</v>
      </c>
      <c r="E461" t="s">
        <v>6</v>
      </c>
      <c r="F461">
        <f>(SingleBerryDW!F461/SingleBerryFW!F461)*100</f>
        <v>17</v>
      </c>
    </row>
    <row r="462" spans="1:6" hidden="1" x14ac:dyDescent="0.25">
      <c r="A462" t="s">
        <v>7</v>
      </c>
      <c r="B462" s="2">
        <v>43221</v>
      </c>
      <c r="C462">
        <f t="shared" si="13"/>
        <v>2018</v>
      </c>
      <c r="D462" s="23">
        <f t="shared" si="14"/>
        <v>121</v>
      </c>
      <c r="E462" t="s">
        <v>6</v>
      </c>
      <c r="F462">
        <f>(SingleBerryDW!F462/SingleBerryFW!F462)*100</f>
        <v>17.2</v>
      </c>
    </row>
    <row r="463" spans="1:6" hidden="1" x14ac:dyDescent="0.25">
      <c r="A463" t="s">
        <v>7</v>
      </c>
      <c r="B463" s="2">
        <v>43234</v>
      </c>
      <c r="C463">
        <f t="shared" si="13"/>
        <v>2018</v>
      </c>
      <c r="D463" s="23">
        <f t="shared" si="14"/>
        <v>134</v>
      </c>
      <c r="E463" t="s">
        <v>6</v>
      </c>
      <c r="F463">
        <f>(SingleBerryDW!F463/SingleBerryFW!F463)*100</f>
        <v>16.600000000000001</v>
      </c>
    </row>
    <row r="464" spans="1:6" hidden="1" x14ac:dyDescent="0.25">
      <c r="A464" t="s">
        <v>7</v>
      </c>
      <c r="B464" s="2">
        <v>43234</v>
      </c>
      <c r="C464">
        <f t="shared" si="13"/>
        <v>2018</v>
      </c>
      <c r="D464" s="23">
        <f t="shared" si="14"/>
        <v>134</v>
      </c>
      <c r="E464" t="s">
        <v>6</v>
      </c>
      <c r="F464">
        <f>(SingleBerryDW!F464/SingleBerryFW!F464)*100</f>
        <v>17.899999999999999</v>
      </c>
    </row>
    <row r="465" spans="1:6" hidden="1" x14ac:dyDescent="0.25">
      <c r="A465" t="s">
        <v>7</v>
      </c>
      <c r="B465" s="2">
        <v>43235</v>
      </c>
      <c r="C465">
        <f t="shared" si="13"/>
        <v>2018</v>
      </c>
      <c r="D465" s="23">
        <f t="shared" si="14"/>
        <v>135</v>
      </c>
      <c r="E465" t="s">
        <v>6</v>
      </c>
      <c r="F465">
        <f>(SingleBerryDW!F465/SingleBerryFW!F465)*100</f>
        <v>16</v>
      </c>
    </row>
    <row r="466" spans="1:6" hidden="1" x14ac:dyDescent="0.25">
      <c r="A466" t="s">
        <v>7</v>
      </c>
      <c r="B466" s="2">
        <v>43235</v>
      </c>
      <c r="C466">
        <f t="shared" si="13"/>
        <v>2018</v>
      </c>
      <c r="D466" s="23">
        <f t="shared" si="14"/>
        <v>135</v>
      </c>
      <c r="E466" t="s">
        <v>6</v>
      </c>
      <c r="F466">
        <f>(SingleBerryDW!F466/SingleBerryFW!F466)*100</f>
        <v>17.7</v>
      </c>
    </row>
    <row r="467" spans="1:6" hidden="1" x14ac:dyDescent="0.25">
      <c r="A467" t="s">
        <v>7</v>
      </c>
      <c r="B467" s="2">
        <v>43248</v>
      </c>
      <c r="C467">
        <f t="shared" si="13"/>
        <v>2018</v>
      </c>
      <c r="D467" s="23">
        <f t="shared" si="14"/>
        <v>148</v>
      </c>
      <c r="E467" t="s">
        <v>6</v>
      </c>
      <c r="F467">
        <f>(SingleBerryDW!F467/SingleBerryFW!F467)*100</f>
        <v>17.2</v>
      </c>
    </row>
    <row r="468" spans="1:6" hidden="1" x14ac:dyDescent="0.25">
      <c r="A468" t="s">
        <v>7</v>
      </c>
      <c r="B468" s="2">
        <v>43248</v>
      </c>
      <c r="C468">
        <f t="shared" si="13"/>
        <v>2018</v>
      </c>
      <c r="D468" s="23">
        <f t="shared" si="14"/>
        <v>148</v>
      </c>
      <c r="E468" t="s">
        <v>6</v>
      </c>
      <c r="F468">
        <f>(SingleBerryDW!F468/SingleBerryFW!F468)*100</f>
        <v>18.399999999999999</v>
      </c>
    </row>
    <row r="469" spans="1:6" hidden="1" x14ac:dyDescent="0.25">
      <c r="A469" t="s">
        <v>7</v>
      </c>
      <c r="B469" s="2">
        <v>43249</v>
      </c>
      <c r="C469">
        <f t="shared" si="13"/>
        <v>2018</v>
      </c>
      <c r="D469" s="23">
        <f t="shared" si="14"/>
        <v>149</v>
      </c>
      <c r="E469" t="s">
        <v>6</v>
      </c>
      <c r="F469">
        <f>(SingleBerryDW!F469/SingleBerryFW!F469)*100</f>
        <v>16.600000000000001</v>
      </c>
    </row>
    <row r="470" spans="1:6" hidden="1" x14ac:dyDescent="0.25">
      <c r="A470" t="s">
        <v>7</v>
      </c>
      <c r="B470" s="2">
        <v>43249</v>
      </c>
      <c r="C470">
        <f t="shared" si="13"/>
        <v>2018</v>
      </c>
      <c r="D470" s="23">
        <f t="shared" si="14"/>
        <v>149</v>
      </c>
      <c r="E470" t="s">
        <v>6</v>
      </c>
      <c r="F470">
        <f>(SingleBerryDW!F470/SingleBerryFW!F470)*100</f>
        <v>17.8</v>
      </c>
    </row>
    <row r="471" spans="1:6" hidden="1" x14ac:dyDescent="0.25">
      <c r="A471" t="s">
        <v>7</v>
      </c>
      <c r="B471" s="2">
        <v>43479</v>
      </c>
      <c r="C471">
        <f t="shared" si="13"/>
        <v>2019</v>
      </c>
      <c r="D471" s="23">
        <f t="shared" si="14"/>
        <v>14</v>
      </c>
      <c r="E471" t="s">
        <v>6</v>
      </c>
      <c r="F471">
        <f>(SingleBerryDW!F471/SingleBerryFW!F471)*100</f>
        <v>8</v>
      </c>
    </row>
    <row r="472" spans="1:6" hidden="1" x14ac:dyDescent="0.25">
      <c r="A472" t="s">
        <v>7</v>
      </c>
      <c r="B472" s="2">
        <v>43479</v>
      </c>
      <c r="C472">
        <f t="shared" si="13"/>
        <v>2019</v>
      </c>
      <c r="D472" s="23">
        <f t="shared" si="14"/>
        <v>14</v>
      </c>
      <c r="E472" t="s">
        <v>6</v>
      </c>
      <c r="F472">
        <f>(SingleBerryDW!F472/SingleBerryFW!F472)*100</f>
        <v>7.4000000000000012</v>
      </c>
    </row>
    <row r="473" spans="1:6" hidden="1" x14ac:dyDescent="0.25">
      <c r="A473" t="s">
        <v>7</v>
      </c>
      <c r="B473" s="2">
        <v>43479</v>
      </c>
      <c r="C473">
        <f t="shared" si="13"/>
        <v>2019</v>
      </c>
      <c r="D473" s="23">
        <f t="shared" si="14"/>
        <v>14</v>
      </c>
      <c r="E473" t="s">
        <v>6</v>
      </c>
      <c r="F473">
        <f>(SingleBerryDW!F473/SingleBerryFW!F473)*100</f>
        <v>7.6</v>
      </c>
    </row>
    <row r="474" spans="1:6" hidden="1" x14ac:dyDescent="0.25">
      <c r="A474" t="s">
        <v>7</v>
      </c>
      <c r="B474" s="2">
        <v>43479</v>
      </c>
      <c r="C474">
        <f t="shared" si="13"/>
        <v>2019</v>
      </c>
      <c r="D474" s="23">
        <f t="shared" si="14"/>
        <v>14</v>
      </c>
      <c r="E474" t="s">
        <v>6</v>
      </c>
      <c r="F474">
        <f>(SingleBerryDW!F474/SingleBerryFW!F474)*100</f>
        <v>7.7999999999999989</v>
      </c>
    </row>
    <row r="475" spans="1:6" hidden="1" x14ac:dyDescent="0.25">
      <c r="A475" t="s">
        <v>7</v>
      </c>
      <c r="B475" s="2">
        <v>43514</v>
      </c>
      <c r="C475">
        <f t="shared" si="13"/>
        <v>2019</v>
      </c>
      <c r="D475" s="23">
        <f t="shared" si="14"/>
        <v>49</v>
      </c>
      <c r="E475" t="s">
        <v>6</v>
      </c>
      <c r="F475">
        <f>(SingleBerryDW!F475/SingleBerryFW!F475)*100</f>
        <v>13.3</v>
      </c>
    </row>
    <row r="476" spans="1:6" hidden="1" x14ac:dyDescent="0.25">
      <c r="A476" t="s">
        <v>7</v>
      </c>
      <c r="B476" s="2">
        <v>43514</v>
      </c>
      <c r="C476">
        <f t="shared" si="13"/>
        <v>2019</v>
      </c>
      <c r="D476" s="23">
        <f t="shared" si="14"/>
        <v>49</v>
      </c>
      <c r="E476" t="s">
        <v>6</v>
      </c>
      <c r="F476">
        <f>(SingleBerryDW!F476/SingleBerryFW!F476)*100</f>
        <v>12.800000000000002</v>
      </c>
    </row>
    <row r="477" spans="1:6" hidden="1" x14ac:dyDescent="0.25">
      <c r="A477" t="s">
        <v>7</v>
      </c>
      <c r="B477" s="2">
        <v>43514</v>
      </c>
      <c r="C477">
        <f t="shared" si="13"/>
        <v>2019</v>
      </c>
      <c r="D477" s="23">
        <f t="shared" si="14"/>
        <v>49</v>
      </c>
      <c r="E477" t="s">
        <v>6</v>
      </c>
      <c r="F477">
        <f>(SingleBerryDW!F477/SingleBerryFW!F477)*100</f>
        <v>12.899999999999997</v>
      </c>
    </row>
    <row r="478" spans="1:6" hidden="1" x14ac:dyDescent="0.25">
      <c r="A478" t="s">
        <v>7</v>
      </c>
      <c r="B478" s="2">
        <v>43514</v>
      </c>
      <c r="C478">
        <f t="shared" si="13"/>
        <v>2019</v>
      </c>
      <c r="D478" s="23">
        <f t="shared" si="14"/>
        <v>49</v>
      </c>
      <c r="E478" t="s">
        <v>6</v>
      </c>
      <c r="F478">
        <f>(SingleBerryDW!F478/SingleBerryFW!F478)*100</f>
        <v>13.4</v>
      </c>
    </row>
    <row r="479" spans="1:6" hidden="1" x14ac:dyDescent="0.25">
      <c r="A479" t="s">
        <v>7</v>
      </c>
      <c r="B479" s="2">
        <v>43528</v>
      </c>
      <c r="C479">
        <f t="shared" si="13"/>
        <v>2019</v>
      </c>
      <c r="D479" s="23">
        <f t="shared" si="14"/>
        <v>63</v>
      </c>
      <c r="E479" t="s">
        <v>6</v>
      </c>
      <c r="F479">
        <f>(SingleBerryDW!F479/SingleBerryFW!F479)*100</f>
        <v>14.499999999999998</v>
      </c>
    </row>
    <row r="480" spans="1:6" hidden="1" x14ac:dyDescent="0.25">
      <c r="A480" t="s">
        <v>7</v>
      </c>
      <c r="B480" s="2">
        <v>43528</v>
      </c>
      <c r="C480">
        <f t="shared" si="13"/>
        <v>2019</v>
      </c>
      <c r="D480" s="23">
        <f t="shared" si="14"/>
        <v>63</v>
      </c>
      <c r="E480" t="s">
        <v>6</v>
      </c>
      <c r="F480">
        <f>(SingleBerryDW!F480/SingleBerryFW!F480)*100</f>
        <v>14.700000000000003</v>
      </c>
    </row>
    <row r="481" spans="1:6" hidden="1" x14ac:dyDescent="0.25">
      <c r="A481" t="s">
        <v>7</v>
      </c>
      <c r="B481" s="2">
        <v>43529</v>
      </c>
      <c r="C481">
        <f t="shared" si="13"/>
        <v>2019</v>
      </c>
      <c r="D481" s="23">
        <f t="shared" si="14"/>
        <v>64</v>
      </c>
      <c r="E481" t="s">
        <v>6</v>
      </c>
      <c r="F481">
        <f>(SingleBerryDW!F481/SingleBerryFW!F481)*100</f>
        <v>15.200000000000003</v>
      </c>
    </row>
    <row r="482" spans="1:6" hidden="1" x14ac:dyDescent="0.25">
      <c r="A482" t="s">
        <v>7</v>
      </c>
      <c r="B482" s="2">
        <v>43542</v>
      </c>
      <c r="C482">
        <f t="shared" si="13"/>
        <v>2019</v>
      </c>
      <c r="D482" s="23">
        <f t="shared" si="14"/>
        <v>77</v>
      </c>
      <c r="E482" t="s">
        <v>6</v>
      </c>
      <c r="F482">
        <f>(SingleBerryDW!F482/SingleBerryFW!F482)*100</f>
        <v>15.8</v>
      </c>
    </row>
    <row r="483" spans="1:6" hidden="1" x14ac:dyDescent="0.25">
      <c r="A483" t="s">
        <v>7</v>
      </c>
      <c r="B483" s="2">
        <v>43542</v>
      </c>
      <c r="C483">
        <f t="shared" si="13"/>
        <v>2019</v>
      </c>
      <c r="D483" s="23">
        <f t="shared" si="14"/>
        <v>77</v>
      </c>
      <c r="E483" t="s">
        <v>6</v>
      </c>
      <c r="F483">
        <f>(SingleBerryDW!F483/SingleBerryFW!F483)*100</f>
        <v>15.4</v>
      </c>
    </row>
    <row r="484" spans="1:6" hidden="1" x14ac:dyDescent="0.25">
      <c r="A484" t="s">
        <v>7</v>
      </c>
      <c r="B484" s="2">
        <v>43543</v>
      </c>
      <c r="C484">
        <f t="shared" si="13"/>
        <v>2019</v>
      </c>
      <c r="D484" s="23">
        <f t="shared" si="14"/>
        <v>78</v>
      </c>
      <c r="E484" t="s">
        <v>6</v>
      </c>
      <c r="F484">
        <f>(SingleBerryDW!F484/SingleBerryFW!F484)*100</f>
        <v>16</v>
      </c>
    </row>
    <row r="485" spans="1:6" hidden="1" x14ac:dyDescent="0.25">
      <c r="A485" t="s">
        <v>7</v>
      </c>
      <c r="B485" s="2">
        <v>43557</v>
      </c>
      <c r="C485">
        <f t="shared" si="13"/>
        <v>2019</v>
      </c>
      <c r="D485" s="23">
        <f t="shared" si="14"/>
        <v>92</v>
      </c>
      <c r="E485" t="s">
        <v>6</v>
      </c>
      <c r="F485">
        <f>(SingleBerryDW!F485/SingleBerryFW!F485)*100</f>
        <v>16.100000000000001</v>
      </c>
    </row>
    <row r="486" spans="1:6" hidden="1" x14ac:dyDescent="0.25">
      <c r="A486" t="s">
        <v>7</v>
      </c>
      <c r="B486" s="2">
        <v>43557</v>
      </c>
      <c r="C486">
        <f t="shared" si="13"/>
        <v>2019</v>
      </c>
      <c r="D486" s="23">
        <f t="shared" si="14"/>
        <v>92</v>
      </c>
      <c r="E486" t="s">
        <v>6</v>
      </c>
      <c r="F486">
        <f>(SingleBerryDW!F486/SingleBerryFW!F486)*100</f>
        <v>16.400000000000002</v>
      </c>
    </row>
    <row r="487" spans="1:6" hidden="1" x14ac:dyDescent="0.25">
      <c r="A487" t="s">
        <v>7</v>
      </c>
      <c r="B487" s="2">
        <v>43557</v>
      </c>
      <c r="C487">
        <f t="shared" si="13"/>
        <v>2019</v>
      </c>
      <c r="D487" s="23">
        <f t="shared" si="14"/>
        <v>92</v>
      </c>
      <c r="E487" t="s">
        <v>6</v>
      </c>
      <c r="F487">
        <f>(SingleBerryDW!F487/SingleBerryFW!F487)*100</f>
        <v>16.600000000000001</v>
      </c>
    </row>
    <row r="488" spans="1:6" hidden="1" x14ac:dyDescent="0.25">
      <c r="A488" t="s">
        <v>7</v>
      </c>
      <c r="B488" s="2">
        <v>43557</v>
      </c>
      <c r="C488">
        <f t="shared" si="13"/>
        <v>2019</v>
      </c>
      <c r="D488" s="23">
        <f t="shared" si="14"/>
        <v>92</v>
      </c>
      <c r="E488" t="s">
        <v>6</v>
      </c>
      <c r="F488">
        <f>(SingleBerryDW!F488/SingleBerryFW!F488)*100</f>
        <v>15.7</v>
      </c>
    </row>
    <row r="489" spans="1:6" hidden="1" x14ac:dyDescent="0.25">
      <c r="A489" t="s">
        <v>7</v>
      </c>
      <c r="B489" s="2">
        <v>43564</v>
      </c>
      <c r="C489">
        <f t="shared" si="13"/>
        <v>2019</v>
      </c>
      <c r="D489" s="23">
        <f t="shared" si="14"/>
        <v>99</v>
      </c>
      <c r="E489" t="s">
        <v>6</v>
      </c>
      <c r="F489">
        <f>(SingleBerryDW!F489/SingleBerryFW!F489)*100</f>
        <v>16.5</v>
      </c>
    </row>
    <row r="490" spans="1:6" hidden="1" x14ac:dyDescent="0.25">
      <c r="A490" t="s">
        <v>7</v>
      </c>
      <c r="B490" s="2">
        <v>43564</v>
      </c>
      <c r="C490">
        <f t="shared" si="13"/>
        <v>2019</v>
      </c>
      <c r="D490" s="23">
        <f t="shared" si="14"/>
        <v>99</v>
      </c>
      <c r="E490" t="s">
        <v>6</v>
      </c>
      <c r="F490">
        <f>(SingleBerryDW!F490/SingleBerryFW!F490)*100</f>
        <v>16.3</v>
      </c>
    </row>
    <row r="491" spans="1:6" hidden="1" x14ac:dyDescent="0.25">
      <c r="A491" t="s">
        <v>7</v>
      </c>
      <c r="B491" s="2">
        <v>43564</v>
      </c>
      <c r="C491">
        <f t="shared" si="13"/>
        <v>2019</v>
      </c>
      <c r="D491" s="23">
        <f t="shared" si="14"/>
        <v>99</v>
      </c>
      <c r="E491" t="s">
        <v>6</v>
      </c>
      <c r="F491">
        <f>(SingleBerryDW!F491/SingleBerryFW!F491)*100</f>
        <v>16.899999999999999</v>
      </c>
    </row>
    <row r="492" spans="1:6" hidden="1" x14ac:dyDescent="0.25">
      <c r="A492" t="s">
        <v>7</v>
      </c>
      <c r="B492" s="2">
        <v>43564</v>
      </c>
      <c r="C492">
        <f t="shared" si="13"/>
        <v>2019</v>
      </c>
      <c r="D492" s="23">
        <f t="shared" si="14"/>
        <v>99</v>
      </c>
      <c r="E492" t="s">
        <v>6</v>
      </c>
      <c r="F492">
        <f>(SingleBerryDW!F492/SingleBerryFW!F492)*100</f>
        <v>16.3</v>
      </c>
    </row>
    <row r="493" spans="1:6" hidden="1" x14ac:dyDescent="0.25">
      <c r="A493" t="s">
        <v>7</v>
      </c>
      <c r="B493" s="2">
        <v>43570</v>
      </c>
      <c r="C493">
        <f t="shared" si="13"/>
        <v>2019</v>
      </c>
      <c r="D493" s="23">
        <f t="shared" si="14"/>
        <v>105</v>
      </c>
      <c r="E493" t="s">
        <v>6</v>
      </c>
      <c r="F493">
        <f>(SingleBerryDW!F493/SingleBerryFW!F493)*100</f>
        <v>16.600000000000001</v>
      </c>
    </row>
    <row r="494" spans="1:6" hidden="1" x14ac:dyDescent="0.25">
      <c r="A494" t="s">
        <v>7</v>
      </c>
      <c r="B494" s="2">
        <v>43570</v>
      </c>
      <c r="C494">
        <f t="shared" si="13"/>
        <v>2019</v>
      </c>
      <c r="D494" s="23">
        <f t="shared" si="14"/>
        <v>105</v>
      </c>
      <c r="E494" t="s">
        <v>6</v>
      </c>
      <c r="F494">
        <f>(SingleBerryDW!F494/SingleBerryFW!F494)*100</f>
        <v>16.7</v>
      </c>
    </row>
    <row r="495" spans="1:6" hidden="1" x14ac:dyDescent="0.25">
      <c r="A495" t="s">
        <v>7</v>
      </c>
      <c r="B495" s="2">
        <v>43570</v>
      </c>
      <c r="C495">
        <f t="shared" si="13"/>
        <v>2019</v>
      </c>
      <c r="D495" s="23">
        <f t="shared" si="14"/>
        <v>105</v>
      </c>
      <c r="E495" t="s">
        <v>6</v>
      </c>
      <c r="F495">
        <f>(SingleBerryDW!F495/SingleBerryFW!F495)*100</f>
        <v>17.299999999999997</v>
      </c>
    </row>
    <row r="496" spans="1:6" hidden="1" x14ac:dyDescent="0.25">
      <c r="A496" t="s">
        <v>7</v>
      </c>
      <c r="B496" s="2">
        <v>43570</v>
      </c>
      <c r="C496">
        <f t="shared" si="13"/>
        <v>2019</v>
      </c>
      <c r="D496" s="23">
        <f t="shared" si="14"/>
        <v>105</v>
      </c>
      <c r="E496" t="s">
        <v>6</v>
      </c>
      <c r="F496">
        <f>(SingleBerryDW!F496/SingleBerryFW!F496)*100</f>
        <v>16.399999999999999</v>
      </c>
    </row>
    <row r="497" spans="1:6" hidden="1" x14ac:dyDescent="0.25">
      <c r="A497" t="s">
        <v>7</v>
      </c>
      <c r="B497" s="2">
        <v>43577</v>
      </c>
      <c r="C497">
        <f t="shared" si="13"/>
        <v>2019</v>
      </c>
      <c r="D497" s="23">
        <f t="shared" si="14"/>
        <v>112</v>
      </c>
      <c r="E497" t="s">
        <v>6</v>
      </c>
      <c r="F497">
        <f>(SingleBerryDW!F497/SingleBerryFW!F497)*100</f>
        <v>16.400000000000002</v>
      </c>
    </row>
    <row r="498" spans="1:6" hidden="1" x14ac:dyDescent="0.25">
      <c r="A498" t="s">
        <v>7</v>
      </c>
      <c r="B498" s="2">
        <v>43577</v>
      </c>
      <c r="C498">
        <f t="shared" si="13"/>
        <v>2019</v>
      </c>
      <c r="D498" s="23">
        <f t="shared" si="14"/>
        <v>112</v>
      </c>
      <c r="E498" t="s">
        <v>6</v>
      </c>
      <c r="F498">
        <f>(SingleBerryDW!F498/SingleBerryFW!F498)*100</f>
        <v>16.8</v>
      </c>
    </row>
    <row r="499" spans="1:6" hidden="1" x14ac:dyDescent="0.25">
      <c r="A499" t="s">
        <v>7</v>
      </c>
      <c r="B499" s="2">
        <v>43577</v>
      </c>
      <c r="C499">
        <f t="shared" si="13"/>
        <v>2019</v>
      </c>
      <c r="D499" s="23">
        <f t="shared" si="14"/>
        <v>112</v>
      </c>
      <c r="E499" t="s">
        <v>6</v>
      </c>
      <c r="F499">
        <f>(SingleBerryDW!F499/SingleBerryFW!F499)*100</f>
        <v>17.399999999999999</v>
      </c>
    </row>
    <row r="500" spans="1:6" hidden="1" x14ac:dyDescent="0.25">
      <c r="A500" t="s">
        <v>7</v>
      </c>
      <c r="B500" s="2">
        <v>43577</v>
      </c>
      <c r="C500">
        <f t="shared" si="13"/>
        <v>2019</v>
      </c>
      <c r="D500" s="23">
        <f t="shared" si="14"/>
        <v>112</v>
      </c>
      <c r="E500" t="s">
        <v>6</v>
      </c>
      <c r="F500">
        <f>(SingleBerryDW!F500/SingleBerryFW!F500)*100</f>
        <v>16.3</v>
      </c>
    </row>
    <row r="501" spans="1:6" hidden="1" x14ac:dyDescent="0.25">
      <c r="A501" t="s">
        <v>7</v>
      </c>
      <c r="B501" s="2">
        <v>43584</v>
      </c>
      <c r="C501">
        <f t="shared" si="13"/>
        <v>2019</v>
      </c>
      <c r="D501" s="23">
        <f t="shared" si="14"/>
        <v>119</v>
      </c>
      <c r="E501" t="s">
        <v>6</v>
      </c>
      <c r="F501">
        <f>(SingleBerryDW!F501/SingleBerryFW!F501)*100</f>
        <v>16.7</v>
      </c>
    </row>
    <row r="502" spans="1:6" hidden="1" x14ac:dyDescent="0.25">
      <c r="A502" t="s">
        <v>7</v>
      </c>
      <c r="B502" s="2">
        <v>43584</v>
      </c>
      <c r="C502">
        <f t="shared" si="13"/>
        <v>2019</v>
      </c>
      <c r="D502" s="23">
        <f t="shared" si="14"/>
        <v>119</v>
      </c>
      <c r="E502" t="s">
        <v>6</v>
      </c>
      <c r="F502">
        <f>(SingleBerryDW!F502/SingleBerryFW!F502)*100</f>
        <v>16.899999999999999</v>
      </c>
    </row>
    <row r="503" spans="1:6" hidden="1" x14ac:dyDescent="0.25">
      <c r="A503" t="s">
        <v>7</v>
      </c>
      <c r="B503" s="2">
        <v>43584</v>
      </c>
      <c r="C503">
        <f t="shared" si="13"/>
        <v>2019</v>
      </c>
      <c r="D503" s="23">
        <f t="shared" si="14"/>
        <v>119</v>
      </c>
      <c r="E503" t="s">
        <v>6</v>
      </c>
      <c r="F503">
        <f>(SingleBerryDW!F503/SingleBerryFW!F503)*100</f>
        <v>17.599999999999998</v>
      </c>
    </row>
    <row r="504" spans="1:6" hidden="1" x14ac:dyDescent="0.25">
      <c r="A504" t="s">
        <v>7</v>
      </c>
      <c r="B504" s="2">
        <v>43584</v>
      </c>
      <c r="C504">
        <f t="shared" si="13"/>
        <v>2019</v>
      </c>
      <c r="D504" s="23">
        <f t="shared" si="14"/>
        <v>119</v>
      </c>
      <c r="E504" t="s">
        <v>6</v>
      </c>
      <c r="F504">
        <f>(SingleBerryDW!F504/SingleBerryFW!F504)*100</f>
        <v>16.600000000000001</v>
      </c>
    </row>
    <row r="505" spans="1:6" hidden="1" x14ac:dyDescent="0.25">
      <c r="A505" t="s">
        <v>7</v>
      </c>
      <c r="B505" s="2">
        <v>43612</v>
      </c>
      <c r="C505">
        <f t="shared" si="13"/>
        <v>2019</v>
      </c>
      <c r="D505" s="23">
        <f t="shared" si="14"/>
        <v>147</v>
      </c>
      <c r="E505" t="s">
        <v>6</v>
      </c>
      <c r="F505">
        <f>(SingleBerryDW!F505/SingleBerryFW!F505)*100</f>
        <v>18.3</v>
      </c>
    </row>
    <row r="506" spans="1:6" hidden="1" x14ac:dyDescent="0.25">
      <c r="A506" t="s">
        <v>7</v>
      </c>
      <c r="B506" s="2">
        <v>43612</v>
      </c>
      <c r="C506">
        <f t="shared" si="13"/>
        <v>2019</v>
      </c>
      <c r="D506" s="23">
        <f t="shared" si="14"/>
        <v>147</v>
      </c>
      <c r="E506" t="s">
        <v>6</v>
      </c>
      <c r="F506">
        <f>(SingleBerryDW!F506/SingleBerryFW!F506)*100</f>
        <v>17.5</v>
      </c>
    </row>
    <row r="507" spans="1:6" hidden="1" x14ac:dyDescent="0.25">
      <c r="A507" t="s">
        <v>7</v>
      </c>
      <c r="B507" s="2">
        <v>43613</v>
      </c>
      <c r="C507">
        <f t="shared" si="13"/>
        <v>2019</v>
      </c>
      <c r="D507" s="23">
        <f t="shared" si="14"/>
        <v>148</v>
      </c>
      <c r="E507" t="s">
        <v>6</v>
      </c>
      <c r="F507">
        <f>(SingleBerryDW!F507/SingleBerryFW!F507)*100</f>
        <v>17.599999999999998</v>
      </c>
    </row>
    <row r="508" spans="1:6" hidden="1" x14ac:dyDescent="0.25">
      <c r="A508" t="s">
        <v>7</v>
      </c>
      <c r="B508" s="2">
        <v>43613</v>
      </c>
      <c r="C508">
        <f t="shared" ref="C508:C571" si="15">YEAR(B508)</f>
        <v>2019</v>
      </c>
      <c r="D508" s="23">
        <f t="shared" si="14"/>
        <v>148</v>
      </c>
      <c r="E508" t="s">
        <v>6</v>
      </c>
      <c r="F508">
        <f>(SingleBerryDW!F508/SingleBerryFW!F508)*100</f>
        <v>17.700000000000003</v>
      </c>
    </row>
    <row r="509" spans="1:6" hidden="1" x14ac:dyDescent="0.25">
      <c r="A509" t="s">
        <v>7</v>
      </c>
      <c r="B509" s="2">
        <v>43850</v>
      </c>
      <c r="C509">
        <f t="shared" si="15"/>
        <v>2020</v>
      </c>
      <c r="D509" s="23">
        <f t="shared" si="14"/>
        <v>20</v>
      </c>
      <c r="E509" t="s">
        <v>6</v>
      </c>
      <c r="F509">
        <f>(SingleBerryDW!F509/SingleBerryFW!F509)*100</f>
        <v>8.6</v>
      </c>
    </row>
    <row r="510" spans="1:6" hidden="1" x14ac:dyDescent="0.25">
      <c r="A510" t="s">
        <v>7</v>
      </c>
      <c r="B510" s="2">
        <v>43850</v>
      </c>
      <c r="C510">
        <f t="shared" si="15"/>
        <v>2020</v>
      </c>
      <c r="D510" s="23">
        <f t="shared" si="14"/>
        <v>20</v>
      </c>
      <c r="E510" t="s">
        <v>6</v>
      </c>
      <c r="F510">
        <f>(SingleBerryDW!F510/SingleBerryFW!F510)*100</f>
        <v>8.6000000000000014</v>
      </c>
    </row>
    <row r="511" spans="1:6" hidden="1" x14ac:dyDescent="0.25">
      <c r="A511" t="s">
        <v>7</v>
      </c>
      <c r="B511" s="2">
        <v>43851</v>
      </c>
      <c r="C511">
        <f t="shared" si="15"/>
        <v>2020</v>
      </c>
      <c r="D511" s="23">
        <f t="shared" si="14"/>
        <v>21</v>
      </c>
      <c r="E511" t="s">
        <v>6</v>
      </c>
      <c r="F511">
        <f>(SingleBerryDW!F511/SingleBerryFW!F511)*100</f>
        <v>8.9</v>
      </c>
    </row>
    <row r="512" spans="1:6" hidden="1" x14ac:dyDescent="0.25">
      <c r="A512" t="s">
        <v>7</v>
      </c>
      <c r="B512" s="2">
        <v>43878</v>
      </c>
      <c r="C512">
        <f t="shared" si="15"/>
        <v>2020</v>
      </c>
      <c r="D512" s="23">
        <f t="shared" si="14"/>
        <v>48</v>
      </c>
      <c r="E512" t="s">
        <v>6</v>
      </c>
      <c r="F512">
        <f>(SingleBerryDW!F512/SingleBerryFW!F512)*100</f>
        <v>13.3</v>
      </c>
    </row>
    <row r="513" spans="1:6" hidden="1" x14ac:dyDescent="0.25">
      <c r="A513" t="s">
        <v>7</v>
      </c>
      <c r="B513" s="2">
        <v>43878</v>
      </c>
      <c r="C513">
        <f t="shared" si="15"/>
        <v>2020</v>
      </c>
      <c r="D513" s="23">
        <f t="shared" si="14"/>
        <v>48</v>
      </c>
      <c r="E513" t="s">
        <v>6</v>
      </c>
      <c r="F513">
        <f>(SingleBerryDW!F513/SingleBerryFW!F513)*100</f>
        <v>12.799999999999997</v>
      </c>
    </row>
    <row r="514" spans="1:6" hidden="1" x14ac:dyDescent="0.25">
      <c r="A514" t="s">
        <v>7</v>
      </c>
      <c r="B514" s="2">
        <v>43880</v>
      </c>
      <c r="C514">
        <f t="shared" si="15"/>
        <v>2020</v>
      </c>
      <c r="D514" s="23">
        <f t="shared" si="14"/>
        <v>50</v>
      </c>
      <c r="E514" t="s">
        <v>6</v>
      </c>
      <c r="F514">
        <f>(SingleBerryDW!F514/SingleBerryFW!F514)*100</f>
        <v>13.5</v>
      </c>
    </row>
    <row r="515" spans="1:6" hidden="1" x14ac:dyDescent="0.25">
      <c r="A515" t="s">
        <v>7</v>
      </c>
      <c r="B515" s="2">
        <v>43892</v>
      </c>
      <c r="C515">
        <f t="shared" si="15"/>
        <v>2020</v>
      </c>
      <c r="D515" s="23">
        <f t="shared" si="14"/>
        <v>62</v>
      </c>
      <c r="E515" t="s">
        <v>6</v>
      </c>
      <c r="F515">
        <f>(SingleBerryDW!F515/SingleBerryFW!F515)*100</f>
        <v>14.900000000000002</v>
      </c>
    </row>
    <row r="516" spans="1:6" hidden="1" x14ac:dyDescent="0.25">
      <c r="A516" t="s">
        <v>7</v>
      </c>
      <c r="B516" s="2">
        <v>43892</v>
      </c>
      <c r="C516">
        <f t="shared" si="15"/>
        <v>2020</v>
      </c>
      <c r="D516" s="23">
        <f t="shared" ref="D516:D579" si="16">B516-DATE(YEAR(B516),1,0)</f>
        <v>62</v>
      </c>
      <c r="E516" t="s">
        <v>6</v>
      </c>
      <c r="F516">
        <f>(SingleBerryDW!F516/SingleBerryFW!F516)*100</f>
        <v>14.900000000000002</v>
      </c>
    </row>
    <row r="517" spans="1:6" hidden="1" x14ac:dyDescent="0.25">
      <c r="A517" t="s">
        <v>7</v>
      </c>
      <c r="B517" s="2">
        <v>43894</v>
      </c>
      <c r="C517">
        <f t="shared" si="15"/>
        <v>2020</v>
      </c>
      <c r="D517" s="23">
        <f t="shared" si="16"/>
        <v>64</v>
      </c>
      <c r="E517" t="s">
        <v>6</v>
      </c>
      <c r="F517">
        <f>(SingleBerryDW!F517/SingleBerryFW!F517)*100</f>
        <v>14.400000000000002</v>
      </c>
    </row>
    <row r="518" spans="1:6" hidden="1" x14ac:dyDescent="0.25">
      <c r="A518" t="s">
        <v>7</v>
      </c>
      <c r="B518" s="2">
        <v>43906</v>
      </c>
      <c r="C518">
        <f t="shared" si="15"/>
        <v>2020</v>
      </c>
      <c r="D518" s="23">
        <f t="shared" si="16"/>
        <v>76</v>
      </c>
      <c r="E518" t="s">
        <v>6</v>
      </c>
      <c r="F518">
        <f>(SingleBerryDW!F518/SingleBerryFW!F518)*100</f>
        <v>16</v>
      </c>
    </row>
    <row r="519" spans="1:6" hidden="1" x14ac:dyDescent="0.25">
      <c r="A519" t="s">
        <v>7</v>
      </c>
      <c r="B519" s="2">
        <v>43906</v>
      </c>
      <c r="C519">
        <f t="shared" si="15"/>
        <v>2020</v>
      </c>
      <c r="D519" s="23">
        <f t="shared" si="16"/>
        <v>76</v>
      </c>
      <c r="E519" t="s">
        <v>6</v>
      </c>
      <c r="F519">
        <f>(SingleBerryDW!F519/SingleBerryFW!F519)*100</f>
        <v>16</v>
      </c>
    </row>
    <row r="520" spans="1:6" hidden="1" x14ac:dyDescent="0.25">
      <c r="A520" t="s">
        <v>7</v>
      </c>
      <c r="B520" s="2">
        <v>43907</v>
      </c>
      <c r="C520">
        <f t="shared" si="15"/>
        <v>2020</v>
      </c>
      <c r="D520" s="23">
        <f t="shared" si="16"/>
        <v>77</v>
      </c>
      <c r="E520" t="s">
        <v>6</v>
      </c>
      <c r="F520">
        <f>(SingleBerryDW!F520/SingleBerryFW!F520)*100</f>
        <v>15.4</v>
      </c>
    </row>
    <row r="521" spans="1:6" hidden="1" x14ac:dyDescent="0.25">
      <c r="A521" t="s">
        <v>7</v>
      </c>
      <c r="B521" s="2">
        <v>43950</v>
      </c>
      <c r="C521">
        <f t="shared" si="15"/>
        <v>2020</v>
      </c>
      <c r="D521" s="23">
        <f t="shared" si="16"/>
        <v>120</v>
      </c>
      <c r="E521" t="s">
        <v>6</v>
      </c>
      <c r="F521">
        <f>(SingleBerryDW!F521/SingleBerryFW!F521)*100</f>
        <v>18.5</v>
      </c>
    </row>
    <row r="522" spans="1:6" hidden="1" x14ac:dyDescent="0.25">
      <c r="A522" t="s">
        <v>7</v>
      </c>
      <c r="B522" s="2">
        <v>43950</v>
      </c>
      <c r="C522">
        <f t="shared" si="15"/>
        <v>2020</v>
      </c>
      <c r="D522" s="23">
        <f t="shared" si="16"/>
        <v>120</v>
      </c>
      <c r="E522" t="s">
        <v>6</v>
      </c>
      <c r="F522">
        <f>(SingleBerryDW!F522/SingleBerryFW!F522)*100</f>
        <v>18.5</v>
      </c>
    </row>
    <row r="523" spans="1:6" hidden="1" x14ac:dyDescent="0.25">
      <c r="A523" t="s">
        <v>7</v>
      </c>
      <c r="B523" s="2">
        <v>43950</v>
      </c>
      <c r="C523">
        <f t="shared" si="15"/>
        <v>2020</v>
      </c>
      <c r="D523" s="23">
        <f t="shared" si="16"/>
        <v>120</v>
      </c>
      <c r="E523" t="s">
        <v>6</v>
      </c>
      <c r="F523">
        <f>(SingleBerryDW!F523/SingleBerryFW!F523)*100</f>
        <v>17.299999999999997</v>
      </c>
    </row>
    <row r="524" spans="1:6" hidden="1" x14ac:dyDescent="0.25">
      <c r="A524" t="s">
        <v>7</v>
      </c>
      <c r="B524" s="2">
        <v>43963</v>
      </c>
      <c r="C524">
        <f t="shared" si="15"/>
        <v>2020</v>
      </c>
      <c r="D524" s="23">
        <f t="shared" si="16"/>
        <v>133</v>
      </c>
      <c r="E524" t="s">
        <v>6</v>
      </c>
      <c r="F524">
        <f>(SingleBerryDW!F524/SingleBerryFW!F524)*100</f>
        <v>18.899999999999999</v>
      </c>
    </row>
    <row r="525" spans="1:6" hidden="1" x14ac:dyDescent="0.25">
      <c r="A525" t="s">
        <v>7</v>
      </c>
      <c r="B525" s="2">
        <v>43964</v>
      </c>
      <c r="C525">
        <f t="shared" si="15"/>
        <v>2020</v>
      </c>
      <c r="D525" s="23">
        <f t="shared" si="16"/>
        <v>134</v>
      </c>
      <c r="E525" t="s">
        <v>6</v>
      </c>
      <c r="F525">
        <f>(SingleBerryDW!F525/SingleBerryFW!F525)*100</f>
        <v>18.8</v>
      </c>
    </row>
    <row r="526" spans="1:6" hidden="1" x14ac:dyDescent="0.25">
      <c r="A526" t="s">
        <v>7</v>
      </c>
      <c r="B526" s="2">
        <v>43964</v>
      </c>
      <c r="C526">
        <f t="shared" si="15"/>
        <v>2020</v>
      </c>
      <c r="D526" s="23">
        <f t="shared" si="16"/>
        <v>134</v>
      </c>
      <c r="E526" t="s">
        <v>6</v>
      </c>
      <c r="F526">
        <f>(SingleBerryDW!F526/SingleBerryFW!F526)*100</f>
        <v>17.5</v>
      </c>
    </row>
    <row r="527" spans="1:6" hidden="1" x14ac:dyDescent="0.25">
      <c r="A527" t="s">
        <v>7</v>
      </c>
      <c r="B527" s="2">
        <v>43978</v>
      </c>
      <c r="C527">
        <f t="shared" si="15"/>
        <v>2020</v>
      </c>
      <c r="D527" s="23">
        <f t="shared" si="16"/>
        <v>148</v>
      </c>
      <c r="E527" t="s">
        <v>6</v>
      </c>
      <c r="F527">
        <f>(SingleBerryDW!F527/SingleBerryFW!F527)*100</f>
        <v>18.999999999999996</v>
      </c>
    </row>
    <row r="528" spans="1:6" hidden="1" x14ac:dyDescent="0.25">
      <c r="A528" t="s">
        <v>7</v>
      </c>
      <c r="B528" s="2">
        <v>43978</v>
      </c>
      <c r="C528">
        <f t="shared" si="15"/>
        <v>2020</v>
      </c>
      <c r="D528" s="23">
        <f t="shared" si="16"/>
        <v>148</v>
      </c>
      <c r="E528" t="s">
        <v>6</v>
      </c>
      <c r="F528">
        <f>(SingleBerryDW!F528/SingleBerryFW!F528)*100</f>
        <v>18.199999999999996</v>
      </c>
    </row>
    <row r="529" spans="1:6" hidden="1" x14ac:dyDescent="0.25">
      <c r="A529" t="s">
        <v>7</v>
      </c>
      <c r="B529" s="2">
        <v>44223</v>
      </c>
      <c r="C529">
        <f t="shared" si="15"/>
        <v>2021</v>
      </c>
      <c r="D529" s="23">
        <f t="shared" si="16"/>
        <v>27</v>
      </c>
      <c r="E529" t="s">
        <v>6</v>
      </c>
      <c r="F529">
        <f>(SingleBerryDW!F529/SingleBerryFW!F529)*100</f>
        <v>10.13879683</v>
      </c>
    </row>
    <row r="530" spans="1:6" hidden="1" x14ac:dyDescent="0.25">
      <c r="A530" t="s">
        <v>7</v>
      </c>
      <c r="B530" s="2">
        <v>44223</v>
      </c>
      <c r="C530">
        <f t="shared" si="15"/>
        <v>2021</v>
      </c>
      <c r="D530" s="23">
        <f t="shared" si="16"/>
        <v>27</v>
      </c>
      <c r="E530" t="s">
        <v>6</v>
      </c>
      <c r="F530">
        <f>(SingleBerryDW!F530/SingleBerryFW!F530)*100</f>
        <v>8.9871780220000002</v>
      </c>
    </row>
    <row r="531" spans="1:6" hidden="1" x14ac:dyDescent="0.25">
      <c r="A531" t="s">
        <v>7</v>
      </c>
      <c r="B531" s="2">
        <v>44224</v>
      </c>
      <c r="C531">
        <f t="shared" si="15"/>
        <v>2021</v>
      </c>
      <c r="D531" s="23">
        <f t="shared" si="16"/>
        <v>28</v>
      </c>
      <c r="E531" t="s">
        <v>6</v>
      </c>
      <c r="F531">
        <f>(SingleBerryDW!F531/SingleBerryFW!F531)*100</f>
        <v>9.5918194680000006</v>
      </c>
    </row>
    <row r="532" spans="1:6" hidden="1" x14ac:dyDescent="0.25">
      <c r="A532" t="s">
        <v>7</v>
      </c>
      <c r="B532" s="2">
        <v>44244</v>
      </c>
      <c r="C532">
        <f t="shared" si="15"/>
        <v>2021</v>
      </c>
      <c r="D532" s="23">
        <f t="shared" si="16"/>
        <v>48</v>
      </c>
      <c r="E532" t="s">
        <v>6</v>
      </c>
      <c r="F532">
        <f>(SingleBerryDW!F532/SingleBerryFW!F532)*100</f>
        <v>12.588401129999999</v>
      </c>
    </row>
    <row r="533" spans="1:6" hidden="1" x14ac:dyDescent="0.25">
      <c r="A533" t="s">
        <v>7</v>
      </c>
      <c r="B533" s="2">
        <v>44245</v>
      </c>
      <c r="C533">
        <f t="shared" si="15"/>
        <v>2021</v>
      </c>
      <c r="D533" s="23">
        <f t="shared" si="16"/>
        <v>49</v>
      </c>
      <c r="E533" t="s">
        <v>6</v>
      </c>
      <c r="F533">
        <f>(SingleBerryDW!F533/SingleBerryFW!F533)*100</f>
        <v>12.309720889999999</v>
      </c>
    </row>
    <row r="534" spans="1:6" hidden="1" x14ac:dyDescent="0.25">
      <c r="A534" t="s">
        <v>7</v>
      </c>
      <c r="B534" s="2">
        <v>44245</v>
      </c>
      <c r="C534">
        <f t="shared" si="15"/>
        <v>2021</v>
      </c>
      <c r="D534" s="23">
        <f t="shared" si="16"/>
        <v>49</v>
      </c>
      <c r="E534" t="s">
        <v>6</v>
      </c>
      <c r="F534">
        <f>(SingleBerryDW!F534/SingleBerryFW!F534)*100</f>
        <v>11.80923168</v>
      </c>
    </row>
    <row r="535" spans="1:6" hidden="1" x14ac:dyDescent="0.25">
      <c r="A535" t="s">
        <v>7</v>
      </c>
      <c r="B535" s="2">
        <v>44258</v>
      </c>
      <c r="C535">
        <f t="shared" si="15"/>
        <v>2021</v>
      </c>
      <c r="D535" s="23">
        <f t="shared" si="16"/>
        <v>62</v>
      </c>
      <c r="E535" t="s">
        <v>6</v>
      </c>
      <c r="F535">
        <f>(SingleBerryDW!F535/SingleBerryFW!F535)*100</f>
        <v>14.489709960000003</v>
      </c>
    </row>
    <row r="536" spans="1:6" hidden="1" x14ac:dyDescent="0.25">
      <c r="A536" t="s">
        <v>7</v>
      </c>
      <c r="B536" s="2">
        <v>44258</v>
      </c>
      <c r="C536">
        <f t="shared" si="15"/>
        <v>2021</v>
      </c>
      <c r="D536" s="23">
        <f t="shared" si="16"/>
        <v>62</v>
      </c>
      <c r="E536" t="s">
        <v>6</v>
      </c>
      <c r="F536">
        <f>(SingleBerryDW!F536/SingleBerryFW!F536)*100</f>
        <v>15.025325560000002</v>
      </c>
    </row>
    <row r="537" spans="1:6" hidden="1" x14ac:dyDescent="0.25">
      <c r="A537" t="s">
        <v>7</v>
      </c>
      <c r="B537" s="2">
        <v>44258</v>
      </c>
      <c r="C537">
        <f t="shared" si="15"/>
        <v>2021</v>
      </c>
      <c r="D537" s="23">
        <f t="shared" si="16"/>
        <v>62</v>
      </c>
      <c r="E537" t="s">
        <v>6</v>
      </c>
      <c r="F537">
        <f>(SingleBerryDW!F537/SingleBerryFW!F537)*100</f>
        <v>14.567588619999999</v>
      </c>
    </row>
    <row r="538" spans="1:6" hidden="1" x14ac:dyDescent="0.25">
      <c r="A538" t="s">
        <v>7</v>
      </c>
      <c r="B538" s="2">
        <v>44272</v>
      </c>
      <c r="C538">
        <f t="shared" si="15"/>
        <v>2021</v>
      </c>
      <c r="D538" s="23">
        <f t="shared" si="16"/>
        <v>76</v>
      </c>
      <c r="E538" t="s">
        <v>6</v>
      </c>
      <c r="F538">
        <f>(SingleBerryDW!F538/SingleBerryFW!F538)*100</f>
        <v>15.51031553</v>
      </c>
    </row>
    <row r="539" spans="1:6" hidden="1" x14ac:dyDescent="0.25">
      <c r="A539" t="s">
        <v>7</v>
      </c>
      <c r="B539" s="2">
        <v>44272</v>
      </c>
      <c r="C539">
        <f t="shared" si="15"/>
        <v>2021</v>
      </c>
      <c r="D539" s="23">
        <f t="shared" si="16"/>
        <v>76</v>
      </c>
      <c r="E539" t="s">
        <v>6</v>
      </c>
      <c r="F539">
        <f>(SingleBerryDW!F539/SingleBerryFW!F539)*100</f>
        <v>16.65752165</v>
      </c>
    </row>
    <row r="540" spans="1:6" hidden="1" x14ac:dyDescent="0.25">
      <c r="A540" t="s">
        <v>7</v>
      </c>
      <c r="B540" s="2">
        <v>44272</v>
      </c>
      <c r="C540">
        <f t="shared" si="15"/>
        <v>2021</v>
      </c>
      <c r="D540" s="23">
        <f t="shared" si="16"/>
        <v>76</v>
      </c>
      <c r="E540" t="s">
        <v>6</v>
      </c>
      <c r="F540">
        <f>(SingleBerryDW!F540/SingleBerryFW!F540)*100</f>
        <v>16.516183529999999</v>
      </c>
    </row>
    <row r="541" spans="1:6" hidden="1" x14ac:dyDescent="0.25">
      <c r="A541" t="s">
        <v>7</v>
      </c>
      <c r="B541" s="2">
        <v>44286</v>
      </c>
      <c r="C541">
        <f t="shared" si="15"/>
        <v>2021</v>
      </c>
      <c r="D541" s="23">
        <f t="shared" si="16"/>
        <v>90</v>
      </c>
      <c r="E541" t="s">
        <v>6</v>
      </c>
      <c r="F541">
        <f>(SingleBerryDW!F541/SingleBerryFW!F541)*100</f>
        <v>17.496831</v>
      </c>
    </row>
    <row r="542" spans="1:6" hidden="1" x14ac:dyDescent="0.25">
      <c r="A542" t="s">
        <v>7</v>
      </c>
      <c r="B542" s="2">
        <v>44287</v>
      </c>
      <c r="C542">
        <f t="shared" si="15"/>
        <v>2021</v>
      </c>
      <c r="D542" s="23">
        <f t="shared" si="16"/>
        <v>91</v>
      </c>
      <c r="E542" t="s">
        <v>6</v>
      </c>
      <c r="F542">
        <f>(SingleBerryDW!F542/SingleBerryFW!F542)*100</f>
        <v>16.263976929999998</v>
      </c>
    </row>
    <row r="543" spans="1:6" hidden="1" x14ac:dyDescent="0.25">
      <c r="A543" t="s">
        <v>7</v>
      </c>
      <c r="B543" s="2">
        <v>44287</v>
      </c>
      <c r="C543">
        <f t="shared" si="15"/>
        <v>2021</v>
      </c>
      <c r="D543" s="23">
        <f t="shared" si="16"/>
        <v>91</v>
      </c>
      <c r="E543" t="s">
        <v>6</v>
      </c>
      <c r="F543">
        <f>(SingleBerryDW!F543/SingleBerryFW!F543)*100</f>
        <v>16.644487419999997</v>
      </c>
    </row>
    <row r="544" spans="1:6" hidden="1" x14ac:dyDescent="0.25">
      <c r="A544" t="s">
        <v>7</v>
      </c>
      <c r="B544" s="2">
        <v>44300</v>
      </c>
      <c r="C544">
        <f t="shared" si="15"/>
        <v>2021</v>
      </c>
      <c r="D544" s="23">
        <f t="shared" si="16"/>
        <v>104</v>
      </c>
      <c r="E544" t="s">
        <v>6</v>
      </c>
      <c r="F544">
        <f>(SingleBerryDW!F544/SingleBerryFW!F544)*100</f>
        <v>17.395084430000001</v>
      </c>
    </row>
    <row r="545" spans="1:6" hidden="1" x14ac:dyDescent="0.25">
      <c r="A545" t="s">
        <v>7</v>
      </c>
      <c r="B545" s="2">
        <v>44301</v>
      </c>
      <c r="C545">
        <f t="shared" si="15"/>
        <v>2021</v>
      </c>
      <c r="D545" s="23">
        <f t="shared" si="16"/>
        <v>105</v>
      </c>
      <c r="E545" t="s">
        <v>6</v>
      </c>
      <c r="F545">
        <f>(SingleBerryDW!F545/SingleBerryFW!F545)*100</f>
        <v>17.0100801</v>
      </c>
    </row>
    <row r="546" spans="1:6" hidden="1" x14ac:dyDescent="0.25">
      <c r="A546" t="s">
        <v>7</v>
      </c>
      <c r="B546" s="2">
        <v>44301</v>
      </c>
      <c r="C546">
        <f t="shared" si="15"/>
        <v>2021</v>
      </c>
      <c r="D546" s="23">
        <f t="shared" si="16"/>
        <v>105</v>
      </c>
      <c r="E546" t="s">
        <v>6</v>
      </c>
      <c r="F546">
        <f>(SingleBerryDW!F546/SingleBerryFW!F546)*100</f>
        <v>16.621431399999999</v>
      </c>
    </row>
    <row r="547" spans="1:6" hidden="1" x14ac:dyDescent="0.25">
      <c r="A547" t="s">
        <v>7</v>
      </c>
      <c r="B547" s="2">
        <v>44307</v>
      </c>
      <c r="C547">
        <f t="shared" si="15"/>
        <v>2021</v>
      </c>
      <c r="D547" s="23">
        <f t="shared" si="16"/>
        <v>111</v>
      </c>
      <c r="E547" t="s">
        <v>6</v>
      </c>
      <c r="F547">
        <f>(SingleBerryDW!F547/SingleBerryFW!F547)*100</f>
        <v>17.17040458</v>
      </c>
    </row>
    <row r="548" spans="1:6" hidden="1" x14ac:dyDescent="0.25">
      <c r="A548" t="s">
        <v>7</v>
      </c>
      <c r="B548" s="2">
        <v>44307</v>
      </c>
      <c r="C548">
        <f t="shared" si="15"/>
        <v>2021</v>
      </c>
      <c r="D548" s="23">
        <f t="shared" si="16"/>
        <v>111</v>
      </c>
      <c r="E548" t="s">
        <v>6</v>
      </c>
      <c r="F548">
        <f>(SingleBerryDW!F548/SingleBerryFW!F548)*100</f>
        <v>17.699558069999998</v>
      </c>
    </row>
    <row r="549" spans="1:6" hidden="1" x14ac:dyDescent="0.25">
      <c r="A549" t="s">
        <v>7</v>
      </c>
      <c r="B549" s="2">
        <v>44307</v>
      </c>
      <c r="C549">
        <f t="shared" si="15"/>
        <v>2021</v>
      </c>
      <c r="D549" s="23">
        <f t="shared" si="16"/>
        <v>111</v>
      </c>
      <c r="E549" t="s">
        <v>6</v>
      </c>
      <c r="F549">
        <f>(SingleBerryDW!F549/SingleBerryFW!F549)*100</f>
        <v>17.108626829999999</v>
      </c>
    </row>
    <row r="550" spans="1:6" hidden="1" x14ac:dyDescent="0.25">
      <c r="A550" t="s">
        <v>7</v>
      </c>
      <c r="B550" s="2">
        <v>44315</v>
      </c>
      <c r="C550">
        <f t="shared" si="15"/>
        <v>2021</v>
      </c>
      <c r="D550" s="23">
        <f t="shared" si="16"/>
        <v>119</v>
      </c>
      <c r="E550" t="s">
        <v>6</v>
      </c>
      <c r="F550">
        <f>(SingleBerryDW!F550/SingleBerryFW!F550)*100</f>
        <v>17.549679300000001</v>
      </c>
    </row>
    <row r="551" spans="1:6" hidden="1" x14ac:dyDescent="0.25">
      <c r="A551" t="s">
        <v>7</v>
      </c>
      <c r="B551" s="2">
        <v>44316</v>
      </c>
      <c r="C551">
        <f t="shared" si="15"/>
        <v>2021</v>
      </c>
      <c r="D551" s="23">
        <f t="shared" si="16"/>
        <v>120</v>
      </c>
      <c r="E551" t="s">
        <v>6</v>
      </c>
      <c r="F551">
        <f>(SingleBerryDW!F551/SingleBerryFW!F551)*100</f>
        <v>17.88764406</v>
      </c>
    </row>
    <row r="552" spans="1:6" hidden="1" x14ac:dyDescent="0.25">
      <c r="A552" t="s">
        <v>7</v>
      </c>
      <c r="B552" s="2">
        <v>44316</v>
      </c>
      <c r="C552">
        <f t="shared" si="15"/>
        <v>2021</v>
      </c>
      <c r="D552" s="23">
        <f t="shared" si="16"/>
        <v>120</v>
      </c>
      <c r="E552" t="s">
        <v>6</v>
      </c>
      <c r="F552">
        <f>(SingleBerryDW!F552/SingleBerryFW!F552)*100</f>
        <v>17.83926323</v>
      </c>
    </row>
    <row r="553" spans="1:6" hidden="1" x14ac:dyDescent="0.25">
      <c r="A553" t="s">
        <v>7</v>
      </c>
      <c r="B553" s="2">
        <v>44321</v>
      </c>
      <c r="C553">
        <f t="shared" si="15"/>
        <v>2021</v>
      </c>
      <c r="D553" s="23">
        <f t="shared" si="16"/>
        <v>125</v>
      </c>
      <c r="E553" t="s">
        <v>6</v>
      </c>
      <c r="F553">
        <f>(SingleBerryDW!F553/SingleBerryFW!F553)*100</f>
        <v>18.53625375</v>
      </c>
    </row>
    <row r="554" spans="1:6" hidden="1" x14ac:dyDescent="0.25">
      <c r="A554" t="s">
        <v>7</v>
      </c>
      <c r="B554" s="2">
        <v>44322</v>
      </c>
      <c r="C554">
        <f t="shared" si="15"/>
        <v>2021</v>
      </c>
      <c r="D554" s="23">
        <f t="shared" si="16"/>
        <v>126</v>
      </c>
      <c r="E554" t="s">
        <v>6</v>
      </c>
      <c r="F554">
        <f>(SingleBerryDW!F554/SingleBerryFW!F554)*100</f>
        <v>17.838277249999997</v>
      </c>
    </row>
    <row r="555" spans="1:6" hidden="1" x14ac:dyDescent="0.25">
      <c r="A555" t="s">
        <v>7</v>
      </c>
      <c r="B555" s="2">
        <v>44322</v>
      </c>
      <c r="C555">
        <f t="shared" si="15"/>
        <v>2021</v>
      </c>
      <c r="D555" s="23">
        <f t="shared" si="16"/>
        <v>126</v>
      </c>
      <c r="E555" t="s">
        <v>6</v>
      </c>
      <c r="F555">
        <f>(SingleBerryDW!F555/SingleBerryFW!F555)*100</f>
        <v>18.04045911</v>
      </c>
    </row>
    <row r="556" spans="1:6" hidden="1" x14ac:dyDescent="0.25">
      <c r="A556" t="s">
        <v>7</v>
      </c>
      <c r="B556" s="2">
        <v>44335</v>
      </c>
      <c r="C556">
        <f t="shared" si="15"/>
        <v>2021</v>
      </c>
      <c r="D556" s="23">
        <f t="shared" si="16"/>
        <v>139</v>
      </c>
      <c r="E556" t="s">
        <v>6</v>
      </c>
      <c r="F556">
        <f>(SingleBerryDW!F556/SingleBerryFW!F556)*100</f>
        <v>19.368199059999995</v>
      </c>
    </row>
    <row r="557" spans="1:6" hidden="1" x14ac:dyDescent="0.25">
      <c r="A557" t="s">
        <v>7</v>
      </c>
      <c r="B557" s="2">
        <v>44336</v>
      </c>
      <c r="C557">
        <f t="shared" si="15"/>
        <v>2021</v>
      </c>
      <c r="D557" s="23">
        <f t="shared" si="16"/>
        <v>140</v>
      </c>
      <c r="E557" t="s">
        <v>6</v>
      </c>
      <c r="F557">
        <f>(SingleBerryDW!F557/SingleBerryFW!F557)*100</f>
        <v>18.251158749999998</v>
      </c>
    </row>
    <row r="558" spans="1:6" hidden="1" x14ac:dyDescent="0.25">
      <c r="A558" t="s">
        <v>7</v>
      </c>
      <c r="B558" s="2">
        <v>44336</v>
      </c>
      <c r="C558">
        <f t="shared" si="15"/>
        <v>2021</v>
      </c>
      <c r="D558" s="23">
        <f t="shared" si="16"/>
        <v>140</v>
      </c>
      <c r="E558" t="s">
        <v>6</v>
      </c>
      <c r="F558">
        <f>(SingleBerryDW!F558/SingleBerryFW!F558)*100</f>
        <v>18.661880759999999</v>
      </c>
    </row>
    <row r="559" spans="1:6" hidden="1" x14ac:dyDescent="0.25">
      <c r="A559" t="s">
        <v>7</v>
      </c>
      <c r="B559" s="2">
        <v>44348</v>
      </c>
      <c r="C559">
        <f t="shared" si="15"/>
        <v>2021</v>
      </c>
      <c r="D559" s="23">
        <f t="shared" si="16"/>
        <v>152</v>
      </c>
      <c r="E559" t="s">
        <v>6</v>
      </c>
      <c r="F559">
        <f>(SingleBerryDW!F559/SingleBerryFW!F559)*100</f>
        <v>18.629489569999997</v>
      </c>
    </row>
    <row r="560" spans="1:6" hidden="1" x14ac:dyDescent="0.25">
      <c r="A560" t="s">
        <v>7</v>
      </c>
      <c r="B560" s="2">
        <v>44349</v>
      </c>
      <c r="C560">
        <f t="shared" si="15"/>
        <v>2021</v>
      </c>
      <c r="D560" s="23">
        <f t="shared" si="16"/>
        <v>153</v>
      </c>
      <c r="E560" t="s">
        <v>6</v>
      </c>
      <c r="F560">
        <f>(SingleBerryDW!F560/SingleBerryFW!F560)*100</f>
        <v>18.968877419999998</v>
      </c>
    </row>
    <row r="561" spans="1:6" hidden="1" x14ac:dyDescent="0.25">
      <c r="A561" t="s">
        <v>7</v>
      </c>
      <c r="B561" s="2">
        <v>44349</v>
      </c>
      <c r="C561">
        <f t="shared" si="15"/>
        <v>2021</v>
      </c>
      <c r="D561" s="23">
        <f t="shared" si="16"/>
        <v>153</v>
      </c>
      <c r="E561" t="s">
        <v>6</v>
      </c>
      <c r="F561">
        <f>(SingleBerryDW!F561/SingleBerryFW!F561)*100</f>
        <v>18.861529709999999</v>
      </c>
    </row>
    <row r="562" spans="1:6" hidden="1" x14ac:dyDescent="0.25">
      <c r="A562" t="s">
        <v>8</v>
      </c>
      <c r="B562" s="2">
        <v>43850</v>
      </c>
      <c r="C562">
        <f t="shared" si="15"/>
        <v>2020</v>
      </c>
      <c r="D562" s="23">
        <f t="shared" si="16"/>
        <v>20</v>
      </c>
      <c r="E562" t="s">
        <v>9</v>
      </c>
      <c r="F562">
        <f>(SingleBerryDW!F562/SingleBerryFW!F562)*100</f>
        <v>10.1</v>
      </c>
    </row>
    <row r="563" spans="1:6" hidden="1" x14ac:dyDescent="0.25">
      <c r="A563" t="s">
        <v>8</v>
      </c>
      <c r="B563" s="2">
        <v>43880</v>
      </c>
      <c r="C563">
        <f t="shared" si="15"/>
        <v>2020</v>
      </c>
      <c r="D563" s="23">
        <f t="shared" si="16"/>
        <v>50</v>
      </c>
      <c r="E563" t="s">
        <v>9</v>
      </c>
      <c r="F563">
        <f>(SingleBerryDW!F563/SingleBerryFW!F563)*100</f>
        <v>15.300000000000002</v>
      </c>
    </row>
    <row r="564" spans="1:6" hidden="1" x14ac:dyDescent="0.25">
      <c r="A564" t="s">
        <v>8</v>
      </c>
      <c r="B564" s="2">
        <v>43892</v>
      </c>
      <c r="C564">
        <f t="shared" si="15"/>
        <v>2020</v>
      </c>
      <c r="D564" s="23">
        <f t="shared" si="16"/>
        <v>62</v>
      </c>
      <c r="E564" t="s">
        <v>9</v>
      </c>
      <c r="F564">
        <f>(SingleBerryDW!F564/SingleBerryFW!F564)*100</f>
        <v>16.5</v>
      </c>
    </row>
    <row r="565" spans="1:6" hidden="1" x14ac:dyDescent="0.25">
      <c r="A565" t="s">
        <v>8</v>
      </c>
      <c r="B565" s="2">
        <v>43906</v>
      </c>
      <c r="C565">
        <f t="shared" si="15"/>
        <v>2020</v>
      </c>
      <c r="D565" s="23">
        <f t="shared" si="16"/>
        <v>76</v>
      </c>
      <c r="E565" t="s">
        <v>9</v>
      </c>
      <c r="F565">
        <f>(SingleBerryDW!F565/SingleBerryFW!F565)*100</f>
        <v>16.100000000000001</v>
      </c>
    </row>
    <row r="566" spans="1:6" hidden="1" x14ac:dyDescent="0.25">
      <c r="A566" t="s">
        <v>8</v>
      </c>
      <c r="B566" s="2">
        <v>43949</v>
      </c>
      <c r="C566">
        <f t="shared" si="15"/>
        <v>2020</v>
      </c>
      <c r="D566" s="23">
        <f t="shared" si="16"/>
        <v>119</v>
      </c>
      <c r="E566" t="s">
        <v>9</v>
      </c>
      <c r="F566">
        <f>(SingleBerryDW!F566/SingleBerryFW!F566)*100</f>
        <v>16.600000000000005</v>
      </c>
    </row>
    <row r="567" spans="1:6" hidden="1" x14ac:dyDescent="0.25">
      <c r="A567" t="s">
        <v>8</v>
      </c>
      <c r="B567" s="2">
        <v>43963</v>
      </c>
      <c r="C567">
        <f t="shared" si="15"/>
        <v>2020</v>
      </c>
      <c r="D567" s="23">
        <f t="shared" si="16"/>
        <v>133</v>
      </c>
      <c r="E567" t="s">
        <v>9</v>
      </c>
      <c r="F567">
        <f>(SingleBerryDW!F567/SingleBerryFW!F567)*100</f>
        <v>17</v>
      </c>
    </row>
    <row r="568" spans="1:6" hidden="1" x14ac:dyDescent="0.25">
      <c r="A568" t="s">
        <v>8</v>
      </c>
      <c r="B568" s="2">
        <v>43976</v>
      </c>
      <c r="C568">
        <f t="shared" si="15"/>
        <v>2020</v>
      </c>
      <c r="D568" s="23">
        <f t="shared" si="16"/>
        <v>146</v>
      </c>
      <c r="E568" t="s">
        <v>9</v>
      </c>
      <c r="F568">
        <f>(SingleBerryDW!F568/SingleBerryFW!F568)*100</f>
        <v>17.3</v>
      </c>
    </row>
    <row r="569" spans="1:6" hidden="1" x14ac:dyDescent="0.25">
      <c r="A569" t="s">
        <v>8</v>
      </c>
      <c r="B569" s="2">
        <v>44221</v>
      </c>
      <c r="C569">
        <f t="shared" si="15"/>
        <v>2021</v>
      </c>
      <c r="D569" s="23">
        <f t="shared" si="16"/>
        <v>25</v>
      </c>
      <c r="E569" t="s">
        <v>9</v>
      </c>
      <c r="F569">
        <f>(SingleBerryDW!F569/SingleBerryFW!F569)*100</f>
        <v>10.189048139999999</v>
      </c>
    </row>
    <row r="570" spans="1:6" hidden="1" x14ac:dyDescent="0.25">
      <c r="A570" t="s">
        <v>8</v>
      </c>
      <c r="B570" s="2">
        <v>44245</v>
      </c>
      <c r="C570">
        <f t="shared" si="15"/>
        <v>2021</v>
      </c>
      <c r="D570" s="23">
        <f t="shared" si="16"/>
        <v>49</v>
      </c>
      <c r="E570" t="s">
        <v>9</v>
      </c>
      <c r="F570">
        <f>(SingleBerryDW!F570/SingleBerryFW!F570)*100</f>
        <v>13.187815029999999</v>
      </c>
    </row>
    <row r="571" spans="1:6" hidden="1" x14ac:dyDescent="0.25">
      <c r="A571" t="s">
        <v>8</v>
      </c>
      <c r="B571" s="2">
        <v>44256</v>
      </c>
      <c r="C571">
        <f t="shared" si="15"/>
        <v>2021</v>
      </c>
      <c r="D571" s="23">
        <f t="shared" si="16"/>
        <v>60</v>
      </c>
      <c r="E571" t="s">
        <v>9</v>
      </c>
      <c r="F571">
        <f>(SingleBerryDW!F571/SingleBerryFW!F571)*100</f>
        <v>14.327754919999999</v>
      </c>
    </row>
    <row r="572" spans="1:6" hidden="1" x14ac:dyDescent="0.25">
      <c r="A572" t="s">
        <v>8</v>
      </c>
      <c r="B572" s="2">
        <v>44271</v>
      </c>
      <c r="C572">
        <f t="shared" ref="C572:C612" si="17">YEAR(B572)</f>
        <v>2021</v>
      </c>
      <c r="D572" s="23">
        <f t="shared" si="16"/>
        <v>75</v>
      </c>
      <c r="E572" t="s">
        <v>9</v>
      </c>
      <c r="F572">
        <f>(SingleBerryDW!F572/SingleBerryFW!F572)*100</f>
        <v>14.806242410000001</v>
      </c>
    </row>
    <row r="573" spans="1:6" hidden="1" x14ac:dyDescent="0.25">
      <c r="A573" t="s">
        <v>8</v>
      </c>
      <c r="B573" s="2">
        <v>44284</v>
      </c>
      <c r="C573">
        <f t="shared" si="17"/>
        <v>2021</v>
      </c>
      <c r="D573" s="23">
        <f t="shared" si="16"/>
        <v>88</v>
      </c>
      <c r="E573" t="s">
        <v>9</v>
      </c>
      <c r="F573">
        <f>(SingleBerryDW!F573/SingleBerryFW!F573)*100</f>
        <v>15.547038700000002</v>
      </c>
    </row>
    <row r="574" spans="1:6" hidden="1" x14ac:dyDescent="0.25">
      <c r="A574" t="s">
        <v>8</v>
      </c>
      <c r="B574" s="2">
        <v>44298</v>
      </c>
      <c r="C574">
        <f t="shared" si="17"/>
        <v>2021</v>
      </c>
      <c r="D574" s="23">
        <f t="shared" si="16"/>
        <v>102</v>
      </c>
      <c r="E574" t="s">
        <v>9</v>
      </c>
      <c r="F574">
        <f>(SingleBerryDW!F574/SingleBerryFW!F574)*100</f>
        <v>15.93281812</v>
      </c>
    </row>
    <row r="575" spans="1:6" hidden="1" x14ac:dyDescent="0.25">
      <c r="A575" t="s">
        <v>8</v>
      </c>
      <c r="B575" s="2">
        <v>44307</v>
      </c>
      <c r="C575">
        <f t="shared" si="17"/>
        <v>2021</v>
      </c>
      <c r="D575" s="23">
        <f t="shared" si="16"/>
        <v>111</v>
      </c>
      <c r="E575" t="s">
        <v>9</v>
      </c>
      <c r="F575">
        <f>(SingleBerryDW!F575/SingleBerryFW!F575)*100</f>
        <v>15.991152989999998</v>
      </c>
    </row>
    <row r="576" spans="1:6" hidden="1" x14ac:dyDescent="0.25">
      <c r="A576" t="s">
        <v>8</v>
      </c>
      <c r="B576" s="2">
        <v>44315</v>
      </c>
      <c r="C576">
        <f t="shared" si="17"/>
        <v>2021</v>
      </c>
      <c r="D576" s="23">
        <f t="shared" si="16"/>
        <v>119</v>
      </c>
      <c r="E576" t="s">
        <v>9</v>
      </c>
      <c r="F576">
        <f>(SingleBerryDW!F576/SingleBerryFW!F576)*100</f>
        <v>16.40011294</v>
      </c>
    </row>
    <row r="577" spans="1:6" hidden="1" x14ac:dyDescent="0.25">
      <c r="A577" t="s">
        <v>8</v>
      </c>
      <c r="B577" s="2">
        <v>44321</v>
      </c>
      <c r="C577">
        <f t="shared" si="17"/>
        <v>2021</v>
      </c>
      <c r="D577" s="23">
        <f t="shared" si="16"/>
        <v>125</v>
      </c>
      <c r="E577" t="s">
        <v>9</v>
      </c>
      <c r="F577">
        <f>(SingleBerryDW!F577/SingleBerryFW!F577)*100</f>
        <v>16.644749740000002</v>
      </c>
    </row>
    <row r="578" spans="1:6" hidden="1" x14ac:dyDescent="0.25">
      <c r="A578" t="s">
        <v>8</v>
      </c>
      <c r="B578" s="2">
        <v>44333</v>
      </c>
      <c r="C578">
        <f t="shared" si="17"/>
        <v>2021</v>
      </c>
      <c r="D578" s="23">
        <f t="shared" si="16"/>
        <v>137</v>
      </c>
      <c r="E578" t="s">
        <v>9</v>
      </c>
      <c r="F578">
        <f>(SingleBerryDW!F578/SingleBerryFW!F578)*100</f>
        <v>17.180538370000001</v>
      </c>
    </row>
    <row r="579" spans="1:6" hidden="1" x14ac:dyDescent="0.25">
      <c r="A579" t="s">
        <v>8</v>
      </c>
      <c r="B579" s="2">
        <v>44347</v>
      </c>
      <c r="C579">
        <f t="shared" si="17"/>
        <v>2021</v>
      </c>
      <c r="D579" s="23">
        <f t="shared" si="16"/>
        <v>151</v>
      </c>
      <c r="E579" t="s">
        <v>9</v>
      </c>
      <c r="F579">
        <f>(SingleBerryDW!F579/SingleBerryFW!F579)*100</f>
        <v>17.54431529</v>
      </c>
    </row>
    <row r="580" spans="1:6" hidden="1" x14ac:dyDescent="0.25">
      <c r="A580" t="s">
        <v>8</v>
      </c>
      <c r="B580" s="2">
        <v>44607</v>
      </c>
      <c r="C580">
        <f t="shared" si="17"/>
        <v>2022</v>
      </c>
      <c r="D580" s="23">
        <f t="shared" ref="D580:D643" si="18">B580-DATE(YEAR(B580),1,0)</f>
        <v>46</v>
      </c>
      <c r="E580" t="s">
        <v>9</v>
      </c>
      <c r="F580">
        <f>(SingleBerryDW!F580/SingleBerryFW!F580)*100</f>
        <v>9.8000000000000007</v>
      </c>
    </row>
    <row r="581" spans="1:6" hidden="1" x14ac:dyDescent="0.25">
      <c r="A581" t="s">
        <v>8</v>
      </c>
      <c r="B581" s="2">
        <v>44608</v>
      </c>
      <c r="C581">
        <f t="shared" si="17"/>
        <v>2022</v>
      </c>
      <c r="D581" s="23">
        <f t="shared" si="18"/>
        <v>47</v>
      </c>
      <c r="E581" t="s">
        <v>9</v>
      </c>
      <c r="F581">
        <f>(SingleBerryDW!F581/SingleBerryFW!F581)*100</f>
        <v>12.6</v>
      </c>
    </row>
    <row r="582" spans="1:6" hidden="1" x14ac:dyDescent="0.25">
      <c r="A582" t="s">
        <v>8</v>
      </c>
      <c r="B582" s="2">
        <v>44622</v>
      </c>
      <c r="C582">
        <f t="shared" si="17"/>
        <v>2022</v>
      </c>
      <c r="D582" s="23">
        <f t="shared" si="18"/>
        <v>61</v>
      </c>
      <c r="E582" t="s">
        <v>9</v>
      </c>
      <c r="F582">
        <f>(SingleBerryDW!F582/SingleBerryFW!F582)*100</f>
        <v>14.7</v>
      </c>
    </row>
    <row r="583" spans="1:6" hidden="1" x14ac:dyDescent="0.25">
      <c r="A583" t="s">
        <v>8</v>
      </c>
      <c r="B583" s="2">
        <v>44622</v>
      </c>
      <c r="C583">
        <f t="shared" si="17"/>
        <v>2022</v>
      </c>
      <c r="D583" s="23">
        <f t="shared" si="18"/>
        <v>61</v>
      </c>
      <c r="E583" t="s">
        <v>9</v>
      </c>
      <c r="F583">
        <f>(SingleBerryDW!F583/SingleBerryFW!F583)*100</f>
        <v>16.100000000000001</v>
      </c>
    </row>
    <row r="584" spans="1:6" hidden="1" x14ac:dyDescent="0.25">
      <c r="A584" t="s">
        <v>8</v>
      </c>
      <c r="B584" s="2">
        <v>44635</v>
      </c>
      <c r="C584">
        <f t="shared" si="17"/>
        <v>2022</v>
      </c>
      <c r="D584" s="23">
        <f t="shared" si="18"/>
        <v>74</v>
      </c>
      <c r="E584" t="s">
        <v>9</v>
      </c>
      <c r="F584">
        <f>(SingleBerryDW!F584/SingleBerryFW!F584)*100</f>
        <v>15.299999999999999</v>
      </c>
    </row>
    <row r="585" spans="1:6" hidden="1" x14ac:dyDescent="0.25">
      <c r="A585" t="s">
        <v>8</v>
      </c>
      <c r="B585" s="2">
        <v>44662</v>
      </c>
      <c r="C585">
        <f t="shared" si="17"/>
        <v>2022</v>
      </c>
      <c r="D585" s="23">
        <f t="shared" si="18"/>
        <v>101</v>
      </c>
      <c r="E585" t="s">
        <v>9</v>
      </c>
      <c r="F585">
        <f>(SingleBerryDW!F585/SingleBerryFW!F585)*100</f>
        <v>16.899999999999999</v>
      </c>
    </row>
    <row r="586" spans="1:6" hidden="1" x14ac:dyDescent="0.25">
      <c r="A586" t="s">
        <v>8</v>
      </c>
      <c r="B586" s="2">
        <v>44669</v>
      </c>
      <c r="C586">
        <f t="shared" si="17"/>
        <v>2022</v>
      </c>
      <c r="D586" s="23">
        <f t="shared" si="18"/>
        <v>108</v>
      </c>
      <c r="E586" t="s">
        <v>9</v>
      </c>
      <c r="F586">
        <f>(SingleBerryDW!F586/SingleBerryFW!F586)*100</f>
        <v>16.899999999999999</v>
      </c>
    </row>
    <row r="587" spans="1:6" hidden="1" x14ac:dyDescent="0.25">
      <c r="A587" t="s">
        <v>8</v>
      </c>
      <c r="B587" s="2">
        <v>44677</v>
      </c>
      <c r="C587">
        <f t="shared" si="17"/>
        <v>2022</v>
      </c>
      <c r="D587" s="23">
        <f t="shared" si="18"/>
        <v>116</v>
      </c>
      <c r="E587" t="s">
        <v>9</v>
      </c>
      <c r="F587">
        <f>(SingleBerryDW!F587/SingleBerryFW!F587)*100</f>
        <v>16.899999999999995</v>
      </c>
    </row>
    <row r="588" spans="1:6" hidden="1" x14ac:dyDescent="0.25">
      <c r="A588" t="s">
        <v>8</v>
      </c>
      <c r="B588" s="2">
        <v>44683</v>
      </c>
      <c r="C588">
        <f t="shared" si="17"/>
        <v>2022</v>
      </c>
      <c r="D588" s="23">
        <f t="shared" si="18"/>
        <v>122</v>
      </c>
      <c r="E588" t="s">
        <v>9</v>
      </c>
      <c r="F588">
        <f>(SingleBerryDW!F588/SingleBerryFW!F588)*100</f>
        <v>17.7</v>
      </c>
    </row>
    <row r="589" spans="1:6" hidden="1" x14ac:dyDescent="0.25">
      <c r="A589" t="s">
        <v>8</v>
      </c>
      <c r="B589" s="2">
        <v>44697</v>
      </c>
      <c r="C589">
        <f t="shared" si="17"/>
        <v>2022</v>
      </c>
      <c r="D589" s="23">
        <f t="shared" si="18"/>
        <v>136</v>
      </c>
      <c r="E589" t="s">
        <v>9</v>
      </c>
      <c r="F589">
        <f>(SingleBerryDW!F589/SingleBerryFW!F589)*100</f>
        <v>18.000000000000004</v>
      </c>
    </row>
    <row r="590" spans="1:6" hidden="1" x14ac:dyDescent="0.25">
      <c r="A590" t="s">
        <v>8</v>
      </c>
      <c r="B590" s="2">
        <v>44711</v>
      </c>
      <c r="C590">
        <f t="shared" si="17"/>
        <v>2022</v>
      </c>
      <c r="D590" s="23">
        <f t="shared" si="18"/>
        <v>150</v>
      </c>
      <c r="E590" t="s">
        <v>9</v>
      </c>
      <c r="F590">
        <f>(SingleBerryDW!F590/SingleBerryFW!F590)*100</f>
        <v>18.3</v>
      </c>
    </row>
    <row r="591" spans="1:6" hidden="1" x14ac:dyDescent="0.25">
      <c r="A591" t="s">
        <v>8</v>
      </c>
      <c r="B591" s="2">
        <v>44949</v>
      </c>
      <c r="C591">
        <f t="shared" si="17"/>
        <v>2023</v>
      </c>
      <c r="D591" s="23">
        <f t="shared" si="18"/>
        <v>23</v>
      </c>
      <c r="E591" t="s">
        <v>9</v>
      </c>
      <c r="F591">
        <f>(SingleBerryDW!F591/SingleBerryFW!F591)*100</f>
        <v>9.4</v>
      </c>
    </row>
    <row r="592" spans="1:6" hidden="1" x14ac:dyDescent="0.25">
      <c r="A592" t="s">
        <v>8</v>
      </c>
      <c r="B592" s="2">
        <v>44971</v>
      </c>
      <c r="C592">
        <f t="shared" si="17"/>
        <v>2023</v>
      </c>
      <c r="D592" s="23">
        <f t="shared" si="18"/>
        <v>45</v>
      </c>
      <c r="E592" t="s">
        <v>9</v>
      </c>
      <c r="F592">
        <f>(SingleBerryDW!F592/SingleBerryFW!F592)*100</f>
        <v>12.8</v>
      </c>
    </row>
    <row r="593" spans="1:6" hidden="1" x14ac:dyDescent="0.25">
      <c r="A593" t="s">
        <v>8</v>
      </c>
      <c r="B593" s="2">
        <v>44987</v>
      </c>
      <c r="C593">
        <f t="shared" si="17"/>
        <v>2023</v>
      </c>
      <c r="D593" s="23">
        <f t="shared" si="18"/>
        <v>61</v>
      </c>
      <c r="E593" t="s">
        <v>9</v>
      </c>
      <c r="F593">
        <f>(SingleBerryDW!F593/SingleBerryFW!F593)*100</f>
        <v>15.4</v>
      </c>
    </row>
    <row r="594" spans="1:6" hidden="1" x14ac:dyDescent="0.25">
      <c r="A594" t="s">
        <v>8</v>
      </c>
      <c r="B594" s="2">
        <v>44998</v>
      </c>
      <c r="C594">
        <f t="shared" si="17"/>
        <v>2023</v>
      </c>
      <c r="D594" s="23">
        <f t="shared" si="18"/>
        <v>72</v>
      </c>
      <c r="E594" t="s">
        <v>9</v>
      </c>
      <c r="F594">
        <f>(SingleBerryDW!F594/SingleBerryFW!F594)*100</f>
        <v>16.2</v>
      </c>
    </row>
    <row r="595" spans="1:6" hidden="1" x14ac:dyDescent="0.25">
      <c r="A595" t="s">
        <v>8</v>
      </c>
      <c r="B595" s="2">
        <v>45014</v>
      </c>
      <c r="C595">
        <f t="shared" si="17"/>
        <v>2023</v>
      </c>
      <c r="D595" s="23">
        <f t="shared" si="18"/>
        <v>88</v>
      </c>
      <c r="E595" t="s">
        <v>9</v>
      </c>
      <c r="F595">
        <f>(SingleBerryDW!F595/SingleBerryFW!F595)*100</f>
        <v>17.200000000000003</v>
      </c>
    </row>
    <row r="596" spans="1:6" hidden="1" x14ac:dyDescent="0.25">
      <c r="A596" t="s">
        <v>8</v>
      </c>
      <c r="B596" s="2">
        <v>45027</v>
      </c>
      <c r="C596">
        <f t="shared" si="17"/>
        <v>2023</v>
      </c>
      <c r="D596" s="23">
        <f t="shared" si="18"/>
        <v>101</v>
      </c>
      <c r="E596" t="s">
        <v>9</v>
      </c>
      <c r="F596">
        <f>(SingleBerryDW!F596/SingleBerryFW!F596)*100</f>
        <v>18</v>
      </c>
    </row>
    <row r="597" spans="1:6" hidden="1" x14ac:dyDescent="0.25">
      <c r="A597" t="s">
        <v>8</v>
      </c>
      <c r="B597" s="2">
        <v>45040</v>
      </c>
      <c r="C597">
        <f t="shared" si="17"/>
        <v>2023</v>
      </c>
      <c r="D597" s="23">
        <f t="shared" si="18"/>
        <v>114</v>
      </c>
      <c r="E597" t="s">
        <v>9</v>
      </c>
      <c r="F597">
        <f>(SingleBerryDW!F597/SingleBerryFW!F597)*100</f>
        <v>18.399999999999999</v>
      </c>
    </row>
    <row r="598" spans="1:6" hidden="1" x14ac:dyDescent="0.25">
      <c r="A598" t="s">
        <v>8</v>
      </c>
      <c r="B598" s="2">
        <v>45047</v>
      </c>
      <c r="C598">
        <f t="shared" si="17"/>
        <v>2023</v>
      </c>
      <c r="D598" s="23">
        <f t="shared" si="18"/>
        <v>121</v>
      </c>
      <c r="E598" t="s">
        <v>9</v>
      </c>
      <c r="F598">
        <f>(SingleBerryDW!F598/SingleBerryFW!F598)*100</f>
        <v>18.500000000000004</v>
      </c>
    </row>
    <row r="599" spans="1:6" hidden="1" x14ac:dyDescent="0.25">
      <c r="A599" t="s">
        <v>8</v>
      </c>
      <c r="B599" s="2">
        <v>45062</v>
      </c>
      <c r="C599">
        <f t="shared" si="17"/>
        <v>2023</v>
      </c>
      <c r="D599" s="23">
        <f t="shared" si="18"/>
        <v>136</v>
      </c>
      <c r="E599" t="s">
        <v>9</v>
      </c>
      <c r="F599">
        <f>(SingleBerryDW!F599/SingleBerryFW!F599)*100</f>
        <v>18.800000000000004</v>
      </c>
    </row>
    <row r="600" spans="1:6" hidden="1" x14ac:dyDescent="0.25">
      <c r="A600" t="s">
        <v>8</v>
      </c>
      <c r="B600" s="2">
        <v>45076</v>
      </c>
      <c r="C600">
        <f t="shared" si="17"/>
        <v>2023</v>
      </c>
      <c r="D600" s="23">
        <f t="shared" si="18"/>
        <v>150</v>
      </c>
      <c r="E600" t="s">
        <v>9</v>
      </c>
      <c r="F600">
        <f>(SingleBerryDW!F600/SingleBerryFW!F600)*100</f>
        <v>19.300000000000004</v>
      </c>
    </row>
    <row r="601" spans="1:6" hidden="1" x14ac:dyDescent="0.25">
      <c r="A601" t="s">
        <v>8</v>
      </c>
      <c r="B601" s="2">
        <v>45083</v>
      </c>
      <c r="C601">
        <f t="shared" si="17"/>
        <v>2023</v>
      </c>
      <c r="D601" s="23">
        <f t="shared" si="18"/>
        <v>157</v>
      </c>
      <c r="E601" t="s">
        <v>9</v>
      </c>
      <c r="F601">
        <f>(SingleBerryDW!F601/SingleBerryFW!F601)*100</f>
        <v>19.300000000000004</v>
      </c>
    </row>
    <row r="602" spans="1:6" hidden="1" x14ac:dyDescent="0.25">
      <c r="A602" t="s">
        <v>8</v>
      </c>
      <c r="B602" s="2">
        <v>45315</v>
      </c>
      <c r="C602">
        <f t="shared" si="17"/>
        <v>2024</v>
      </c>
      <c r="D602" s="23">
        <f t="shared" si="18"/>
        <v>24</v>
      </c>
      <c r="E602" t="s">
        <v>9</v>
      </c>
      <c r="F602">
        <f>(SingleBerryDW!F602/SingleBerryFW!F602)*100</f>
        <v>9.9</v>
      </c>
    </row>
    <row r="603" spans="1:6" hidden="1" x14ac:dyDescent="0.25">
      <c r="A603" t="s">
        <v>8</v>
      </c>
      <c r="B603" s="2">
        <v>45335</v>
      </c>
      <c r="C603">
        <f t="shared" si="17"/>
        <v>2024</v>
      </c>
      <c r="D603" s="23">
        <f t="shared" si="18"/>
        <v>44</v>
      </c>
      <c r="E603" t="s">
        <v>9</v>
      </c>
      <c r="F603">
        <f>(SingleBerryDW!F603/SingleBerryFW!F603)*100</f>
        <v>13.100000000000001</v>
      </c>
    </row>
    <row r="604" spans="1:6" hidden="1" x14ac:dyDescent="0.25">
      <c r="A604" t="s">
        <v>8</v>
      </c>
      <c r="B604" s="2">
        <v>45349</v>
      </c>
      <c r="C604">
        <f t="shared" si="17"/>
        <v>2024</v>
      </c>
      <c r="D604" s="23">
        <f t="shared" si="18"/>
        <v>58</v>
      </c>
      <c r="E604" t="s">
        <v>9</v>
      </c>
      <c r="F604">
        <f>(SingleBerryDW!F604/SingleBerryFW!F604)*100</f>
        <v>14.900000000000002</v>
      </c>
    </row>
    <row r="605" spans="1:6" hidden="1" x14ac:dyDescent="0.25">
      <c r="A605" t="s">
        <v>8</v>
      </c>
      <c r="B605" s="2">
        <v>45363</v>
      </c>
      <c r="C605">
        <f t="shared" si="17"/>
        <v>2024</v>
      </c>
      <c r="D605" s="23">
        <f t="shared" si="18"/>
        <v>72</v>
      </c>
      <c r="E605" t="s">
        <v>9</v>
      </c>
      <c r="F605">
        <f>(SingleBerryDW!F605/SingleBerryFW!F605)*100</f>
        <v>16</v>
      </c>
    </row>
    <row r="606" spans="1:6" hidden="1" x14ac:dyDescent="0.25">
      <c r="A606" t="s">
        <v>8</v>
      </c>
      <c r="B606" s="2">
        <v>45378</v>
      </c>
      <c r="C606">
        <f t="shared" si="17"/>
        <v>2024</v>
      </c>
      <c r="D606" s="23">
        <f t="shared" si="18"/>
        <v>87</v>
      </c>
      <c r="E606" t="s">
        <v>9</v>
      </c>
      <c r="F606">
        <f>(SingleBerryDW!F606/SingleBerryFW!F606)*100</f>
        <v>16.7</v>
      </c>
    </row>
    <row r="607" spans="1:6" hidden="1" x14ac:dyDescent="0.25">
      <c r="A607" t="s">
        <v>8</v>
      </c>
      <c r="B607" s="2">
        <v>45390</v>
      </c>
      <c r="C607">
        <f t="shared" si="17"/>
        <v>2024</v>
      </c>
      <c r="D607" s="23">
        <f t="shared" si="18"/>
        <v>99</v>
      </c>
      <c r="E607" t="s">
        <v>9</v>
      </c>
      <c r="F607">
        <f>(SingleBerryDW!F607/SingleBerryFW!F607)*100</f>
        <v>17</v>
      </c>
    </row>
    <row r="608" spans="1:6" hidden="1" x14ac:dyDescent="0.25">
      <c r="A608" t="s">
        <v>8</v>
      </c>
      <c r="B608" s="2">
        <v>45406</v>
      </c>
      <c r="C608">
        <f t="shared" si="17"/>
        <v>2024</v>
      </c>
      <c r="D608" s="23">
        <f t="shared" si="18"/>
        <v>115</v>
      </c>
      <c r="E608" t="s">
        <v>9</v>
      </c>
      <c r="F608">
        <f>(SingleBerryDW!F608/SingleBerryFW!F608)*100</f>
        <v>17.3</v>
      </c>
    </row>
    <row r="609" spans="1:6" hidden="1" x14ac:dyDescent="0.25">
      <c r="A609" t="s">
        <v>8</v>
      </c>
      <c r="B609" s="2">
        <v>45412</v>
      </c>
      <c r="C609">
        <f t="shared" si="17"/>
        <v>2024</v>
      </c>
      <c r="D609" s="23">
        <f t="shared" si="18"/>
        <v>121</v>
      </c>
      <c r="E609" t="s">
        <v>9</v>
      </c>
      <c r="F609">
        <f>(SingleBerryDW!F609/SingleBerryFW!F609)*100</f>
        <v>17.7</v>
      </c>
    </row>
    <row r="610" spans="1:6" hidden="1" x14ac:dyDescent="0.25">
      <c r="A610" t="s">
        <v>8</v>
      </c>
      <c r="B610" s="2">
        <v>45427</v>
      </c>
      <c r="C610">
        <f t="shared" si="17"/>
        <v>2024</v>
      </c>
      <c r="D610" s="23">
        <f t="shared" si="18"/>
        <v>136</v>
      </c>
      <c r="E610" t="s">
        <v>9</v>
      </c>
      <c r="F610">
        <f>(SingleBerryDW!F610/SingleBerryFW!F610)*100</f>
        <v>17.899999999999995</v>
      </c>
    </row>
    <row r="611" spans="1:6" hidden="1" x14ac:dyDescent="0.25">
      <c r="A611" t="s">
        <v>8</v>
      </c>
      <c r="B611" s="2">
        <v>45441</v>
      </c>
      <c r="C611">
        <f t="shared" si="17"/>
        <v>2024</v>
      </c>
      <c r="D611" s="23">
        <f t="shared" si="18"/>
        <v>150</v>
      </c>
      <c r="E611" t="s">
        <v>9</v>
      </c>
      <c r="F611">
        <f>(SingleBerryDW!F611/SingleBerryFW!F611)*100</f>
        <v>17.8</v>
      </c>
    </row>
    <row r="612" spans="1:6" hidden="1" x14ac:dyDescent="0.25">
      <c r="A612" t="s">
        <v>8</v>
      </c>
      <c r="B612" s="2">
        <v>45454</v>
      </c>
      <c r="C612">
        <f t="shared" si="17"/>
        <v>2024</v>
      </c>
      <c r="D612" s="23">
        <f t="shared" si="18"/>
        <v>163</v>
      </c>
      <c r="E612" t="s">
        <v>9</v>
      </c>
      <c r="F612">
        <f>(SingleBerryDW!F612/SingleBerryFW!F612)*100</f>
        <v>17.899999999999999</v>
      </c>
    </row>
    <row r="613" spans="1:6" hidden="1" x14ac:dyDescent="0.25">
      <c r="D613" s="23">
        <f t="shared" si="18"/>
        <v>0</v>
      </c>
    </row>
    <row r="614" spans="1:6" hidden="1" x14ac:dyDescent="0.25">
      <c r="A614" t="s">
        <v>10</v>
      </c>
      <c r="B614" s="2">
        <v>42387</v>
      </c>
      <c r="C614">
        <v>2016</v>
      </c>
      <c r="D614" s="23">
        <f t="shared" si="18"/>
        <v>18</v>
      </c>
      <c r="E614" t="s">
        <v>6</v>
      </c>
      <c r="F614">
        <f>(SingleBerryDW!F614/SingleBerryFW!F614)*100</f>
        <v>7.3999999999999995</v>
      </c>
    </row>
    <row r="615" spans="1:6" hidden="1" x14ac:dyDescent="0.25">
      <c r="A615" t="s">
        <v>10</v>
      </c>
      <c r="B615" s="2">
        <v>42387</v>
      </c>
      <c r="C615">
        <v>2016</v>
      </c>
      <c r="D615" s="23">
        <f t="shared" si="18"/>
        <v>18</v>
      </c>
      <c r="E615" t="s">
        <v>6</v>
      </c>
      <c r="F615">
        <f>(SingleBerryDW!F615/SingleBerryFW!F615)*100</f>
        <v>6.8999999999999995</v>
      </c>
    </row>
    <row r="616" spans="1:6" hidden="1" x14ac:dyDescent="0.25">
      <c r="A616" t="s">
        <v>10</v>
      </c>
      <c r="B616" s="2">
        <v>42423</v>
      </c>
      <c r="C616">
        <v>2016</v>
      </c>
      <c r="D616" s="23">
        <f t="shared" si="18"/>
        <v>54</v>
      </c>
      <c r="E616" t="s">
        <v>6</v>
      </c>
      <c r="F616">
        <f>(SingleBerryDW!F616/SingleBerryFW!F616)*100</f>
        <v>11.8</v>
      </c>
    </row>
    <row r="617" spans="1:6" hidden="1" x14ac:dyDescent="0.25">
      <c r="A617" t="s">
        <v>10</v>
      </c>
      <c r="B617" s="2">
        <v>42423</v>
      </c>
      <c r="C617">
        <v>2016</v>
      </c>
      <c r="D617" s="23">
        <f t="shared" si="18"/>
        <v>54</v>
      </c>
      <c r="E617" t="s">
        <v>6</v>
      </c>
      <c r="F617">
        <f>(SingleBerryDW!F617/SingleBerryFW!F617)*100</f>
        <v>11.899999999999999</v>
      </c>
    </row>
    <row r="618" spans="1:6" hidden="1" x14ac:dyDescent="0.25">
      <c r="A618" t="s">
        <v>10</v>
      </c>
      <c r="B618" s="2">
        <v>42437</v>
      </c>
      <c r="C618">
        <v>2016</v>
      </c>
      <c r="D618" s="23">
        <f t="shared" si="18"/>
        <v>68</v>
      </c>
      <c r="E618" t="s">
        <v>6</v>
      </c>
      <c r="F618">
        <f>(SingleBerryDW!F618/SingleBerryFW!F618)*100</f>
        <v>13.399999999999999</v>
      </c>
    </row>
    <row r="619" spans="1:6" hidden="1" x14ac:dyDescent="0.25">
      <c r="A619" t="s">
        <v>10</v>
      </c>
      <c r="B619" s="2">
        <v>42437</v>
      </c>
      <c r="C619">
        <v>2016</v>
      </c>
      <c r="D619" s="23">
        <f t="shared" si="18"/>
        <v>68</v>
      </c>
      <c r="E619" t="s">
        <v>6</v>
      </c>
      <c r="F619">
        <f>(SingleBerryDW!F619/SingleBerryFW!F619)*100</f>
        <v>13.600000000000001</v>
      </c>
    </row>
    <row r="620" spans="1:6" hidden="1" x14ac:dyDescent="0.25">
      <c r="A620" t="s">
        <v>10</v>
      </c>
      <c r="B620" s="2">
        <v>42451</v>
      </c>
      <c r="C620">
        <v>2016</v>
      </c>
      <c r="D620" s="23">
        <f t="shared" si="18"/>
        <v>82</v>
      </c>
      <c r="E620" t="s">
        <v>6</v>
      </c>
      <c r="F620">
        <f>(SingleBerryDW!F620/SingleBerryFW!F620)*100</f>
        <v>14.299999999999999</v>
      </c>
    </row>
    <row r="621" spans="1:6" hidden="1" x14ac:dyDescent="0.25">
      <c r="A621" t="s">
        <v>10</v>
      </c>
      <c r="B621" s="2">
        <v>42451</v>
      </c>
      <c r="C621">
        <v>2016</v>
      </c>
      <c r="D621" s="23">
        <f t="shared" si="18"/>
        <v>82</v>
      </c>
      <c r="E621" t="s">
        <v>6</v>
      </c>
      <c r="F621">
        <f>(SingleBerryDW!F621/SingleBerryFW!F621)*100</f>
        <v>14.899999999999999</v>
      </c>
    </row>
    <row r="622" spans="1:6" hidden="1" x14ac:dyDescent="0.25">
      <c r="A622" t="s">
        <v>10</v>
      </c>
      <c r="B622" s="2">
        <v>42466</v>
      </c>
      <c r="C622">
        <v>2016</v>
      </c>
      <c r="D622" s="23">
        <f t="shared" si="18"/>
        <v>97</v>
      </c>
      <c r="E622" t="s">
        <v>6</v>
      </c>
      <c r="F622">
        <f>(SingleBerryDW!F622/SingleBerryFW!F622)*100</f>
        <v>14.500000000000002</v>
      </c>
    </row>
    <row r="623" spans="1:6" hidden="1" x14ac:dyDescent="0.25">
      <c r="A623" t="s">
        <v>10</v>
      </c>
      <c r="B623" s="2">
        <v>42467</v>
      </c>
      <c r="C623">
        <v>2016</v>
      </c>
      <c r="D623" s="23">
        <f t="shared" si="18"/>
        <v>98</v>
      </c>
      <c r="E623" t="s">
        <v>6</v>
      </c>
      <c r="F623">
        <f>(SingleBerryDW!F623/SingleBerryFW!F623)*100</f>
        <v>15.299999999999999</v>
      </c>
    </row>
    <row r="624" spans="1:6" hidden="1" x14ac:dyDescent="0.25">
      <c r="A624" t="s">
        <v>10</v>
      </c>
      <c r="B624" s="2">
        <v>42474</v>
      </c>
      <c r="C624">
        <v>2016</v>
      </c>
      <c r="D624" s="23">
        <f t="shared" si="18"/>
        <v>105</v>
      </c>
      <c r="E624" t="s">
        <v>6</v>
      </c>
      <c r="F624">
        <f>(SingleBerryDW!F624/SingleBerryFW!F624)*100</f>
        <v>15.300000000000002</v>
      </c>
    </row>
    <row r="625" spans="1:6" hidden="1" x14ac:dyDescent="0.25">
      <c r="A625" t="s">
        <v>10</v>
      </c>
      <c r="B625" s="2">
        <v>42475</v>
      </c>
      <c r="C625">
        <v>2016</v>
      </c>
      <c r="D625" s="23">
        <f t="shared" si="18"/>
        <v>106</v>
      </c>
      <c r="E625" t="s">
        <v>6</v>
      </c>
      <c r="F625">
        <f>(SingleBerryDW!F625/SingleBerryFW!F625)*100</f>
        <v>15.2</v>
      </c>
    </row>
    <row r="626" spans="1:6" hidden="1" x14ac:dyDescent="0.25">
      <c r="A626" t="s">
        <v>10</v>
      </c>
      <c r="B626" s="2">
        <v>42482</v>
      </c>
      <c r="C626">
        <v>2016</v>
      </c>
      <c r="D626" s="23">
        <f t="shared" si="18"/>
        <v>113</v>
      </c>
      <c r="E626" t="s">
        <v>6</v>
      </c>
      <c r="F626">
        <f>(SingleBerryDW!F626/SingleBerryFW!F626)*100</f>
        <v>15</v>
      </c>
    </row>
    <row r="627" spans="1:6" hidden="1" x14ac:dyDescent="0.25">
      <c r="A627" t="s">
        <v>10</v>
      </c>
      <c r="B627" s="2">
        <v>42482</v>
      </c>
      <c r="C627">
        <v>2016</v>
      </c>
      <c r="D627" s="23">
        <f t="shared" si="18"/>
        <v>113</v>
      </c>
      <c r="E627" t="s">
        <v>6</v>
      </c>
      <c r="F627">
        <f>(SingleBerryDW!F627/SingleBerryFW!F627)*100</f>
        <v>15.599999999999998</v>
      </c>
    </row>
    <row r="628" spans="1:6" hidden="1" x14ac:dyDescent="0.25">
      <c r="A628" t="s">
        <v>10</v>
      </c>
      <c r="B628" s="2">
        <v>42486</v>
      </c>
      <c r="C628">
        <v>2016</v>
      </c>
      <c r="D628" s="23">
        <f t="shared" si="18"/>
        <v>117</v>
      </c>
      <c r="E628" t="s">
        <v>6</v>
      </c>
      <c r="F628">
        <f>(SingleBerryDW!F628/SingleBerryFW!F628)*100</f>
        <v>15.5</v>
      </c>
    </row>
    <row r="629" spans="1:6" hidden="1" x14ac:dyDescent="0.25">
      <c r="A629" t="s">
        <v>10</v>
      </c>
      <c r="B629" s="2">
        <v>42486</v>
      </c>
      <c r="C629">
        <v>2016</v>
      </c>
      <c r="D629" s="23">
        <f t="shared" si="18"/>
        <v>117</v>
      </c>
      <c r="E629" t="s">
        <v>6</v>
      </c>
      <c r="F629">
        <f>(SingleBerryDW!F629/SingleBerryFW!F629)*100</f>
        <v>15.6</v>
      </c>
    </row>
    <row r="630" spans="1:6" s="7" customFormat="1" hidden="1" x14ac:dyDescent="0.25">
      <c r="A630" s="7" t="s">
        <v>10</v>
      </c>
      <c r="B630" s="6">
        <v>42493</v>
      </c>
      <c r="C630" s="7">
        <v>2016</v>
      </c>
      <c r="D630" s="23">
        <f t="shared" si="18"/>
        <v>124</v>
      </c>
      <c r="E630" s="7" t="s">
        <v>6</v>
      </c>
      <c r="F630" s="7">
        <f>(SingleBerryDW!F630/SingleBerryFW!F630)*100</f>
        <v>15.7</v>
      </c>
    </row>
    <row r="631" spans="1:6" s="7" customFormat="1" hidden="1" x14ac:dyDescent="0.25">
      <c r="A631" s="7" t="s">
        <v>10</v>
      </c>
      <c r="B631" s="6">
        <v>42493</v>
      </c>
      <c r="C631" s="7">
        <v>2016</v>
      </c>
      <c r="D631" s="23">
        <f t="shared" si="18"/>
        <v>124</v>
      </c>
      <c r="E631" s="7" t="s">
        <v>6</v>
      </c>
      <c r="F631" s="7">
        <f>(SingleBerryDW!F631/SingleBerryFW!F631)*100</f>
        <v>16.5</v>
      </c>
    </row>
    <row r="632" spans="1:6" hidden="1" x14ac:dyDescent="0.25">
      <c r="A632" t="s">
        <v>10</v>
      </c>
      <c r="B632" s="2">
        <v>42510</v>
      </c>
      <c r="C632">
        <v>2016</v>
      </c>
      <c r="D632" s="23">
        <f t="shared" si="18"/>
        <v>141</v>
      </c>
      <c r="E632" t="s">
        <v>6</v>
      </c>
      <c r="F632">
        <f>(SingleBerryDW!F632/SingleBerryFW!F632)*100</f>
        <v>15.800000000000002</v>
      </c>
    </row>
    <row r="633" spans="1:6" hidden="1" x14ac:dyDescent="0.25">
      <c r="A633" t="s">
        <v>10</v>
      </c>
      <c r="B633" s="2">
        <v>42510</v>
      </c>
      <c r="C633">
        <v>2016</v>
      </c>
      <c r="D633" s="23">
        <f t="shared" si="18"/>
        <v>141</v>
      </c>
      <c r="E633" t="s">
        <v>6</v>
      </c>
      <c r="F633">
        <f>(SingleBerryDW!F633/SingleBerryFW!F633)*100</f>
        <v>16.600000000000001</v>
      </c>
    </row>
    <row r="634" spans="1:6" hidden="1" x14ac:dyDescent="0.25">
      <c r="A634" t="s">
        <v>10</v>
      </c>
      <c r="B634" s="2">
        <v>42521</v>
      </c>
      <c r="C634">
        <v>2016</v>
      </c>
      <c r="D634" s="23">
        <f t="shared" si="18"/>
        <v>152</v>
      </c>
      <c r="E634" t="s">
        <v>6</v>
      </c>
      <c r="F634">
        <f>(SingleBerryDW!F634/SingleBerryFW!F634)*100</f>
        <v>15.900000000000002</v>
      </c>
    </row>
    <row r="635" spans="1:6" hidden="1" x14ac:dyDescent="0.25">
      <c r="A635" t="s">
        <v>10</v>
      </c>
      <c r="B635" s="2">
        <v>42521</v>
      </c>
      <c r="C635">
        <v>2016</v>
      </c>
      <c r="D635" s="23">
        <f t="shared" si="18"/>
        <v>152</v>
      </c>
      <c r="E635" t="s">
        <v>6</v>
      </c>
      <c r="F635">
        <f>(SingleBerryDW!F635/SingleBerryFW!F635)*100</f>
        <v>16.600000000000001</v>
      </c>
    </row>
    <row r="636" spans="1:6" hidden="1" x14ac:dyDescent="0.25">
      <c r="A636" t="s">
        <v>10</v>
      </c>
      <c r="B636" s="2">
        <v>42535</v>
      </c>
      <c r="C636">
        <v>2016</v>
      </c>
      <c r="D636" s="23">
        <f t="shared" si="18"/>
        <v>166</v>
      </c>
      <c r="E636" t="s">
        <v>6</v>
      </c>
      <c r="F636">
        <f>(SingleBerryDW!F636/SingleBerryFW!F636)*100</f>
        <v>16.899999999999999</v>
      </c>
    </row>
    <row r="637" spans="1:6" hidden="1" x14ac:dyDescent="0.25">
      <c r="A637" t="s">
        <v>10</v>
      </c>
      <c r="B637" s="2">
        <v>42535</v>
      </c>
      <c r="C637">
        <v>2016</v>
      </c>
      <c r="D637" s="23">
        <f t="shared" si="18"/>
        <v>166</v>
      </c>
      <c r="E637" t="s">
        <v>6</v>
      </c>
      <c r="F637">
        <f>(SingleBerryDW!F637/SingleBerryFW!F637)*100</f>
        <v>17.100000000000005</v>
      </c>
    </row>
    <row r="638" spans="1:6" hidden="1" x14ac:dyDescent="0.25">
      <c r="A638" t="s">
        <v>10</v>
      </c>
      <c r="B638" s="2">
        <v>42386</v>
      </c>
      <c r="C638">
        <v>2016</v>
      </c>
      <c r="D638" s="23">
        <f t="shared" si="18"/>
        <v>17</v>
      </c>
      <c r="E638" t="s">
        <v>6</v>
      </c>
      <c r="F638">
        <f>(SingleBerryDW!F638/SingleBerryFW!F638)*100</f>
        <v>7.2000000000000011</v>
      </c>
    </row>
    <row r="639" spans="1:6" hidden="1" x14ac:dyDescent="0.25">
      <c r="A639" t="s">
        <v>10</v>
      </c>
      <c r="B639" s="2">
        <v>42424</v>
      </c>
      <c r="C639">
        <v>2016</v>
      </c>
      <c r="D639" s="23">
        <f t="shared" si="18"/>
        <v>55</v>
      </c>
      <c r="E639" t="s">
        <v>6</v>
      </c>
      <c r="F639">
        <f>(SingleBerryDW!F639/SingleBerryFW!F639)*100</f>
        <v>12.7</v>
      </c>
    </row>
    <row r="640" spans="1:6" hidden="1" x14ac:dyDescent="0.25">
      <c r="A640" t="s">
        <v>10</v>
      </c>
      <c r="B640" s="2">
        <v>42439</v>
      </c>
      <c r="C640">
        <v>2016</v>
      </c>
      <c r="D640" s="23">
        <f t="shared" si="18"/>
        <v>70</v>
      </c>
      <c r="E640" t="s">
        <v>6</v>
      </c>
      <c r="F640">
        <f>(SingleBerryDW!F640/SingleBerryFW!F640)*100</f>
        <v>14.400000000000002</v>
      </c>
    </row>
    <row r="641" spans="1:6" hidden="1" x14ac:dyDescent="0.25">
      <c r="A641" t="s">
        <v>10</v>
      </c>
      <c r="B641" s="2">
        <v>42452</v>
      </c>
      <c r="C641">
        <v>2016</v>
      </c>
      <c r="D641" s="23">
        <f t="shared" si="18"/>
        <v>83</v>
      </c>
      <c r="E641" t="s">
        <v>6</v>
      </c>
      <c r="F641">
        <f>(SingleBerryDW!F641/SingleBerryFW!F641)*100</f>
        <v>15.4</v>
      </c>
    </row>
    <row r="642" spans="1:6" hidden="1" x14ac:dyDescent="0.25">
      <c r="A642" t="s">
        <v>10</v>
      </c>
      <c r="B642" s="2">
        <v>42467</v>
      </c>
      <c r="C642">
        <v>2016</v>
      </c>
      <c r="D642" s="23">
        <f t="shared" si="18"/>
        <v>98</v>
      </c>
      <c r="E642" t="s">
        <v>6</v>
      </c>
      <c r="F642">
        <f>(SingleBerryDW!F642/SingleBerryFW!F642)*100</f>
        <v>16</v>
      </c>
    </row>
    <row r="643" spans="1:6" hidden="1" x14ac:dyDescent="0.25">
      <c r="A643" t="s">
        <v>10</v>
      </c>
      <c r="B643" s="2">
        <v>42474</v>
      </c>
      <c r="C643">
        <v>2016</v>
      </c>
      <c r="D643" s="23">
        <f t="shared" si="18"/>
        <v>105</v>
      </c>
      <c r="E643" t="s">
        <v>6</v>
      </c>
      <c r="F643">
        <f>(SingleBerryDW!F643/SingleBerryFW!F643)*100</f>
        <v>16</v>
      </c>
    </row>
    <row r="644" spans="1:6" hidden="1" x14ac:dyDescent="0.25">
      <c r="A644" t="s">
        <v>10</v>
      </c>
      <c r="B644" s="2">
        <v>42482</v>
      </c>
      <c r="C644">
        <v>2016</v>
      </c>
      <c r="D644" s="23">
        <f t="shared" ref="D644:D707" si="19">B644-DATE(YEAR(B644),1,0)</f>
        <v>113</v>
      </c>
      <c r="E644" t="s">
        <v>6</v>
      </c>
      <c r="F644">
        <f>(SingleBerryDW!F644/SingleBerryFW!F644)*100</f>
        <v>16.5</v>
      </c>
    </row>
    <row r="645" spans="1:6" hidden="1" x14ac:dyDescent="0.25">
      <c r="A645" t="s">
        <v>10</v>
      </c>
      <c r="B645" s="2">
        <v>42489</v>
      </c>
      <c r="C645">
        <v>2016</v>
      </c>
      <c r="D645" s="23">
        <f t="shared" si="19"/>
        <v>120</v>
      </c>
      <c r="E645" t="s">
        <v>6</v>
      </c>
      <c r="F645">
        <f>(SingleBerryDW!F645/SingleBerryFW!F645)*100</f>
        <v>16.600000000000001</v>
      </c>
    </row>
    <row r="646" spans="1:6" s="7" customFormat="1" hidden="1" x14ac:dyDescent="0.25">
      <c r="A646" s="7" t="s">
        <v>10</v>
      </c>
      <c r="B646" s="6">
        <v>42496</v>
      </c>
      <c r="C646" s="7">
        <v>2016</v>
      </c>
      <c r="D646" s="23">
        <f t="shared" si="19"/>
        <v>127</v>
      </c>
      <c r="E646" s="7" t="s">
        <v>6</v>
      </c>
      <c r="F646" s="7">
        <f>(SingleBerryDW!F646/SingleBerryFW!F646)*100</f>
        <v>16.8</v>
      </c>
    </row>
    <row r="647" spans="1:6" hidden="1" x14ac:dyDescent="0.25">
      <c r="A647" t="s">
        <v>10</v>
      </c>
      <c r="B647" s="2">
        <v>42510</v>
      </c>
      <c r="C647">
        <v>2016</v>
      </c>
      <c r="D647" s="23">
        <f t="shared" si="19"/>
        <v>141</v>
      </c>
      <c r="E647" t="s">
        <v>6</v>
      </c>
      <c r="F647">
        <f>(SingleBerryDW!F647/SingleBerryFW!F647)*100</f>
        <v>17.700000000000003</v>
      </c>
    </row>
    <row r="648" spans="1:6" hidden="1" x14ac:dyDescent="0.25">
      <c r="A648" t="s">
        <v>10</v>
      </c>
      <c r="B648" s="2">
        <v>42523</v>
      </c>
      <c r="C648">
        <v>2016</v>
      </c>
      <c r="D648" s="23">
        <f t="shared" si="19"/>
        <v>154</v>
      </c>
      <c r="E648" t="s">
        <v>6</v>
      </c>
      <c r="F648">
        <f>(SingleBerryDW!F648/SingleBerryFW!F648)*100</f>
        <v>17.899999999999995</v>
      </c>
    </row>
    <row r="649" spans="1:6" hidden="1" x14ac:dyDescent="0.25">
      <c r="A649" t="s">
        <v>10</v>
      </c>
      <c r="B649" s="2">
        <v>42535</v>
      </c>
      <c r="C649">
        <v>2016</v>
      </c>
      <c r="D649" s="23">
        <f t="shared" si="19"/>
        <v>166</v>
      </c>
      <c r="E649" t="s">
        <v>6</v>
      </c>
      <c r="F649">
        <f>(SingleBerryDW!F649/SingleBerryFW!F649)*100</f>
        <v>17.899999999999999</v>
      </c>
    </row>
    <row r="650" spans="1:6" hidden="1" x14ac:dyDescent="0.25">
      <c r="A650" t="s">
        <v>10</v>
      </c>
      <c r="B650" s="2">
        <v>42386</v>
      </c>
      <c r="C650">
        <v>2016</v>
      </c>
      <c r="D650" s="23">
        <f t="shared" si="19"/>
        <v>17</v>
      </c>
      <c r="E650" t="s">
        <v>6</v>
      </c>
      <c r="F650">
        <f>(SingleBerryDW!F650/SingleBerryFW!F650)*100</f>
        <v>7.7</v>
      </c>
    </row>
    <row r="651" spans="1:6" hidden="1" x14ac:dyDescent="0.25">
      <c r="A651" t="s">
        <v>10</v>
      </c>
      <c r="B651" s="2">
        <v>42386</v>
      </c>
      <c r="C651">
        <v>2016</v>
      </c>
      <c r="D651" s="23">
        <f t="shared" si="19"/>
        <v>17</v>
      </c>
      <c r="E651" t="s">
        <v>6</v>
      </c>
      <c r="F651">
        <f>(SingleBerryDW!F651/SingleBerryFW!F651)*100</f>
        <v>7.1999999999999993</v>
      </c>
    </row>
    <row r="652" spans="1:6" hidden="1" x14ac:dyDescent="0.25">
      <c r="A652" t="s">
        <v>10</v>
      </c>
      <c r="B652" s="2">
        <v>42386</v>
      </c>
      <c r="C652">
        <v>2016</v>
      </c>
      <c r="D652" s="23">
        <f t="shared" si="19"/>
        <v>17</v>
      </c>
      <c r="E652" t="s">
        <v>6</v>
      </c>
      <c r="F652">
        <f>(SingleBerryDW!F652/SingleBerryFW!F652)*100</f>
        <v>7.3</v>
      </c>
    </row>
    <row r="653" spans="1:6" hidden="1" x14ac:dyDescent="0.25">
      <c r="A653" t="s">
        <v>10</v>
      </c>
      <c r="B653" s="2">
        <v>42389</v>
      </c>
      <c r="C653">
        <v>2016</v>
      </c>
      <c r="D653" s="23">
        <f t="shared" si="19"/>
        <v>20</v>
      </c>
      <c r="E653" t="s">
        <v>6</v>
      </c>
      <c r="F653">
        <f>(SingleBerryDW!F653/SingleBerryFW!F653)*100</f>
        <v>7.8</v>
      </c>
    </row>
    <row r="654" spans="1:6" hidden="1" x14ac:dyDescent="0.25">
      <c r="A654" t="s">
        <v>10</v>
      </c>
      <c r="B654" s="2">
        <v>42424</v>
      </c>
      <c r="C654">
        <v>2016</v>
      </c>
      <c r="D654" s="23">
        <f t="shared" si="19"/>
        <v>55</v>
      </c>
      <c r="E654" t="s">
        <v>6</v>
      </c>
      <c r="F654">
        <f>(SingleBerryDW!F654/SingleBerryFW!F654)*100</f>
        <v>13.3</v>
      </c>
    </row>
    <row r="655" spans="1:6" hidden="1" x14ac:dyDescent="0.25">
      <c r="A655" t="s">
        <v>10</v>
      </c>
      <c r="B655" s="2">
        <v>42424</v>
      </c>
      <c r="C655">
        <v>2016</v>
      </c>
      <c r="D655" s="23">
        <f t="shared" si="19"/>
        <v>55</v>
      </c>
      <c r="E655" t="s">
        <v>6</v>
      </c>
      <c r="F655">
        <f>(SingleBerryDW!F655/SingleBerryFW!F655)*100</f>
        <v>12.7</v>
      </c>
    </row>
    <row r="656" spans="1:6" hidden="1" x14ac:dyDescent="0.25">
      <c r="A656" t="s">
        <v>10</v>
      </c>
      <c r="B656" s="2">
        <v>42424</v>
      </c>
      <c r="C656">
        <v>2016</v>
      </c>
      <c r="D656" s="23">
        <f t="shared" si="19"/>
        <v>55</v>
      </c>
      <c r="E656" t="s">
        <v>6</v>
      </c>
      <c r="F656">
        <f>(SingleBerryDW!F656/SingleBerryFW!F656)*100</f>
        <v>11.600000000000001</v>
      </c>
    </row>
    <row r="657" spans="1:6" hidden="1" x14ac:dyDescent="0.25">
      <c r="A657" t="s">
        <v>10</v>
      </c>
      <c r="B657" s="2">
        <v>42424</v>
      </c>
      <c r="C657">
        <v>2016</v>
      </c>
      <c r="D657" s="23">
        <f t="shared" si="19"/>
        <v>55</v>
      </c>
      <c r="E657" t="s">
        <v>6</v>
      </c>
      <c r="F657">
        <f>(SingleBerryDW!F657/SingleBerryFW!F657)*100</f>
        <v>11.800000000000002</v>
      </c>
    </row>
    <row r="658" spans="1:6" hidden="1" x14ac:dyDescent="0.25">
      <c r="A658" t="s">
        <v>10</v>
      </c>
      <c r="B658" s="2">
        <v>42438</v>
      </c>
      <c r="C658">
        <v>2016</v>
      </c>
      <c r="D658" s="23">
        <f t="shared" si="19"/>
        <v>69</v>
      </c>
      <c r="E658" t="s">
        <v>6</v>
      </c>
      <c r="F658">
        <f>(SingleBerryDW!F658/SingleBerryFW!F658)*100</f>
        <v>13.600000000000001</v>
      </c>
    </row>
    <row r="659" spans="1:6" hidden="1" x14ac:dyDescent="0.25">
      <c r="A659" t="s">
        <v>10</v>
      </c>
      <c r="B659" s="2">
        <v>42439</v>
      </c>
      <c r="C659">
        <v>2016</v>
      </c>
      <c r="D659" s="23">
        <f t="shared" si="19"/>
        <v>70</v>
      </c>
      <c r="E659" t="s">
        <v>6</v>
      </c>
      <c r="F659">
        <f>(SingleBerryDW!F659/SingleBerryFW!F659)*100</f>
        <v>15</v>
      </c>
    </row>
    <row r="660" spans="1:6" hidden="1" x14ac:dyDescent="0.25">
      <c r="A660" t="s">
        <v>10</v>
      </c>
      <c r="B660" s="2">
        <v>42439</v>
      </c>
      <c r="C660">
        <v>2016</v>
      </c>
      <c r="D660" s="23">
        <f t="shared" si="19"/>
        <v>70</v>
      </c>
      <c r="E660" t="s">
        <v>6</v>
      </c>
      <c r="F660">
        <f>(SingleBerryDW!F660/SingleBerryFW!F660)*100</f>
        <v>14.2</v>
      </c>
    </row>
    <row r="661" spans="1:6" hidden="1" x14ac:dyDescent="0.25">
      <c r="A661" t="s">
        <v>10</v>
      </c>
      <c r="B661" s="2">
        <v>42439</v>
      </c>
      <c r="C661">
        <v>2016</v>
      </c>
      <c r="D661" s="23">
        <f t="shared" si="19"/>
        <v>70</v>
      </c>
      <c r="E661" t="s">
        <v>6</v>
      </c>
      <c r="F661">
        <f>(SingleBerryDW!F661/SingleBerryFW!F661)*100</f>
        <v>13.100000000000001</v>
      </c>
    </row>
    <row r="662" spans="1:6" hidden="1" x14ac:dyDescent="0.25">
      <c r="A662" t="s">
        <v>10</v>
      </c>
      <c r="B662" s="2">
        <v>42452</v>
      </c>
      <c r="C662">
        <v>2016</v>
      </c>
      <c r="D662" s="23">
        <f t="shared" si="19"/>
        <v>83</v>
      </c>
      <c r="E662" t="s">
        <v>6</v>
      </c>
      <c r="F662">
        <f>(SingleBerryDW!F662/SingleBerryFW!F662)*100</f>
        <v>15.800000000000002</v>
      </c>
    </row>
    <row r="663" spans="1:6" hidden="1" x14ac:dyDescent="0.25">
      <c r="A663" t="s">
        <v>10</v>
      </c>
      <c r="B663" s="2">
        <v>42452</v>
      </c>
      <c r="C663">
        <v>2016</v>
      </c>
      <c r="D663" s="23">
        <f t="shared" si="19"/>
        <v>83</v>
      </c>
      <c r="E663" t="s">
        <v>6</v>
      </c>
      <c r="F663">
        <f>(SingleBerryDW!F663/SingleBerryFW!F663)*100</f>
        <v>15</v>
      </c>
    </row>
    <row r="664" spans="1:6" hidden="1" x14ac:dyDescent="0.25">
      <c r="A664" t="s">
        <v>10</v>
      </c>
      <c r="B664" s="2">
        <v>42452</v>
      </c>
      <c r="C664">
        <v>2016</v>
      </c>
      <c r="D664" s="23">
        <f t="shared" si="19"/>
        <v>83</v>
      </c>
      <c r="E664" t="s">
        <v>6</v>
      </c>
      <c r="F664">
        <f>(SingleBerryDW!F664/SingleBerryFW!F664)*100</f>
        <v>14.099999999999998</v>
      </c>
    </row>
    <row r="665" spans="1:6" hidden="1" x14ac:dyDescent="0.25">
      <c r="A665" t="s">
        <v>10</v>
      </c>
      <c r="B665" s="2">
        <v>42452</v>
      </c>
      <c r="C665">
        <v>2016</v>
      </c>
      <c r="D665" s="23">
        <f t="shared" si="19"/>
        <v>83</v>
      </c>
      <c r="E665" t="s">
        <v>6</v>
      </c>
      <c r="F665">
        <f>(SingleBerryDW!F665/SingleBerryFW!F665)*100</f>
        <v>14.499999999999998</v>
      </c>
    </row>
    <row r="666" spans="1:6" hidden="1" x14ac:dyDescent="0.25">
      <c r="A666" t="s">
        <v>10</v>
      </c>
      <c r="B666" s="2">
        <v>42467</v>
      </c>
      <c r="C666">
        <v>2016</v>
      </c>
      <c r="D666" s="23">
        <f t="shared" si="19"/>
        <v>98</v>
      </c>
      <c r="E666" t="s">
        <v>6</v>
      </c>
      <c r="F666">
        <f>(SingleBerryDW!F666/SingleBerryFW!F666)*100</f>
        <v>16.7</v>
      </c>
    </row>
    <row r="667" spans="1:6" hidden="1" x14ac:dyDescent="0.25">
      <c r="A667" t="s">
        <v>10</v>
      </c>
      <c r="B667" s="2">
        <v>42467</v>
      </c>
      <c r="C667">
        <v>2016</v>
      </c>
      <c r="D667" s="23">
        <f t="shared" si="19"/>
        <v>98</v>
      </c>
      <c r="E667" t="s">
        <v>6</v>
      </c>
      <c r="F667">
        <f>(SingleBerryDW!F667/SingleBerryFW!F667)*100</f>
        <v>15.400000000000002</v>
      </c>
    </row>
    <row r="668" spans="1:6" hidden="1" x14ac:dyDescent="0.25">
      <c r="A668" t="s">
        <v>10</v>
      </c>
      <c r="B668" s="2">
        <v>42467</v>
      </c>
      <c r="C668">
        <v>2016</v>
      </c>
      <c r="D668" s="23">
        <f t="shared" si="19"/>
        <v>98</v>
      </c>
      <c r="E668" t="s">
        <v>6</v>
      </c>
      <c r="F668">
        <f>(SingleBerryDW!F668/SingleBerryFW!F668)*100</f>
        <v>15</v>
      </c>
    </row>
    <row r="669" spans="1:6" hidden="1" x14ac:dyDescent="0.25">
      <c r="A669" t="s">
        <v>10</v>
      </c>
      <c r="B669" s="2">
        <v>42467</v>
      </c>
      <c r="C669">
        <v>2016</v>
      </c>
      <c r="D669" s="23">
        <f t="shared" si="19"/>
        <v>98</v>
      </c>
      <c r="E669" t="s">
        <v>6</v>
      </c>
      <c r="F669">
        <f>(SingleBerryDW!F669/SingleBerryFW!F669)*100</f>
        <v>15.2</v>
      </c>
    </row>
    <row r="670" spans="1:6" hidden="1" x14ac:dyDescent="0.25">
      <c r="A670" t="s">
        <v>10</v>
      </c>
      <c r="B670" s="2">
        <v>42474</v>
      </c>
      <c r="C670">
        <v>2016</v>
      </c>
      <c r="D670" s="23">
        <f t="shared" si="19"/>
        <v>105</v>
      </c>
      <c r="E670" t="s">
        <v>6</v>
      </c>
      <c r="F670">
        <f>(SingleBerryDW!F670/SingleBerryFW!F670)*100</f>
        <v>15.400000000000002</v>
      </c>
    </row>
    <row r="671" spans="1:6" hidden="1" x14ac:dyDescent="0.25">
      <c r="A671" t="s">
        <v>10</v>
      </c>
      <c r="B671" s="2">
        <v>42475</v>
      </c>
      <c r="C671">
        <v>2016</v>
      </c>
      <c r="D671" s="23">
        <f t="shared" si="19"/>
        <v>106</v>
      </c>
      <c r="E671" t="s">
        <v>6</v>
      </c>
      <c r="F671">
        <f>(SingleBerryDW!F671/SingleBerryFW!F671)*100</f>
        <v>16.5</v>
      </c>
    </row>
    <row r="672" spans="1:6" hidden="1" x14ac:dyDescent="0.25">
      <c r="A672" t="s">
        <v>10</v>
      </c>
      <c r="B672" s="2">
        <v>42475</v>
      </c>
      <c r="C672">
        <v>2016</v>
      </c>
      <c r="D672" s="23">
        <f t="shared" si="19"/>
        <v>106</v>
      </c>
      <c r="E672" t="s">
        <v>6</v>
      </c>
      <c r="F672">
        <f>(SingleBerryDW!F672/SingleBerryFW!F672)*100</f>
        <v>15.7</v>
      </c>
    </row>
    <row r="673" spans="1:8" hidden="1" x14ac:dyDescent="0.25">
      <c r="A673" t="s">
        <v>10</v>
      </c>
      <c r="B673" s="2">
        <v>42475</v>
      </c>
      <c r="C673">
        <v>2016</v>
      </c>
      <c r="D673" s="23">
        <f t="shared" si="19"/>
        <v>106</v>
      </c>
      <c r="E673" t="s">
        <v>6</v>
      </c>
      <c r="F673">
        <f>(SingleBerryDW!F673/SingleBerryFW!F673)*100</f>
        <v>15.2</v>
      </c>
    </row>
    <row r="674" spans="1:8" hidden="1" x14ac:dyDescent="0.25">
      <c r="A674" t="s">
        <v>10</v>
      </c>
      <c r="B674" s="2">
        <v>42482</v>
      </c>
      <c r="C674">
        <v>2016</v>
      </c>
      <c r="D674" s="23">
        <f t="shared" si="19"/>
        <v>113</v>
      </c>
      <c r="E674" t="s">
        <v>6</v>
      </c>
      <c r="F674">
        <f>(SingleBerryDW!F674/SingleBerryFW!F674)*100</f>
        <v>16.900000000000002</v>
      </c>
    </row>
    <row r="675" spans="1:8" hidden="1" x14ac:dyDescent="0.25">
      <c r="A675" t="s">
        <v>10</v>
      </c>
      <c r="B675" s="2">
        <v>42482</v>
      </c>
      <c r="C675">
        <v>2016</v>
      </c>
      <c r="D675" s="23">
        <f t="shared" si="19"/>
        <v>113</v>
      </c>
      <c r="E675" t="s">
        <v>6</v>
      </c>
      <c r="F675">
        <f>(SingleBerryDW!F675/SingleBerryFW!F675)*100</f>
        <v>15.7</v>
      </c>
    </row>
    <row r="676" spans="1:8" hidden="1" x14ac:dyDescent="0.25">
      <c r="A676" t="s">
        <v>10</v>
      </c>
      <c r="B676" s="2">
        <v>42482</v>
      </c>
      <c r="C676">
        <v>2016</v>
      </c>
      <c r="D676" s="23">
        <f t="shared" si="19"/>
        <v>113</v>
      </c>
      <c r="E676" t="s">
        <v>6</v>
      </c>
      <c r="F676">
        <f>(SingleBerryDW!F676/SingleBerryFW!F676)*100</f>
        <v>15.5</v>
      </c>
    </row>
    <row r="677" spans="1:8" hidden="1" x14ac:dyDescent="0.25">
      <c r="A677" t="s">
        <v>10</v>
      </c>
      <c r="B677" s="2">
        <v>42482</v>
      </c>
      <c r="C677">
        <v>2016</v>
      </c>
      <c r="D677" s="23">
        <f t="shared" si="19"/>
        <v>113</v>
      </c>
      <c r="E677" t="s">
        <v>6</v>
      </c>
      <c r="F677">
        <f>(SingleBerryDW!F677/SingleBerryFW!F677)*100</f>
        <v>15.1</v>
      </c>
    </row>
    <row r="678" spans="1:8" hidden="1" x14ac:dyDescent="0.25">
      <c r="A678" t="s">
        <v>10</v>
      </c>
      <c r="B678" s="2">
        <v>42489</v>
      </c>
      <c r="C678">
        <v>2016</v>
      </c>
      <c r="D678" s="23">
        <f t="shared" si="19"/>
        <v>120</v>
      </c>
      <c r="E678" t="s">
        <v>6</v>
      </c>
      <c r="F678">
        <f>(SingleBerryDW!F678/SingleBerryFW!F678)*100</f>
        <v>17.399999999999999</v>
      </c>
    </row>
    <row r="679" spans="1:8" hidden="1" x14ac:dyDescent="0.25">
      <c r="A679" t="s">
        <v>10</v>
      </c>
      <c r="B679" s="2">
        <v>42489</v>
      </c>
      <c r="C679">
        <v>2016</v>
      </c>
      <c r="D679" s="23">
        <f t="shared" si="19"/>
        <v>120</v>
      </c>
      <c r="E679" t="s">
        <v>6</v>
      </c>
      <c r="F679">
        <f>(SingleBerryDW!F679/SingleBerryFW!F679)*100</f>
        <v>16</v>
      </c>
    </row>
    <row r="680" spans="1:8" hidden="1" x14ac:dyDescent="0.25">
      <c r="A680" t="s">
        <v>10</v>
      </c>
      <c r="B680" s="2">
        <v>42489</v>
      </c>
      <c r="C680">
        <v>2016</v>
      </c>
      <c r="D680" s="23">
        <f t="shared" si="19"/>
        <v>120</v>
      </c>
      <c r="E680" t="s">
        <v>6</v>
      </c>
      <c r="F680">
        <f>(SingleBerryDW!F680/SingleBerryFW!F680)*100</f>
        <v>15.7</v>
      </c>
    </row>
    <row r="681" spans="1:8" hidden="1" x14ac:dyDescent="0.25">
      <c r="A681" t="s">
        <v>10</v>
      </c>
      <c r="B681" s="2">
        <v>42489</v>
      </c>
      <c r="C681">
        <v>2016</v>
      </c>
      <c r="D681" s="23">
        <f t="shared" si="19"/>
        <v>120</v>
      </c>
      <c r="E681" t="s">
        <v>6</v>
      </c>
      <c r="F681">
        <f>(SingleBerryDW!F681/SingleBerryFW!F681)*100</f>
        <v>15.699999999999998</v>
      </c>
    </row>
    <row r="682" spans="1:8" s="7" customFormat="1" hidden="1" x14ac:dyDescent="0.25">
      <c r="A682" s="7" t="s">
        <v>10</v>
      </c>
      <c r="B682" s="6">
        <v>42494</v>
      </c>
      <c r="C682" s="7">
        <v>2016</v>
      </c>
      <c r="D682" s="23">
        <f t="shared" si="19"/>
        <v>125</v>
      </c>
      <c r="E682" s="7" t="s">
        <v>6</v>
      </c>
      <c r="F682" s="7">
        <f>(SingleBerryDW!F682/SingleBerryFW!F682)*100</f>
        <v>16.100000000000001</v>
      </c>
      <c r="G682" s="7">
        <f>Calculations!F2</f>
        <v>16.210099755790861</v>
      </c>
      <c r="H682" s="7" t="s">
        <v>27</v>
      </c>
    </row>
    <row r="683" spans="1:8" hidden="1" x14ac:dyDescent="0.25">
      <c r="A683" t="s">
        <v>10</v>
      </c>
      <c r="B683" s="2">
        <v>42496</v>
      </c>
      <c r="C683">
        <v>2016</v>
      </c>
      <c r="D683" s="23">
        <f t="shared" si="19"/>
        <v>127</v>
      </c>
      <c r="E683" t="s">
        <v>6</v>
      </c>
      <c r="F683">
        <f>(SingleBerryDW!F683/SingleBerryFW!F683)*100</f>
        <v>17.200000000000003</v>
      </c>
    </row>
    <row r="684" spans="1:8" hidden="1" x14ac:dyDescent="0.25">
      <c r="A684" t="s">
        <v>10</v>
      </c>
      <c r="B684" s="2">
        <v>42496</v>
      </c>
      <c r="C684">
        <v>2016</v>
      </c>
      <c r="D684" s="23">
        <f t="shared" si="19"/>
        <v>127</v>
      </c>
      <c r="E684" t="s">
        <v>6</v>
      </c>
      <c r="F684">
        <f>(SingleBerryDW!F684/SingleBerryFW!F684)*100</f>
        <v>16.100000000000001</v>
      </c>
    </row>
    <row r="685" spans="1:8" hidden="1" x14ac:dyDescent="0.25">
      <c r="A685" t="s">
        <v>10</v>
      </c>
      <c r="B685" s="2">
        <v>42496</v>
      </c>
      <c r="C685">
        <v>2016</v>
      </c>
      <c r="D685" s="23">
        <f t="shared" si="19"/>
        <v>127</v>
      </c>
      <c r="E685" t="s">
        <v>6</v>
      </c>
      <c r="F685">
        <f>(SingleBerryDW!F685/SingleBerryFW!F685)*100</f>
        <v>16.2</v>
      </c>
    </row>
    <row r="686" spans="1:8" hidden="1" x14ac:dyDescent="0.25">
      <c r="A686" t="s">
        <v>10</v>
      </c>
      <c r="B686" s="2">
        <v>42509</v>
      </c>
      <c r="C686">
        <v>2016</v>
      </c>
      <c r="D686" s="23">
        <f t="shared" si="19"/>
        <v>140</v>
      </c>
      <c r="E686" t="s">
        <v>6</v>
      </c>
      <c r="F686">
        <f>(SingleBerryDW!F686/SingleBerryFW!F686)*100</f>
        <v>17.5</v>
      </c>
    </row>
    <row r="687" spans="1:8" hidden="1" x14ac:dyDescent="0.25">
      <c r="A687" t="s">
        <v>10</v>
      </c>
      <c r="B687" s="2">
        <v>42509</v>
      </c>
      <c r="C687">
        <v>2016</v>
      </c>
      <c r="D687" s="23">
        <f t="shared" si="19"/>
        <v>140</v>
      </c>
      <c r="E687" t="s">
        <v>6</v>
      </c>
      <c r="F687">
        <f>(SingleBerryDW!F687/SingleBerryFW!F687)*100</f>
        <v>17.100000000000001</v>
      </c>
    </row>
    <row r="688" spans="1:8" hidden="1" x14ac:dyDescent="0.25">
      <c r="A688" t="s">
        <v>10</v>
      </c>
      <c r="B688" s="2">
        <v>42509</v>
      </c>
      <c r="C688">
        <v>2016</v>
      </c>
      <c r="D688" s="23">
        <f t="shared" si="19"/>
        <v>140</v>
      </c>
      <c r="E688" t="s">
        <v>6</v>
      </c>
      <c r="F688">
        <f>(SingleBerryDW!F688/SingleBerryFW!F688)*100</f>
        <v>16.399999999999999</v>
      </c>
    </row>
    <row r="689" spans="1:6" hidden="1" x14ac:dyDescent="0.25">
      <c r="A689" t="s">
        <v>10</v>
      </c>
      <c r="B689" s="2">
        <v>42510</v>
      </c>
      <c r="C689">
        <v>2016</v>
      </c>
      <c r="D689" s="23">
        <f t="shared" si="19"/>
        <v>141</v>
      </c>
      <c r="E689" t="s">
        <v>6</v>
      </c>
      <c r="F689">
        <f>(SingleBerryDW!F689/SingleBerryFW!F689)*100</f>
        <v>16.8</v>
      </c>
    </row>
    <row r="690" spans="1:6" hidden="1" x14ac:dyDescent="0.25">
      <c r="A690" t="s">
        <v>10</v>
      </c>
      <c r="B690" s="2">
        <v>42522</v>
      </c>
      <c r="C690">
        <v>2016</v>
      </c>
      <c r="D690" s="23">
        <f t="shared" si="19"/>
        <v>153</v>
      </c>
      <c r="E690" t="s">
        <v>6</v>
      </c>
      <c r="F690">
        <f>(SingleBerryDW!F690/SingleBerryFW!F690)*100</f>
        <v>17.099999999999998</v>
      </c>
    </row>
    <row r="691" spans="1:6" hidden="1" x14ac:dyDescent="0.25">
      <c r="A691" t="s">
        <v>10</v>
      </c>
      <c r="B691" s="2">
        <v>42523</v>
      </c>
      <c r="C691">
        <v>2016</v>
      </c>
      <c r="D691" s="23">
        <f t="shared" si="19"/>
        <v>154</v>
      </c>
      <c r="E691" t="s">
        <v>6</v>
      </c>
      <c r="F691">
        <f>(SingleBerryDW!F691/SingleBerryFW!F691)*100</f>
        <v>18.000000000000004</v>
      </c>
    </row>
    <row r="692" spans="1:6" hidden="1" x14ac:dyDescent="0.25">
      <c r="A692" t="s">
        <v>10</v>
      </c>
      <c r="B692" s="2">
        <v>42523</v>
      </c>
      <c r="C692">
        <v>2016</v>
      </c>
      <c r="D692" s="23">
        <f t="shared" si="19"/>
        <v>154</v>
      </c>
      <c r="E692" t="s">
        <v>6</v>
      </c>
      <c r="F692">
        <f>(SingleBerryDW!F692/SingleBerryFW!F692)*100</f>
        <v>17.099999999999998</v>
      </c>
    </row>
    <row r="693" spans="1:6" hidden="1" x14ac:dyDescent="0.25">
      <c r="A693" t="s">
        <v>10</v>
      </c>
      <c r="B693" s="2">
        <v>42523</v>
      </c>
      <c r="C693">
        <v>2016</v>
      </c>
      <c r="D693" s="23">
        <f t="shared" si="19"/>
        <v>154</v>
      </c>
      <c r="E693" t="s">
        <v>6</v>
      </c>
      <c r="F693">
        <f>(SingleBerryDW!F693/SingleBerryFW!F693)*100</f>
        <v>16.8</v>
      </c>
    </row>
    <row r="694" spans="1:6" hidden="1" x14ac:dyDescent="0.25">
      <c r="A694" t="s">
        <v>10</v>
      </c>
      <c r="B694" s="2">
        <v>42531</v>
      </c>
      <c r="C694">
        <v>2016</v>
      </c>
      <c r="D694" s="23">
        <f t="shared" si="19"/>
        <v>162</v>
      </c>
      <c r="E694" t="s">
        <v>6</v>
      </c>
      <c r="F694">
        <f>(SingleBerryDW!F694/SingleBerryFW!F694)*100</f>
        <v>16.800000000000004</v>
      </c>
    </row>
    <row r="695" spans="1:6" hidden="1" x14ac:dyDescent="0.25">
      <c r="A695" t="s">
        <v>10</v>
      </c>
      <c r="B695" s="2">
        <v>42535</v>
      </c>
      <c r="C695">
        <v>2016</v>
      </c>
      <c r="D695" s="23">
        <f t="shared" si="19"/>
        <v>166</v>
      </c>
      <c r="E695" t="s">
        <v>6</v>
      </c>
      <c r="F695">
        <f>(SingleBerryDW!F695/SingleBerryFW!F695)*100</f>
        <v>18.000000000000004</v>
      </c>
    </row>
    <row r="696" spans="1:6" hidden="1" x14ac:dyDescent="0.25">
      <c r="A696" t="s">
        <v>10</v>
      </c>
      <c r="B696" s="2">
        <v>42535</v>
      </c>
      <c r="C696">
        <v>2016</v>
      </c>
      <c r="D696" s="23">
        <f t="shared" si="19"/>
        <v>166</v>
      </c>
      <c r="E696" t="s">
        <v>6</v>
      </c>
      <c r="F696">
        <f>(SingleBerryDW!F696/SingleBerryFW!F696)*100</f>
        <v>17.3</v>
      </c>
    </row>
    <row r="697" spans="1:6" hidden="1" x14ac:dyDescent="0.25">
      <c r="A697" t="s">
        <v>11</v>
      </c>
      <c r="B697" s="2">
        <v>42752</v>
      </c>
      <c r="C697">
        <v>2017</v>
      </c>
      <c r="D697" s="23">
        <f t="shared" si="19"/>
        <v>17</v>
      </c>
      <c r="E697" t="s">
        <v>6</v>
      </c>
      <c r="F697">
        <f>(SingleBerryDW!F697/SingleBerryFW!F697)*100</f>
        <v>8.6</v>
      </c>
    </row>
    <row r="698" spans="1:6" hidden="1" x14ac:dyDescent="0.25">
      <c r="A698" t="s">
        <v>11</v>
      </c>
      <c r="B698" s="2">
        <v>42752</v>
      </c>
      <c r="C698">
        <v>2017</v>
      </c>
      <c r="D698" s="23">
        <f t="shared" si="19"/>
        <v>17</v>
      </c>
      <c r="E698" t="s">
        <v>6</v>
      </c>
      <c r="F698">
        <f>(SingleBerryDW!F698/SingleBerryFW!F698)*100</f>
        <v>7.1999999999999993</v>
      </c>
    </row>
    <row r="699" spans="1:6" hidden="1" x14ac:dyDescent="0.25">
      <c r="A699" t="s">
        <v>11</v>
      </c>
      <c r="B699" s="2">
        <v>42787</v>
      </c>
      <c r="C699">
        <v>2017</v>
      </c>
      <c r="D699" s="23">
        <f t="shared" si="19"/>
        <v>52</v>
      </c>
      <c r="E699" t="s">
        <v>6</v>
      </c>
      <c r="F699">
        <f>(SingleBerryDW!F699/SingleBerryFW!F699)*100</f>
        <v>12.8</v>
      </c>
    </row>
    <row r="700" spans="1:6" hidden="1" x14ac:dyDescent="0.25">
      <c r="A700" t="s">
        <v>11</v>
      </c>
      <c r="B700" s="2">
        <v>42787</v>
      </c>
      <c r="C700">
        <v>2017</v>
      </c>
      <c r="D700" s="23">
        <f t="shared" si="19"/>
        <v>52</v>
      </c>
      <c r="E700" t="s">
        <v>6</v>
      </c>
      <c r="F700">
        <f>(SingleBerryDW!F700/SingleBerryFW!F700)*100</f>
        <v>11.4</v>
      </c>
    </row>
    <row r="701" spans="1:6" hidden="1" x14ac:dyDescent="0.25">
      <c r="A701" t="s">
        <v>11</v>
      </c>
      <c r="B701" s="2">
        <v>42801</v>
      </c>
      <c r="C701">
        <v>2017</v>
      </c>
      <c r="D701" s="23">
        <f t="shared" si="19"/>
        <v>66</v>
      </c>
      <c r="E701" t="s">
        <v>6</v>
      </c>
      <c r="F701">
        <f>(SingleBerryDW!F701/SingleBerryFW!F701)*100</f>
        <v>14.299999999999999</v>
      </c>
    </row>
    <row r="702" spans="1:6" hidden="1" x14ac:dyDescent="0.25">
      <c r="A702" t="s">
        <v>11</v>
      </c>
      <c r="B702" s="2">
        <v>42801</v>
      </c>
      <c r="C702">
        <v>2017</v>
      </c>
      <c r="D702" s="23">
        <f t="shared" si="19"/>
        <v>66</v>
      </c>
      <c r="E702" t="s">
        <v>6</v>
      </c>
      <c r="F702">
        <f>(SingleBerryDW!F702/SingleBerryFW!F702)*100</f>
        <v>12.7</v>
      </c>
    </row>
    <row r="703" spans="1:6" hidden="1" x14ac:dyDescent="0.25">
      <c r="A703" t="s">
        <v>11</v>
      </c>
      <c r="B703" s="2">
        <v>42815</v>
      </c>
      <c r="C703">
        <v>2017</v>
      </c>
      <c r="D703" s="23">
        <f t="shared" si="19"/>
        <v>80</v>
      </c>
      <c r="E703" t="s">
        <v>6</v>
      </c>
      <c r="F703">
        <f>(SingleBerryDW!F703/SingleBerryFW!F703)*100</f>
        <v>14.7</v>
      </c>
    </row>
    <row r="704" spans="1:6" hidden="1" x14ac:dyDescent="0.25">
      <c r="A704" t="s">
        <v>11</v>
      </c>
      <c r="B704" s="2">
        <v>42815</v>
      </c>
      <c r="C704">
        <v>2017</v>
      </c>
      <c r="D704" s="23">
        <f t="shared" si="19"/>
        <v>80</v>
      </c>
      <c r="E704" t="s">
        <v>6</v>
      </c>
      <c r="F704">
        <f>(SingleBerryDW!F704/SingleBerryFW!F704)*100</f>
        <v>13.700000000000001</v>
      </c>
    </row>
    <row r="705" spans="1:6" hidden="1" x14ac:dyDescent="0.25">
      <c r="A705" t="s">
        <v>11</v>
      </c>
      <c r="B705" s="2">
        <v>42829</v>
      </c>
      <c r="C705">
        <v>2017</v>
      </c>
      <c r="D705" s="23">
        <f t="shared" si="19"/>
        <v>94</v>
      </c>
      <c r="E705" t="s">
        <v>6</v>
      </c>
      <c r="F705">
        <f>(SingleBerryDW!F705/SingleBerryFW!F705)*100</f>
        <v>15.300000000000002</v>
      </c>
    </row>
    <row r="706" spans="1:6" hidden="1" x14ac:dyDescent="0.25">
      <c r="A706" t="s">
        <v>11</v>
      </c>
      <c r="B706" s="2">
        <v>42829</v>
      </c>
      <c r="C706">
        <v>2017</v>
      </c>
      <c r="D706" s="23">
        <f t="shared" si="19"/>
        <v>94</v>
      </c>
      <c r="E706" t="s">
        <v>6</v>
      </c>
      <c r="F706">
        <f>(SingleBerryDW!F706/SingleBerryFW!F706)*100</f>
        <v>14.400000000000002</v>
      </c>
    </row>
    <row r="707" spans="1:6" hidden="1" x14ac:dyDescent="0.25">
      <c r="A707" t="s">
        <v>11</v>
      </c>
      <c r="B707" s="2">
        <v>42839</v>
      </c>
      <c r="C707">
        <v>2017</v>
      </c>
      <c r="D707" s="23">
        <f t="shared" si="19"/>
        <v>104</v>
      </c>
      <c r="E707" t="s">
        <v>6</v>
      </c>
      <c r="F707">
        <f>(SingleBerryDW!F707/SingleBerryFW!F707)*100</f>
        <v>14.900000000000002</v>
      </c>
    </row>
    <row r="708" spans="1:6" hidden="1" x14ac:dyDescent="0.25">
      <c r="A708" t="s">
        <v>11</v>
      </c>
      <c r="B708" s="2">
        <v>42839</v>
      </c>
      <c r="C708">
        <v>2017</v>
      </c>
      <c r="D708" s="23">
        <f t="shared" ref="D708:D771" si="20">B708-DATE(YEAR(B708),1,0)</f>
        <v>104</v>
      </c>
      <c r="E708" t="s">
        <v>6</v>
      </c>
      <c r="F708">
        <f>(SingleBerryDW!F708/SingleBerryFW!F708)*100</f>
        <v>14.2</v>
      </c>
    </row>
    <row r="709" spans="1:6" hidden="1" x14ac:dyDescent="0.25">
      <c r="A709" t="s">
        <v>11</v>
      </c>
      <c r="B709" s="2">
        <v>42844</v>
      </c>
      <c r="C709">
        <v>2017</v>
      </c>
      <c r="D709" s="23">
        <f t="shared" si="20"/>
        <v>109</v>
      </c>
      <c r="E709" t="s">
        <v>6</v>
      </c>
      <c r="F709">
        <f>(SingleBerryDW!F709/SingleBerryFW!F709)*100</f>
        <v>15.7</v>
      </c>
    </row>
    <row r="710" spans="1:6" hidden="1" x14ac:dyDescent="0.25">
      <c r="A710" t="s">
        <v>11</v>
      </c>
      <c r="B710" s="2">
        <v>42844</v>
      </c>
      <c r="C710">
        <v>2017</v>
      </c>
      <c r="D710" s="23">
        <f t="shared" si="20"/>
        <v>109</v>
      </c>
      <c r="E710" t="s">
        <v>6</v>
      </c>
      <c r="F710">
        <f>(SingleBerryDW!F710/SingleBerryFW!F710)*100</f>
        <v>14.900000000000002</v>
      </c>
    </row>
    <row r="711" spans="1:6" hidden="1" x14ac:dyDescent="0.25">
      <c r="A711" t="s">
        <v>11</v>
      </c>
      <c r="B711" s="2">
        <v>42850</v>
      </c>
      <c r="C711">
        <v>2017</v>
      </c>
      <c r="D711" s="23">
        <f t="shared" si="20"/>
        <v>115</v>
      </c>
      <c r="E711" t="s">
        <v>6</v>
      </c>
      <c r="F711">
        <f>(SingleBerryDW!F711/SingleBerryFW!F711)*100</f>
        <v>15.1</v>
      </c>
    </row>
    <row r="712" spans="1:6" hidden="1" x14ac:dyDescent="0.25">
      <c r="A712" t="s">
        <v>11</v>
      </c>
      <c r="B712" s="2">
        <v>42853</v>
      </c>
      <c r="C712">
        <v>2017</v>
      </c>
      <c r="D712" s="23">
        <f t="shared" si="20"/>
        <v>118</v>
      </c>
      <c r="E712" t="s">
        <v>6</v>
      </c>
      <c r="F712">
        <f>(SingleBerryDW!F712/SingleBerryFW!F712)*100</f>
        <v>15.9</v>
      </c>
    </row>
    <row r="713" spans="1:6" hidden="1" x14ac:dyDescent="0.25">
      <c r="A713" t="s">
        <v>11</v>
      </c>
      <c r="B713" s="2">
        <v>42858</v>
      </c>
      <c r="C713">
        <v>2017</v>
      </c>
      <c r="D713" s="23">
        <f t="shared" si="20"/>
        <v>123</v>
      </c>
      <c r="E713" t="s">
        <v>6</v>
      </c>
      <c r="F713">
        <f>(SingleBerryDW!F713/SingleBerryFW!F713)*100</f>
        <v>16.100000000000001</v>
      </c>
    </row>
    <row r="714" spans="1:6" s="7" customFormat="1" hidden="1" x14ac:dyDescent="0.25">
      <c r="A714" s="7" t="s">
        <v>11</v>
      </c>
      <c r="B714" s="6">
        <v>42858</v>
      </c>
      <c r="C714" s="7">
        <v>2017</v>
      </c>
      <c r="D714" s="23">
        <f t="shared" si="20"/>
        <v>123</v>
      </c>
      <c r="E714" s="7" t="s">
        <v>6</v>
      </c>
      <c r="F714" s="7">
        <f>(SingleBerryDW!F714/SingleBerryFW!F714)*100</f>
        <v>15</v>
      </c>
    </row>
    <row r="715" spans="1:6" s="7" customFormat="1" hidden="1" x14ac:dyDescent="0.25">
      <c r="A715" s="7" t="s">
        <v>11</v>
      </c>
      <c r="B715" s="6">
        <v>42871</v>
      </c>
      <c r="C715" s="7">
        <v>2017</v>
      </c>
      <c r="D715" s="23">
        <f t="shared" si="20"/>
        <v>136</v>
      </c>
      <c r="E715" s="7" t="s">
        <v>6</v>
      </c>
      <c r="F715" s="7">
        <f>(SingleBerryDW!F715/SingleBerryFW!F715)*100</f>
        <v>16.8</v>
      </c>
    </row>
    <row r="716" spans="1:6" s="7" customFormat="1" hidden="1" x14ac:dyDescent="0.25">
      <c r="A716" s="7" t="s">
        <v>11</v>
      </c>
      <c r="B716" s="6">
        <v>42871</v>
      </c>
      <c r="C716" s="7">
        <v>2017</v>
      </c>
      <c r="D716" s="23">
        <f t="shared" si="20"/>
        <v>136</v>
      </c>
      <c r="E716" s="7" t="s">
        <v>6</v>
      </c>
      <c r="F716" s="7">
        <f>(SingleBerryDW!F716/SingleBerryFW!F716)*100</f>
        <v>16.2</v>
      </c>
    </row>
    <row r="717" spans="1:6" hidden="1" x14ac:dyDescent="0.25">
      <c r="A717" t="s">
        <v>11</v>
      </c>
      <c r="B717" s="2">
        <v>42885</v>
      </c>
      <c r="C717">
        <v>2017</v>
      </c>
      <c r="D717" s="23">
        <f t="shared" si="20"/>
        <v>150</v>
      </c>
      <c r="E717" t="s">
        <v>6</v>
      </c>
      <c r="F717">
        <f>(SingleBerryDW!F717/SingleBerryFW!F717)*100</f>
        <v>16.900000000000002</v>
      </c>
    </row>
    <row r="718" spans="1:6" hidden="1" x14ac:dyDescent="0.25">
      <c r="A718" t="s">
        <v>11</v>
      </c>
      <c r="B718" s="2">
        <v>42885</v>
      </c>
      <c r="C718">
        <v>2017</v>
      </c>
      <c r="D718" s="23">
        <f t="shared" si="20"/>
        <v>150</v>
      </c>
      <c r="E718" t="s">
        <v>6</v>
      </c>
      <c r="F718">
        <f>(SingleBerryDW!F718/SingleBerryFW!F718)*100</f>
        <v>16.3</v>
      </c>
    </row>
    <row r="719" spans="1:6" hidden="1" x14ac:dyDescent="0.25">
      <c r="A719" t="s">
        <v>11</v>
      </c>
      <c r="B719" s="2">
        <v>42893</v>
      </c>
      <c r="C719">
        <v>2017</v>
      </c>
      <c r="D719" s="23">
        <f t="shared" si="20"/>
        <v>158</v>
      </c>
      <c r="E719" t="s">
        <v>6</v>
      </c>
      <c r="F719">
        <f>(SingleBerryDW!F719/SingleBerryFW!F719)*100</f>
        <v>17.100000000000005</v>
      </c>
    </row>
    <row r="720" spans="1:6" hidden="1" x14ac:dyDescent="0.25">
      <c r="A720" t="s">
        <v>11</v>
      </c>
      <c r="B720" s="2">
        <v>42893</v>
      </c>
      <c r="C720">
        <v>2017</v>
      </c>
      <c r="D720" s="23">
        <f t="shared" si="20"/>
        <v>158</v>
      </c>
      <c r="E720" t="s">
        <v>6</v>
      </c>
      <c r="F720">
        <f>(SingleBerryDW!F720/SingleBerryFW!F720)*100</f>
        <v>16.5</v>
      </c>
    </row>
    <row r="721" spans="1:6" hidden="1" x14ac:dyDescent="0.25">
      <c r="A721" t="s">
        <v>11</v>
      </c>
      <c r="B721" s="2">
        <v>42907</v>
      </c>
      <c r="C721">
        <v>2017</v>
      </c>
      <c r="D721" s="23">
        <f t="shared" si="20"/>
        <v>172</v>
      </c>
      <c r="E721" t="s">
        <v>6</v>
      </c>
      <c r="F721">
        <f>(SingleBerryDW!F721/SingleBerryFW!F721)*100</f>
        <v>17.3</v>
      </c>
    </row>
    <row r="722" spans="1:6" hidden="1" x14ac:dyDescent="0.25">
      <c r="A722" t="s">
        <v>11</v>
      </c>
      <c r="B722" s="2">
        <v>42907</v>
      </c>
      <c r="C722">
        <v>2017</v>
      </c>
      <c r="D722" s="23">
        <f t="shared" si="20"/>
        <v>172</v>
      </c>
      <c r="E722" t="s">
        <v>6</v>
      </c>
      <c r="F722">
        <f>(SingleBerryDW!F722/SingleBerryFW!F722)*100</f>
        <v>16.400000000000002</v>
      </c>
    </row>
    <row r="723" spans="1:6" hidden="1" x14ac:dyDescent="0.25">
      <c r="A723" t="s">
        <v>11</v>
      </c>
      <c r="B723" s="2">
        <v>42753</v>
      </c>
      <c r="C723">
        <v>2017</v>
      </c>
      <c r="D723" s="23">
        <f t="shared" si="20"/>
        <v>18</v>
      </c>
      <c r="E723" t="s">
        <v>6</v>
      </c>
      <c r="F723">
        <f>(SingleBerryDW!F723/SingleBerryFW!F723)*100</f>
        <v>8</v>
      </c>
    </row>
    <row r="724" spans="1:6" hidden="1" x14ac:dyDescent="0.25">
      <c r="A724" t="s">
        <v>11</v>
      </c>
      <c r="B724" s="2">
        <v>42789</v>
      </c>
      <c r="C724">
        <v>2017</v>
      </c>
      <c r="D724" s="23">
        <f t="shared" si="20"/>
        <v>54</v>
      </c>
      <c r="E724" t="s">
        <v>6</v>
      </c>
      <c r="F724">
        <f>(SingleBerryDW!F724/SingleBerryFW!F724)*100</f>
        <v>12.4</v>
      </c>
    </row>
    <row r="725" spans="1:6" hidden="1" x14ac:dyDescent="0.25">
      <c r="A725" t="s">
        <v>11</v>
      </c>
      <c r="B725" s="2">
        <v>42804</v>
      </c>
      <c r="C725">
        <v>2017</v>
      </c>
      <c r="D725" s="23">
        <f t="shared" si="20"/>
        <v>69</v>
      </c>
      <c r="E725" t="s">
        <v>6</v>
      </c>
      <c r="F725">
        <f>(SingleBerryDW!F725/SingleBerryFW!F725)*100</f>
        <v>14.6</v>
      </c>
    </row>
    <row r="726" spans="1:6" hidden="1" x14ac:dyDescent="0.25">
      <c r="A726" t="s">
        <v>11</v>
      </c>
      <c r="B726" s="2">
        <v>42817</v>
      </c>
      <c r="C726">
        <v>2017</v>
      </c>
      <c r="D726" s="23">
        <f t="shared" si="20"/>
        <v>82</v>
      </c>
      <c r="E726" t="s">
        <v>6</v>
      </c>
      <c r="F726">
        <f>(SingleBerryDW!F726/SingleBerryFW!F726)*100</f>
        <v>15.5</v>
      </c>
    </row>
    <row r="727" spans="1:6" hidden="1" x14ac:dyDescent="0.25">
      <c r="A727" t="s">
        <v>11</v>
      </c>
      <c r="B727" s="2">
        <v>42832</v>
      </c>
      <c r="C727">
        <v>2017</v>
      </c>
      <c r="D727" s="23">
        <f t="shared" si="20"/>
        <v>97</v>
      </c>
      <c r="E727" t="s">
        <v>6</v>
      </c>
      <c r="F727">
        <f>(SingleBerryDW!F727/SingleBerryFW!F727)*100</f>
        <v>15.9</v>
      </c>
    </row>
    <row r="728" spans="1:6" hidden="1" x14ac:dyDescent="0.25">
      <c r="A728" t="s">
        <v>11</v>
      </c>
      <c r="B728" s="2">
        <v>42838</v>
      </c>
      <c r="C728">
        <v>2017</v>
      </c>
      <c r="D728" s="23">
        <f t="shared" si="20"/>
        <v>103</v>
      </c>
      <c r="E728" t="s">
        <v>6</v>
      </c>
      <c r="F728">
        <f>(SingleBerryDW!F728/SingleBerryFW!F728)*100</f>
        <v>16</v>
      </c>
    </row>
    <row r="729" spans="1:6" hidden="1" x14ac:dyDescent="0.25">
      <c r="A729" t="s">
        <v>11</v>
      </c>
      <c r="B729" s="2">
        <v>42845</v>
      </c>
      <c r="C729">
        <v>2017</v>
      </c>
      <c r="D729" s="23">
        <f t="shared" si="20"/>
        <v>110</v>
      </c>
      <c r="E729" t="s">
        <v>6</v>
      </c>
      <c r="F729">
        <f>(SingleBerryDW!F729/SingleBerryFW!F729)*100</f>
        <v>16.7</v>
      </c>
    </row>
    <row r="730" spans="1:6" hidden="1" x14ac:dyDescent="0.25">
      <c r="A730" t="s">
        <v>11</v>
      </c>
      <c r="B730" s="2">
        <v>42853</v>
      </c>
      <c r="C730">
        <v>2017</v>
      </c>
      <c r="D730" s="23">
        <f t="shared" si="20"/>
        <v>118</v>
      </c>
      <c r="E730" t="s">
        <v>6</v>
      </c>
      <c r="F730">
        <f>(SingleBerryDW!F730/SingleBerryFW!F730)*100</f>
        <v>16.900000000000002</v>
      </c>
    </row>
    <row r="731" spans="1:6" s="7" customFormat="1" hidden="1" x14ac:dyDescent="0.25">
      <c r="A731" s="7" t="s">
        <v>11</v>
      </c>
      <c r="B731" s="6">
        <v>42859</v>
      </c>
      <c r="C731" s="7">
        <v>2017</v>
      </c>
      <c r="D731" s="23">
        <f t="shared" si="20"/>
        <v>124</v>
      </c>
      <c r="E731" s="7" t="s">
        <v>6</v>
      </c>
      <c r="F731" s="7">
        <f>(SingleBerryDW!F731/SingleBerryFW!F731)*100</f>
        <v>17</v>
      </c>
    </row>
    <row r="732" spans="1:6" s="7" customFormat="1" hidden="1" x14ac:dyDescent="0.25">
      <c r="A732" s="7" t="s">
        <v>11</v>
      </c>
      <c r="B732" s="6">
        <v>42873</v>
      </c>
      <c r="C732" s="7">
        <v>2017</v>
      </c>
      <c r="D732" s="23">
        <f t="shared" si="20"/>
        <v>138</v>
      </c>
      <c r="E732" s="7" t="s">
        <v>6</v>
      </c>
      <c r="F732" s="7">
        <f>(SingleBerryDW!F732/SingleBerryFW!F732)*100</f>
        <v>17.7</v>
      </c>
    </row>
    <row r="733" spans="1:6" hidden="1" x14ac:dyDescent="0.25">
      <c r="A733" t="s">
        <v>11</v>
      </c>
      <c r="B733" s="2">
        <v>42887</v>
      </c>
      <c r="C733">
        <v>2017</v>
      </c>
      <c r="D733" s="23">
        <f t="shared" si="20"/>
        <v>152</v>
      </c>
      <c r="E733" t="s">
        <v>6</v>
      </c>
      <c r="F733">
        <f>(SingleBerryDW!F733/SingleBerryFW!F733)*100</f>
        <v>17.7</v>
      </c>
    </row>
    <row r="734" spans="1:6" hidden="1" x14ac:dyDescent="0.25">
      <c r="A734" t="s">
        <v>11</v>
      </c>
      <c r="B734" s="2">
        <v>42894</v>
      </c>
      <c r="C734">
        <v>2017</v>
      </c>
      <c r="D734" s="23">
        <f t="shared" si="20"/>
        <v>159</v>
      </c>
      <c r="E734" t="s">
        <v>6</v>
      </c>
      <c r="F734">
        <f>(SingleBerryDW!F734/SingleBerryFW!F734)*100</f>
        <v>18.100000000000001</v>
      </c>
    </row>
    <row r="735" spans="1:6" hidden="1" x14ac:dyDescent="0.25">
      <c r="A735" t="s">
        <v>11</v>
      </c>
      <c r="B735" s="2">
        <v>42908</v>
      </c>
      <c r="C735">
        <v>2017</v>
      </c>
      <c r="D735" s="23">
        <f t="shared" si="20"/>
        <v>173</v>
      </c>
      <c r="E735" t="s">
        <v>6</v>
      </c>
      <c r="F735">
        <f>(SingleBerryDW!F735/SingleBerryFW!F735)*100</f>
        <v>17.899999999999999</v>
      </c>
    </row>
    <row r="736" spans="1:6" hidden="1" x14ac:dyDescent="0.25">
      <c r="A736" t="s">
        <v>11</v>
      </c>
      <c r="B736" s="2">
        <v>42753</v>
      </c>
      <c r="C736">
        <v>2017</v>
      </c>
      <c r="D736" s="23">
        <f t="shared" si="20"/>
        <v>18</v>
      </c>
      <c r="E736" t="s">
        <v>6</v>
      </c>
      <c r="F736">
        <f>(SingleBerryDW!F736/SingleBerryFW!F736)*100</f>
        <v>8</v>
      </c>
    </row>
    <row r="737" spans="1:6" hidden="1" x14ac:dyDescent="0.25">
      <c r="A737" t="s">
        <v>11</v>
      </c>
      <c r="B737" s="2">
        <v>42753</v>
      </c>
      <c r="C737">
        <v>2017</v>
      </c>
      <c r="D737" s="23">
        <f t="shared" si="20"/>
        <v>18</v>
      </c>
      <c r="E737" t="s">
        <v>6</v>
      </c>
      <c r="F737">
        <f>(SingleBerryDW!F737/SingleBerryFW!F737)*100</f>
        <v>7.8</v>
      </c>
    </row>
    <row r="738" spans="1:6" hidden="1" x14ac:dyDescent="0.25">
      <c r="A738" t="s">
        <v>11</v>
      </c>
      <c r="B738" s="2">
        <v>42753</v>
      </c>
      <c r="C738">
        <v>2017</v>
      </c>
      <c r="D738" s="23">
        <f t="shared" si="20"/>
        <v>18</v>
      </c>
      <c r="E738" t="s">
        <v>6</v>
      </c>
      <c r="F738">
        <f>(SingleBerryDW!F738/SingleBerryFW!F738)*100</f>
        <v>8.1</v>
      </c>
    </row>
    <row r="739" spans="1:6" hidden="1" x14ac:dyDescent="0.25">
      <c r="A739" t="s">
        <v>11</v>
      </c>
      <c r="B739" s="2">
        <v>42753</v>
      </c>
      <c r="C739">
        <v>2017</v>
      </c>
      <c r="D739" s="23">
        <f t="shared" si="20"/>
        <v>18</v>
      </c>
      <c r="E739" t="s">
        <v>6</v>
      </c>
      <c r="F739">
        <f>(SingleBerryDW!F739/SingleBerryFW!F739)*100</f>
        <v>8.5</v>
      </c>
    </row>
    <row r="740" spans="1:6" hidden="1" x14ac:dyDescent="0.25">
      <c r="A740" t="s">
        <v>11</v>
      </c>
      <c r="B740" s="2">
        <v>42788</v>
      </c>
      <c r="C740">
        <v>2017</v>
      </c>
      <c r="D740" s="23">
        <f t="shared" si="20"/>
        <v>53</v>
      </c>
      <c r="E740" t="s">
        <v>6</v>
      </c>
      <c r="F740">
        <f>(SingleBerryDW!F740/SingleBerryFW!F740)*100</f>
        <v>13.100000000000001</v>
      </c>
    </row>
    <row r="741" spans="1:6" hidden="1" x14ac:dyDescent="0.25">
      <c r="A741" t="s">
        <v>11</v>
      </c>
      <c r="B741" s="2">
        <v>42789</v>
      </c>
      <c r="C741">
        <v>2017</v>
      </c>
      <c r="D741" s="23">
        <f t="shared" si="20"/>
        <v>54</v>
      </c>
      <c r="E741" t="s">
        <v>6</v>
      </c>
      <c r="F741">
        <f>(SingleBerryDW!F741/SingleBerryFW!F741)*100</f>
        <v>13</v>
      </c>
    </row>
    <row r="742" spans="1:6" hidden="1" x14ac:dyDescent="0.25">
      <c r="A742" t="s">
        <v>11</v>
      </c>
      <c r="B742" s="2">
        <v>42789</v>
      </c>
      <c r="C742">
        <v>2017</v>
      </c>
      <c r="D742" s="23">
        <f t="shared" si="20"/>
        <v>54</v>
      </c>
      <c r="E742" t="s">
        <v>6</v>
      </c>
      <c r="F742">
        <f>(SingleBerryDW!F742/SingleBerryFW!F742)*100</f>
        <v>12.400000000000002</v>
      </c>
    </row>
    <row r="743" spans="1:6" hidden="1" x14ac:dyDescent="0.25">
      <c r="A743" t="s">
        <v>11</v>
      </c>
      <c r="B743" s="2">
        <v>42789</v>
      </c>
      <c r="C743">
        <v>2017</v>
      </c>
      <c r="D743" s="23">
        <f t="shared" si="20"/>
        <v>54</v>
      </c>
      <c r="E743" t="s">
        <v>6</v>
      </c>
      <c r="F743">
        <f>(SingleBerryDW!F743/SingleBerryFW!F743)*100</f>
        <v>12.999999999999998</v>
      </c>
    </row>
    <row r="744" spans="1:6" hidden="1" x14ac:dyDescent="0.25">
      <c r="A744" t="s">
        <v>11</v>
      </c>
      <c r="B744" s="2">
        <v>42803</v>
      </c>
      <c r="C744">
        <v>2017</v>
      </c>
      <c r="D744" s="23">
        <f t="shared" si="20"/>
        <v>68</v>
      </c>
      <c r="E744" t="s">
        <v>6</v>
      </c>
      <c r="F744">
        <f>(SingleBerryDW!F744/SingleBerryFW!F744)*100</f>
        <v>14.400000000000002</v>
      </c>
    </row>
    <row r="745" spans="1:6" hidden="1" x14ac:dyDescent="0.25">
      <c r="A745" t="s">
        <v>11</v>
      </c>
      <c r="B745" s="2">
        <v>42803</v>
      </c>
      <c r="C745">
        <v>2017</v>
      </c>
      <c r="D745" s="23">
        <f t="shared" si="20"/>
        <v>68</v>
      </c>
      <c r="E745" t="s">
        <v>6</v>
      </c>
      <c r="F745">
        <f>(SingleBerryDW!F745/SingleBerryFW!F745)*100</f>
        <v>14.899999999999999</v>
      </c>
    </row>
    <row r="746" spans="1:6" hidden="1" x14ac:dyDescent="0.25">
      <c r="A746" t="s">
        <v>11</v>
      </c>
      <c r="B746" s="2">
        <v>42804</v>
      </c>
      <c r="C746">
        <v>2017</v>
      </c>
      <c r="D746" s="23">
        <f t="shared" si="20"/>
        <v>69</v>
      </c>
      <c r="E746" t="s">
        <v>6</v>
      </c>
      <c r="F746">
        <f>(SingleBerryDW!F746/SingleBerryFW!F746)*100</f>
        <v>15.1</v>
      </c>
    </row>
    <row r="747" spans="1:6" hidden="1" x14ac:dyDescent="0.25">
      <c r="A747" t="s">
        <v>11</v>
      </c>
      <c r="B747" s="2">
        <v>42804</v>
      </c>
      <c r="C747">
        <v>2017</v>
      </c>
      <c r="D747" s="23">
        <f t="shared" si="20"/>
        <v>69</v>
      </c>
      <c r="E747" t="s">
        <v>6</v>
      </c>
      <c r="F747">
        <f>(SingleBerryDW!F747/SingleBerryFW!F747)*100</f>
        <v>14.7</v>
      </c>
    </row>
    <row r="748" spans="1:6" hidden="1" x14ac:dyDescent="0.25">
      <c r="A748" t="s">
        <v>11</v>
      </c>
      <c r="B748" s="2">
        <v>42816</v>
      </c>
      <c r="C748">
        <v>2017</v>
      </c>
      <c r="D748" s="23">
        <f t="shared" si="20"/>
        <v>81</v>
      </c>
      <c r="E748" t="s">
        <v>6</v>
      </c>
      <c r="F748">
        <f>(SingleBerryDW!F748/SingleBerryFW!F748)*100</f>
        <v>15.6</v>
      </c>
    </row>
    <row r="749" spans="1:6" hidden="1" x14ac:dyDescent="0.25">
      <c r="A749" t="s">
        <v>11</v>
      </c>
      <c r="B749" s="2">
        <v>42817</v>
      </c>
      <c r="C749">
        <v>2017</v>
      </c>
      <c r="D749" s="23">
        <f t="shared" si="20"/>
        <v>82</v>
      </c>
      <c r="E749" t="s">
        <v>6</v>
      </c>
      <c r="F749">
        <f>(SingleBerryDW!F749/SingleBerryFW!F749)*100</f>
        <v>15.599999999999998</v>
      </c>
    </row>
    <row r="750" spans="1:6" hidden="1" x14ac:dyDescent="0.25">
      <c r="A750" t="s">
        <v>11</v>
      </c>
      <c r="B750" s="2">
        <v>42817</v>
      </c>
      <c r="C750">
        <v>2017</v>
      </c>
      <c r="D750" s="23">
        <f t="shared" si="20"/>
        <v>82</v>
      </c>
      <c r="E750" t="s">
        <v>6</v>
      </c>
      <c r="F750">
        <f>(SingleBerryDW!F750/SingleBerryFW!F750)*100</f>
        <v>14.899999999999999</v>
      </c>
    </row>
    <row r="751" spans="1:6" hidden="1" x14ac:dyDescent="0.25">
      <c r="A751" t="s">
        <v>11</v>
      </c>
      <c r="B751" s="2">
        <v>42817</v>
      </c>
      <c r="C751">
        <v>2017</v>
      </c>
      <c r="D751" s="23">
        <f t="shared" si="20"/>
        <v>82</v>
      </c>
      <c r="E751" t="s">
        <v>6</v>
      </c>
      <c r="F751">
        <f>(SingleBerryDW!F751/SingleBerryFW!F751)*100</f>
        <v>15.699999999999998</v>
      </c>
    </row>
    <row r="752" spans="1:6" hidden="1" x14ac:dyDescent="0.25">
      <c r="A752" t="s">
        <v>11</v>
      </c>
      <c r="B752" s="2">
        <v>42831</v>
      </c>
      <c r="C752">
        <v>2017</v>
      </c>
      <c r="D752" s="23">
        <f t="shared" si="20"/>
        <v>96</v>
      </c>
      <c r="E752" t="s">
        <v>6</v>
      </c>
      <c r="F752">
        <f>(SingleBerryDW!F752/SingleBerryFW!F752)*100</f>
        <v>16.100000000000001</v>
      </c>
    </row>
    <row r="753" spans="1:6" hidden="1" x14ac:dyDescent="0.25">
      <c r="A753" t="s">
        <v>11</v>
      </c>
      <c r="B753" s="2">
        <v>42832</v>
      </c>
      <c r="C753">
        <v>2017</v>
      </c>
      <c r="D753" s="23">
        <f t="shared" si="20"/>
        <v>97</v>
      </c>
      <c r="E753" t="s">
        <v>6</v>
      </c>
      <c r="F753">
        <f>(SingleBerryDW!F753/SingleBerryFW!F753)*100</f>
        <v>16</v>
      </c>
    </row>
    <row r="754" spans="1:6" hidden="1" x14ac:dyDescent="0.25">
      <c r="A754" t="s">
        <v>11</v>
      </c>
      <c r="B754" s="2">
        <v>42832</v>
      </c>
      <c r="C754">
        <v>2017</v>
      </c>
      <c r="D754" s="23">
        <f t="shared" si="20"/>
        <v>97</v>
      </c>
      <c r="E754" t="s">
        <v>6</v>
      </c>
      <c r="F754">
        <f>(SingleBerryDW!F754/SingleBerryFW!F754)*100</f>
        <v>15.400000000000002</v>
      </c>
    </row>
    <row r="755" spans="1:6" hidden="1" x14ac:dyDescent="0.25">
      <c r="A755" t="s">
        <v>11</v>
      </c>
      <c r="B755" s="2">
        <v>42832</v>
      </c>
      <c r="C755">
        <v>2017</v>
      </c>
      <c r="D755" s="23">
        <f t="shared" si="20"/>
        <v>97</v>
      </c>
      <c r="E755" t="s">
        <v>6</v>
      </c>
      <c r="F755">
        <f>(SingleBerryDW!F755/SingleBerryFW!F755)*100</f>
        <v>16.2</v>
      </c>
    </row>
    <row r="756" spans="1:6" hidden="1" x14ac:dyDescent="0.25">
      <c r="A756" t="s">
        <v>11</v>
      </c>
      <c r="B756" s="2">
        <v>42837</v>
      </c>
      <c r="C756">
        <v>2017</v>
      </c>
      <c r="D756" s="23">
        <f t="shared" si="20"/>
        <v>102</v>
      </c>
      <c r="E756" t="s">
        <v>6</v>
      </c>
      <c r="F756">
        <f>(SingleBerryDW!F756/SingleBerryFW!F756)*100</f>
        <v>16.100000000000001</v>
      </c>
    </row>
    <row r="757" spans="1:6" hidden="1" x14ac:dyDescent="0.25">
      <c r="A757" t="s">
        <v>11</v>
      </c>
      <c r="B757" s="2">
        <v>42838</v>
      </c>
      <c r="C757">
        <v>2017</v>
      </c>
      <c r="D757" s="23">
        <f t="shared" si="20"/>
        <v>103</v>
      </c>
      <c r="E757" t="s">
        <v>6</v>
      </c>
      <c r="F757">
        <f>(SingleBerryDW!F757/SingleBerryFW!F757)*100</f>
        <v>16.100000000000001</v>
      </c>
    </row>
    <row r="758" spans="1:6" hidden="1" x14ac:dyDescent="0.25">
      <c r="A758" t="s">
        <v>11</v>
      </c>
      <c r="B758" s="2">
        <v>42838</v>
      </c>
      <c r="C758">
        <v>2017</v>
      </c>
      <c r="D758" s="23">
        <f t="shared" si="20"/>
        <v>103</v>
      </c>
      <c r="E758" t="s">
        <v>6</v>
      </c>
      <c r="F758">
        <f>(SingleBerryDW!F758/SingleBerryFW!F758)*100</f>
        <v>15.400000000000002</v>
      </c>
    </row>
    <row r="759" spans="1:6" hidden="1" x14ac:dyDescent="0.25">
      <c r="A759" t="s">
        <v>11</v>
      </c>
      <c r="B759" s="2">
        <v>42838</v>
      </c>
      <c r="C759">
        <v>2017</v>
      </c>
      <c r="D759" s="23">
        <f t="shared" si="20"/>
        <v>103</v>
      </c>
      <c r="E759" t="s">
        <v>6</v>
      </c>
      <c r="F759">
        <f>(SingleBerryDW!F759/SingleBerryFW!F759)*100</f>
        <v>16.100000000000001</v>
      </c>
    </row>
    <row r="760" spans="1:6" hidden="1" x14ac:dyDescent="0.25">
      <c r="A760" t="s">
        <v>11</v>
      </c>
      <c r="B760" s="2">
        <v>42844</v>
      </c>
      <c r="C760">
        <v>2017</v>
      </c>
      <c r="D760" s="23">
        <f t="shared" si="20"/>
        <v>109</v>
      </c>
      <c r="E760" t="s">
        <v>6</v>
      </c>
      <c r="F760">
        <f>(SingleBerryDW!F760/SingleBerryFW!F760)*100</f>
        <v>16.100000000000001</v>
      </c>
    </row>
    <row r="761" spans="1:6" hidden="1" x14ac:dyDescent="0.25">
      <c r="A761" t="s">
        <v>11</v>
      </c>
      <c r="B761" s="2">
        <v>42845</v>
      </c>
      <c r="C761">
        <v>2017</v>
      </c>
      <c r="D761" s="23">
        <f t="shared" si="20"/>
        <v>110</v>
      </c>
      <c r="E761" t="s">
        <v>6</v>
      </c>
      <c r="F761">
        <f>(SingleBerryDW!F761/SingleBerryFW!F761)*100</f>
        <v>16.3</v>
      </c>
    </row>
    <row r="762" spans="1:6" hidden="1" x14ac:dyDescent="0.25">
      <c r="A762" t="s">
        <v>11</v>
      </c>
      <c r="B762" s="2">
        <v>42845</v>
      </c>
      <c r="C762">
        <v>2017</v>
      </c>
      <c r="D762" s="23">
        <f t="shared" si="20"/>
        <v>110</v>
      </c>
      <c r="E762" t="s">
        <v>6</v>
      </c>
      <c r="F762">
        <f>(SingleBerryDW!F762/SingleBerryFW!F762)*100</f>
        <v>15.5</v>
      </c>
    </row>
    <row r="763" spans="1:6" hidden="1" x14ac:dyDescent="0.25">
      <c r="A763" t="s">
        <v>11</v>
      </c>
      <c r="B763" s="2">
        <v>42845</v>
      </c>
      <c r="C763">
        <v>2017</v>
      </c>
      <c r="D763" s="23">
        <f t="shared" si="20"/>
        <v>110</v>
      </c>
      <c r="E763" t="s">
        <v>6</v>
      </c>
      <c r="F763">
        <f>(SingleBerryDW!F763/SingleBerryFW!F763)*100</f>
        <v>16.799999999999997</v>
      </c>
    </row>
    <row r="764" spans="1:6" hidden="1" x14ac:dyDescent="0.25">
      <c r="A764" t="s">
        <v>11</v>
      </c>
      <c r="B764" s="2">
        <v>42853</v>
      </c>
      <c r="C764">
        <v>2017</v>
      </c>
      <c r="D764" s="23">
        <f t="shared" si="20"/>
        <v>118</v>
      </c>
      <c r="E764" t="s">
        <v>6</v>
      </c>
      <c r="F764">
        <f>(SingleBerryDW!F764/SingleBerryFW!F764)*100</f>
        <v>16.7</v>
      </c>
    </row>
    <row r="765" spans="1:6" hidden="1" x14ac:dyDescent="0.25">
      <c r="A765" t="s">
        <v>11</v>
      </c>
      <c r="B765" s="2">
        <v>42853</v>
      </c>
      <c r="C765">
        <v>2017</v>
      </c>
      <c r="D765" s="23">
        <f t="shared" si="20"/>
        <v>118</v>
      </c>
      <c r="E765" t="s">
        <v>6</v>
      </c>
      <c r="F765">
        <f>(SingleBerryDW!F765/SingleBerryFW!F765)*100</f>
        <v>16.2</v>
      </c>
    </row>
    <row r="766" spans="1:6" hidden="1" x14ac:dyDescent="0.25">
      <c r="A766" t="s">
        <v>11</v>
      </c>
      <c r="B766" s="2">
        <v>42853</v>
      </c>
      <c r="C766">
        <v>2017</v>
      </c>
      <c r="D766" s="23">
        <f t="shared" si="20"/>
        <v>118</v>
      </c>
      <c r="E766" t="s">
        <v>6</v>
      </c>
      <c r="F766">
        <f>(SingleBerryDW!F766/SingleBerryFW!F766)*100</f>
        <v>17</v>
      </c>
    </row>
    <row r="767" spans="1:6" hidden="1" x14ac:dyDescent="0.25">
      <c r="A767" t="s">
        <v>11</v>
      </c>
      <c r="B767" s="2">
        <v>42853</v>
      </c>
      <c r="C767">
        <v>2017</v>
      </c>
      <c r="D767" s="23">
        <f t="shared" si="20"/>
        <v>118</v>
      </c>
      <c r="E767" t="s">
        <v>6</v>
      </c>
      <c r="F767">
        <f>(SingleBerryDW!F767/SingleBerryFW!F767)*100</f>
        <v>17</v>
      </c>
    </row>
    <row r="768" spans="1:6" hidden="1" x14ac:dyDescent="0.25">
      <c r="A768" t="s">
        <v>11</v>
      </c>
      <c r="B768" s="2">
        <v>42858</v>
      </c>
      <c r="C768">
        <v>2017</v>
      </c>
      <c r="D768" s="23">
        <f t="shared" si="20"/>
        <v>123</v>
      </c>
      <c r="E768" t="s">
        <v>6</v>
      </c>
      <c r="F768">
        <f>(SingleBerryDW!F768/SingleBerryFW!F768)*100</f>
        <v>17.2</v>
      </c>
    </row>
    <row r="769" spans="1:8" hidden="1" x14ac:dyDescent="0.25">
      <c r="A769" t="s">
        <v>11</v>
      </c>
      <c r="B769" s="2">
        <v>42859</v>
      </c>
      <c r="C769">
        <v>2017</v>
      </c>
      <c r="D769" s="23">
        <f t="shared" si="20"/>
        <v>124</v>
      </c>
      <c r="E769" t="s">
        <v>6</v>
      </c>
      <c r="F769">
        <f>(SingleBerryDW!F769/SingleBerryFW!F769)*100</f>
        <v>16.399999999999999</v>
      </c>
    </row>
    <row r="770" spans="1:8" s="7" customFormat="1" hidden="1" x14ac:dyDescent="0.25">
      <c r="A770" s="7" t="s">
        <v>11</v>
      </c>
      <c r="B770" s="6">
        <v>42860</v>
      </c>
      <c r="C770" s="7">
        <v>2017</v>
      </c>
      <c r="D770" s="23">
        <f t="shared" si="20"/>
        <v>125</v>
      </c>
      <c r="E770" s="7" t="s">
        <v>6</v>
      </c>
      <c r="F770" s="7">
        <f>(SingleBerryDW!F770/SingleBerryFW!F770)*100</f>
        <v>16.800000000000004</v>
      </c>
      <c r="G770" s="7">
        <f>Calculations!F3</f>
        <v>16.434023976465831</v>
      </c>
      <c r="H770" s="7" t="s">
        <v>27</v>
      </c>
    </row>
    <row r="771" spans="1:8" s="7" customFormat="1" hidden="1" x14ac:dyDescent="0.25">
      <c r="A771" s="7" t="s">
        <v>11</v>
      </c>
      <c r="B771" s="6">
        <v>42860</v>
      </c>
      <c r="C771" s="7">
        <v>2017</v>
      </c>
      <c r="D771" s="23">
        <f t="shared" si="20"/>
        <v>125</v>
      </c>
      <c r="E771" s="7" t="s">
        <v>6</v>
      </c>
      <c r="F771" s="7">
        <f>(SingleBerryDW!F771/SingleBerryFW!F771)*100</f>
        <v>17.199999999999996</v>
      </c>
    </row>
    <row r="772" spans="1:8" s="7" customFormat="1" hidden="1" x14ac:dyDescent="0.25">
      <c r="A772" s="7" t="s">
        <v>11</v>
      </c>
      <c r="B772" s="6">
        <v>42872</v>
      </c>
      <c r="C772" s="7">
        <v>2017</v>
      </c>
      <c r="D772" s="23">
        <f t="shared" ref="D772:D835" si="21">B772-DATE(YEAR(B772),1,0)</f>
        <v>137</v>
      </c>
      <c r="E772" s="7" t="s">
        <v>6</v>
      </c>
      <c r="F772" s="7">
        <f>(SingleBerryDW!F772/SingleBerryFW!F772)*100</f>
        <v>17.699999999999996</v>
      </c>
    </row>
    <row r="773" spans="1:8" hidden="1" x14ac:dyDescent="0.25">
      <c r="A773" t="s">
        <v>11</v>
      </c>
      <c r="B773" s="2">
        <v>42873</v>
      </c>
      <c r="C773">
        <v>2017</v>
      </c>
      <c r="D773" s="23">
        <f t="shared" si="21"/>
        <v>138</v>
      </c>
      <c r="E773" t="s">
        <v>6</v>
      </c>
      <c r="F773">
        <f>(SingleBerryDW!F773/SingleBerryFW!F773)*100</f>
        <v>17.2</v>
      </c>
    </row>
    <row r="774" spans="1:8" hidden="1" x14ac:dyDescent="0.25">
      <c r="A774" t="s">
        <v>11</v>
      </c>
      <c r="B774" s="2">
        <v>42873</v>
      </c>
      <c r="C774">
        <v>2017</v>
      </c>
      <c r="D774" s="23">
        <f t="shared" si="21"/>
        <v>138</v>
      </c>
      <c r="E774" t="s">
        <v>6</v>
      </c>
      <c r="F774">
        <f>(SingleBerryDW!F774/SingleBerryFW!F774)*100</f>
        <v>16.7</v>
      </c>
    </row>
    <row r="775" spans="1:8" hidden="1" x14ac:dyDescent="0.25">
      <c r="A775" t="s">
        <v>11</v>
      </c>
      <c r="B775" s="2">
        <v>42873</v>
      </c>
      <c r="C775">
        <v>2017</v>
      </c>
      <c r="D775" s="23">
        <f t="shared" si="21"/>
        <v>138</v>
      </c>
      <c r="E775" t="s">
        <v>6</v>
      </c>
      <c r="F775">
        <f>(SingleBerryDW!F775/SingleBerryFW!F775)*100</f>
        <v>17.600000000000001</v>
      </c>
    </row>
    <row r="776" spans="1:8" hidden="1" x14ac:dyDescent="0.25">
      <c r="A776" t="s">
        <v>11</v>
      </c>
      <c r="B776" s="2">
        <v>42886</v>
      </c>
      <c r="C776">
        <v>2017</v>
      </c>
      <c r="D776" s="23">
        <f t="shared" si="21"/>
        <v>151</v>
      </c>
      <c r="E776" t="s">
        <v>6</v>
      </c>
      <c r="F776">
        <f>(SingleBerryDW!F776/SingleBerryFW!F776)*100</f>
        <v>18</v>
      </c>
    </row>
    <row r="777" spans="1:8" hidden="1" x14ac:dyDescent="0.25">
      <c r="A777" t="s">
        <v>11</v>
      </c>
      <c r="B777" s="2">
        <v>42887</v>
      </c>
      <c r="C777">
        <v>2017</v>
      </c>
      <c r="D777" s="23">
        <f t="shared" si="21"/>
        <v>152</v>
      </c>
      <c r="E777" t="s">
        <v>6</v>
      </c>
      <c r="F777">
        <f>(SingleBerryDW!F777/SingleBerryFW!F777)*100</f>
        <v>17.399999999999999</v>
      </c>
    </row>
    <row r="778" spans="1:8" hidden="1" x14ac:dyDescent="0.25">
      <c r="A778" t="s">
        <v>11</v>
      </c>
      <c r="B778" s="2">
        <v>42887</v>
      </c>
      <c r="C778">
        <v>2017</v>
      </c>
      <c r="D778" s="23">
        <f t="shared" si="21"/>
        <v>152</v>
      </c>
      <c r="E778" t="s">
        <v>6</v>
      </c>
      <c r="F778">
        <f>(SingleBerryDW!F778/SingleBerryFW!F778)*100</f>
        <v>16.899999999999999</v>
      </c>
    </row>
    <row r="779" spans="1:8" hidden="1" x14ac:dyDescent="0.25">
      <c r="A779" t="s">
        <v>11</v>
      </c>
      <c r="B779" s="2">
        <v>42887</v>
      </c>
      <c r="C779">
        <v>2017</v>
      </c>
      <c r="D779" s="23">
        <f t="shared" si="21"/>
        <v>152</v>
      </c>
      <c r="E779" t="s">
        <v>6</v>
      </c>
      <c r="F779">
        <f>(SingleBerryDW!F779/SingleBerryFW!F779)*100</f>
        <v>18</v>
      </c>
    </row>
    <row r="780" spans="1:8" hidden="1" x14ac:dyDescent="0.25">
      <c r="A780" t="s">
        <v>11</v>
      </c>
      <c r="B780" s="2">
        <v>42893</v>
      </c>
      <c r="C780">
        <v>2017</v>
      </c>
      <c r="D780" s="23">
        <f t="shared" si="21"/>
        <v>158</v>
      </c>
      <c r="E780" t="s">
        <v>6</v>
      </c>
      <c r="F780">
        <f>(SingleBerryDW!F780/SingleBerryFW!F780)*100</f>
        <v>17.899999999999999</v>
      </c>
    </row>
    <row r="781" spans="1:8" hidden="1" x14ac:dyDescent="0.25">
      <c r="A781" t="s">
        <v>11</v>
      </c>
      <c r="B781" s="2">
        <v>42893</v>
      </c>
      <c r="C781">
        <v>2017</v>
      </c>
      <c r="D781" s="23">
        <f t="shared" si="21"/>
        <v>158</v>
      </c>
      <c r="E781" t="s">
        <v>6</v>
      </c>
      <c r="F781">
        <f>(SingleBerryDW!F781/SingleBerryFW!F781)*100</f>
        <v>17.8</v>
      </c>
    </row>
    <row r="782" spans="1:8" hidden="1" x14ac:dyDescent="0.25">
      <c r="A782" t="s">
        <v>11</v>
      </c>
      <c r="B782" s="2">
        <v>42894</v>
      </c>
      <c r="C782">
        <v>2017</v>
      </c>
      <c r="D782" s="23">
        <f t="shared" si="21"/>
        <v>159</v>
      </c>
      <c r="E782" t="s">
        <v>6</v>
      </c>
      <c r="F782">
        <f>(SingleBerryDW!F782/SingleBerryFW!F782)*100</f>
        <v>17.7</v>
      </c>
    </row>
    <row r="783" spans="1:8" hidden="1" x14ac:dyDescent="0.25">
      <c r="A783" t="s">
        <v>11</v>
      </c>
      <c r="B783" s="2">
        <v>42907</v>
      </c>
      <c r="C783">
        <v>2017</v>
      </c>
      <c r="D783" s="23">
        <f t="shared" si="21"/>
        <v>172</v>
      </c>
      <c r="E783" t="s">
        <v>6</v>
      </c>
      <c r="F783">
        <f>(SingleBerryDW!F783/SingleBerryFW!F783)*100</f>
        <v>17.5</v>
      </c>
    </row>
    <row r="784" spans="1:8" hidden="1" x14ac:dyDescent="0.25">
      <c r="A784" t="s">
        <v>11</v>
      </c>
      <c r="B784" s="2">
        <v>42907</v>
      </c>
      <c r="C784">
        <v>2017</v>
      </c>
      <c r="D784" s="23">
        <f t="shared" si="21"/>
        <v>172</v>
      </c>
      <c r="E784" t="s">
        <v>6</v>
      </c>
      <c r="F784">
        <f>(SingleBerryDW!F784/SingleBerryFW!F784)*100</f>
        <v>18</v>
      </c>
    </row>
    <row r="785" spans="1:6" hidden="1" x14ac:dyDescent="0.25">
      <c r="A785" t="s">
        <v>11</v>
      </c>
      <c r="B785" s="2">
        <v>42908</v>
      </c>
      <c r="C785">
        <v>2017</v>
      </c>
      <c r="D785" s="23">
        <f t="shared" si="21"/>
        <v>173</v>
      </c>
      <c r="E785" t="s">
        <v>6</v>
      </c>
      <c r="F785">
        <f>(SingleBerryDW!F785/SingleBerryFW!F785)*100</f>
        <v>17.8</v>
      </c>
    </row>
    <row r="786" spans="1:6" hidden="1" x14ac:dyDescent="0.25">
      <c r="A786" t="s">
        <v>12</v>
      </c>
      <c r="B786" s="2">
        <v>43116</v>
      </c>
      <c r="C786">
        <v>2018</v>
      </c>
      <c r="D786" s="23">
        <f t="shared" si="21"/>
        <v>16</v>
      </c>
      <c r="E786" t="s">
        <v>6</v>
      </c>
      <c r="F786">
        <f>(SingleBerryDW!F786/SingleBerryFW!F786)*100</f>
        <v>7.7</v>
      </c>
    </row>
    <row r="787" spans="1:6" hidden="1" x14ac:dyDescent="0.25">
      <c r="A787" t="s">
        <v>12</v>
      </c>
      <c r="B787" s="2">
        <v>43116</v>
      </c>
      <c r="C787">
        <v>2018</v>
      </c>
      <c r="D787" s="23">
        <f t="shared" si="21"/>
        <v>16</v>
      </c>
      <c r="E787" t="s">
        <v>6</v>
      </c>
      <c r="F787">
        <f>(SingleBerryDW!F787/SingleBerryFW!F787)*100</f>
        <v>6.7999999999999989</v>
      </c>
    </row>
    <row r="788" spans="1:6" hidden="1" x14ac:dyDescent="0.25">
      <c r="A788" t="s">
        <v>12</v>
      </c>
      <c r="B788" s="2">
        <v>43151</v>
      </c>
      <c r="C788">
        <v>2018</v>
      </c>
      <c r="D788" s="23">
        <f t="shared" si="21"/>
        <v>51</v>
      </c>
      <c r="E788" t="s">
        <v>6</v>
      </c>
      <c r="F788">
        <f>(SingleBerryDW!F788/SingleBerryFW!F788)*100</f>
        <v>12.599999999999998</v>
      </c>
    </row>
    <row r="789" spans="1:6" hidden="1" x14ac:dyDescent="0.25">
      <c r="A789" t="s">
        <v>12</v>
      </c>
      <c r="B789" s="2">
        <v>43151</v>
      </c>
      <c r="C789">
        <v>2018</v>
      </c>
      <c r="D789" s="23">
        <f t="shared" si="21"/>
        <v>51</v>
      </c>
      <c r="E789" t="s">
        <v>6</v>
      </c>
      <c r="F789">
        <f>(SingleBerryDW!F789/SingleBerryFW!F789)*100</f>
        <v>11.4</v>
      </c>
    </row>
    <row r="790" spans="1:6" hidden="1" x14ac:dyDescent="0.25">
      <c r="A790" t="s">
        <v>12</v>
      </c>
      <c r="B790" s="2">
        <v>43165</v>
      </c>
      <c r="C790">
        <v>2018</v>
      </c>
      <c r="D790" s="23">
        <f t="shared" si="21"/>
        <v>65</v>
      </c>
      <c r="E790" t="s">
        <v>6</v>
      </c>
      <c r="F790">
        <f>(SingleBerryDW!F790/SingleBerryFW!F790)*100</f>
        <v>14.3</v>
      </c>
    </row>
    <row r="791" spans="1:6" hidden="1" x14ac:dyDescent="0.25">
      <c r="A791" t="s">
        <v>12</v>
      </c>
      <c r="B791" s="2">
        <v>43165</v>
      </c>
      <c r="C791">
        <v>2018</v>
      </c>
      <c r="D791" s="23">
        <f t="shared" si="21"/>
        <v>65</v>
      </c>
      <c r="E791" t="s">
        <v>6</v>
      </c>
      <c r="F791">
        <f>(SingleBerryDW!F791/SingleBerryFW!F791)*100</f>
        <v>13.299999999999997</v>
      </c>
    </row>
    <row r="792" spans="1:6" hidden="1" x14ac:dyDescent="0.25">
      <c r="A792" t="s">
        <v>12</v>
      </c>
      <c r="B792" s="2">
        <v>43179</v>
      </c>
      <c r="C792">
        <v>2018</v>
      </c>
      <c r="D792" s="23">
        <f t="shared" si="21"/>
        <v>79</v>
      </c>
      <c r="E792" t="s">
        <v>6</v>
      </c>
      <c r="F792">
        <f>(SingleBerryDW!F792/SingleBerryFW!F792)*100</f>
        <v>15.7</v>
      </c>
    </row>
    <row r="793" spans="1:6" hidden="1" x14ac:dyDescent="0.25">
      <c r="A793" t="s">
        <v>12</v>
      </c>
      <c r="B793" s="2">
        <v>43179</v>
      </c>
      <c r="C793">
        <v>2018</v>
      </c>
      <c r="D793" s="23">
        <f t="shared" si="21"/>
        <v>79</v>
      </c>
      <c r="E793" t="s">
        <v>6</v>
      </c>
      <c r="F793">
        <f>(SingleBerryDW!F793/SingleBerryFW!F793)*100</f>
        <v>14.7</v>
      </c>
    </row>
    <row r="794" spans="1:6" hidden="1" x14ac:dyDescent="0.25">
      <c r="A794" t="s">
        <v>12</v>
      </c>
      <c r="B794" s="2">
        <v>43195</v>
      </c>
      <c r="C794">
        <v>2018</v>
      </c>
      <c r="D794" s="23">
        <f t="shared" si="21"/>
        <v>95</v>
      </c>
      <c r="E794" t="s">
        <v>6</v>
      </c>
      <c r="F794">
        <f>(SingleBerryDW!F794/SingleBerryFW!F794)*100</f>
        <v>16.399999999999999</v>
      </c>
    </row>
    <row r="795" spans="1:6" hidden="1" x14ac:dyDescent="0.25">
      <c r="A795" t="s">
        <v>12</v>
      </c>
      <c r="B795" s="2">
        <v>43195</v>
      </c>
      <c r="C795">
        <v>2018</v>
      </c>
      <c r="D795" s="23">
        <f t="shared" si="21"/>
        <v>95</v>
      </c>
      <c r="E795" t="s">
        <v>6</v>
      </c>
      <c r="F795">
        <f>(SingleBerryDW!F795/SingleBerryFW!F795)*100</f>
        <v>15.4</v>
      </c>
    </row>
    <row r="796" spans="1:6" hidden="1" x14ac:dyDescent="0.25">
      <c r="A796" t="s">
        <v>12</v>
      </c>
      <c r="B796" s="2">
        <v>43201</v>
      </c>
      <c r="C796">
        <v>2018</v>
      </c>
      <c r="D796" s="23">
        <f t="shared" si="21"/>
        <v>101</v>
      </c>
      <c r="E796" t="s">
        <v>6</v>
      </c>
      <c r="F796">
        <f>(SingleBerryDW!F796/SingleBerryFW!F796)*100</f>
        <v>16.600000000000001</v>
      </c>
    </row>
    <row r="797" spans="1:6" hidden="1" x14ac:dyDescent="0.25">
      <c r="A797" t="s">
        <v>12</v>
      </c>
      <c r="B797" s="2">
        <v>43201</v>
      </c>
      <c r="C797">
        <v>2018</v>
      </c>
      <c r="D797" s="23">
        <f t="shared" si="21"/>
        <v>101</v>
      </c>
      <c r="E797" t="s">
        <v>6</v>
      </c>
      <c r="F797">
        <f>(SingleBerryDW!F797/SingleBerryFW!F797)*100</f>
        <v>15.8</v>
      </c>
    </row>
    <row r="798" spans="1:6" hidden="1" x14ac:dyDescent="0.25">
      <c r="A798" t="s">
        <v>12</v>
      </c>
      <c r="B798" s="2">
        <v>43209</v>
      </c>
      <c r="C798">
        <v>2018</v>
      </c>
      <c r="D798" s="23">
        <f t="shared" si="21"/>
        <v>109</v>
      </c>
      <c r="E798" t="s">
        <v>6</v>
      </c>
      <c r="F798">
        <f>(SingleBerryDW!F798/SingleBerryFW!F798)*100</f>
        <v>17.200000000000003</v>
      </c>
    </row>
    <row r="799" spans="1:6" hidden="1" x14ac:dyDescent="0.25">
      <c r="A799" t="s">
        <v>12</v>
      </c>
      <c r="B799" s="2">
        <v>43209</v>
      </c>
      <c r="C799">
        <v>2018</v>
      </c>
      <c r="D799" s="23">
        <f t="shared" si="21"/>
        <v>109</v>
      </c>
      <c r="E799" t="s">
        <v>6</v>
      </c>
      <c r="F799">
        <f>(SingleBerryDW!F799/SingleBerryFW!F799)*100</f>
        <v>16</v>
      </c>
    </row>
    <row r="800" spans="1:6" hidden="1" x14ac:dyDescent="0.25">
      <c r="A800" t="s">
        <v>12</v>
      </c>
      <c r="B800" s="2">
        <v>43215</v>
      </c>
      <c r="C800">
        <v>2018</v>
      </c>
      <c r="D800" s="23">
        <f t="shared" si="21"/>
        <v>115</v>
      </c>
      <c r="E800" t="s">
        <v>6</v>
      </c>
      <c r="F800">
        <f>(SingleBerryDW!F800/SingleBerryFW!F800)*100</f>
        <v>17.100000000000001</v>
      </c>
    </row>
    <row r="801" spans="1:6" hidden="1" x14ac:dyDescent="0.25">
      <c r="A801" t="s">
        <v>12</v>
      </c>
      <c r="B801" s="2">
        <v>43215</v>
      </c>
      <c r="C801">
        <v>2018</v>
      </c>
      <c r="D801" s="23">
        <f t="shared" si="21"/>
        <v>115</v>
      </c>
      <c r="E801" t="s">
        <v>6</v>
      </c>
      <c r="F801">
        <f>(SingleBerryDW!F801/SingleBerryFW!F801)*100</f>
        <v>16</v>
      </c>
    </row>
    <row r="802" spans="1:6" s="7" customFormat="1" hidden="1" x14ac:dyDescent="0.25">
      <c r="A802" s="7" t="s">
        <v>12</v>
      </c>
      <c r="B802" s="6">
        <v>43221</v>
      </c>
      <c r="C802" s="7">
        <v>2018</v>
      </c>
      <c r="D802" s="23">
        <f t="shared" si="21"/>
        <v>121</v>
      </c>
      <c r="E802" s="7" t="s">
        <v>6</v>
      </c>
      <c r="F802" s="7">
        <f>(SingleBerryDW!F802/SingleBerryFW!F802)*100</f>
        <v>17.399999999999999</v>
      </c>
    </row>
    <row r="803" spans="1:6" s="7" customFormat="1" hidden="1" x14ac:dyDescent="0.25">
      <c r="A803" s="7" t="s">
        <v>12</v>
      </c>
      <c r="B803" s="6">
        <v>43221</v>
      </c>
      <c r="C803" s="7">
        <v>2018</v>
      </c>
      <c r="D803" s="23">
        <f t="shared" si="21"/>
        <v>121</v>
      </c>
      <c r="E803" s="7" t="s">
        <v>6</v>
      </c>
      <c r="F803" s="7">
        <f>(SingleBerryDW!F803/SingleBerryFW!F803)*100</f>
        <v>16.600000000000001</v>
      </c>
    </row>
    <row r="804" spans="1:6" hidden="1" x14ac:dyDescent="0.25">
      <c r="A804" t="s">
        <v>12</v>
      </c>
      <c r="B804" s="2">
        <v>43235</v>
      </c>
      <c r="C804">
        <v>2018</v>
      </c>
      <c r="D804" s="23">
        <f t="shared" si="21"/>
        <v>135</v>
      </c>
      <c r="E804" t="s">
        <v>6</v>
      </c>
      <c r="F804">
        <f>(SingleBerryDW!F804/SingleBerryFW!F804)*100</f>
        <v>18.099999999999998</v>
      </c>
    </row>
    <row r="805" spans="1:6" hidden="1" x14ac:dyDescent="0.25">
      <c r="A805" t="s">
        <v>12</v>
      </c>
      <c r="B805" s="2">
        <v>43235</v>
      </c>
      <c r="C805">
        <v>2018</v>
      </c>
      <c r="D805" s="23">
        <f t="shared" si="21"/>
        <v>135</v>
      </c>
      <c r="E805" t="s">
        <v>6</v>
      </c>
      <c r="F805">
        <f>(SingleBerryDW!F805/SingleBerryFW!F805)*100</f>
        <v>16.600000000000005</v>
      </c>
    </row>
    <row r="806" spans="1:6" hidden="1" x14ac:dyDescent="0.25">
      <c r="A806" t="s">
        <v>12</v>
      </c>
      <c r="B806" s="2">
        <v>43249</v>
      </c>
      <c r="C806">
        <v>2018</v>
      </c>
      <c r="D806" s="23">
        <f t="shared" si="21"/>
        <v>149</v>
      </c>
      <c r="E806" t="s">
        <v>6</v>
      </c>
      <c r="F806">
        <f>(SingleBerryDW!F806/SingleBerryFW!F806)*100</f>
        <v>18.299999999999997</v>
      </c>
    </row>
    <row r="807" spans="1:6" hidden="1" x14ac:dyDescent="0.25">
      <c r="A807" t="s">
        <v>12</v>
      </c>
      <c r="B807" s="2">
        <v>43249</v>
      </c>
      <c r="C807">
        <v>2018</v>
      </c>
      <c r="D807" s="23">
        <f t="shared" si="21"/>
        <v>149</v>
      </c>
      <c r="E807" t="s">
        <v>6</v>
      </c>
      <c r="F807">
        <f>(SingleBerryDW!F807/SingleBerryFW!F807)*100</f>
        <v>17.299999999999997</v>
      </c>
    </row>
    <row r="808" spans="1:6" hidden="1" x14ac:dyDescent="0.25">
      <c r="A808" t="s">
        <v>12</v>
      </c>
      <c r="B808" s="2">
        <v>43116</v>
      </c>
      <c r="C808">
        <v>2018</v>
      </c>
      <c r="D808" s="23">
        <f t="shared" si="21"/>
        <v>16</v>
      </c>
      <c r="E808" t="s">
        <v>6</v>
      </c>
      <c r="F808">
        <f>(SingleBerryDW!F808/SingleBerryFW!F808)*100</f>
        <v>7.1</v>
      </c>
    </row>
    <row r="809" spans="1:6" hidden="1" x14ac:dyDescent="0.25">
      <c r="A809" t="s">
        <v>12</v>
      </c>
      <c r="B809" s="2">
        <v>43151</v>
      </c>
      <c r="C809">
        <v>2018</v>
      </c>
      <c r="D809" s="23">
        <f t="shared" si="21"/>
        <v>51</v>
      </c>
      <c r="E809" t="s">
        <v>6</v>
      </c>
      <c r="F809">
        <f>(SingleBerryDW!F809/SingleBerryFW!F809)*100</f>
        <v>11.300000000000002</v>
      </c>
    </row>
    <row r="810" spans="1:6" hidden="1" x14ac:dyDescent="0.25">
      <c r="A810" t="s">
        <v>12</v>
      </c>
      <c r="B810" s="2">
        <v>43165</v>
      </c>
      <c r="C810">
        <v>2018</v>
      </c>
      <c r="D810" s="23">
        <f t="shared" si="21"/>
        <v>65</v>
      </c>
      <c r="E810" t="s">
        <v>6</v>
      </c>
      <c r="F810">
        <f>(SingleBerryDW!F810/SingleBerryFW!F810)*100</f>
        <v>13.699999999999998</v>
      </c>
    </row>
    <row r="811" spans="1:6" hidden="1" x14ac:dyDescent="0.25">
      <c r="A811" t="s">
        <v>12</v>
      </c>
      <c r="B811" s="2">
        <v>43179</v>
      </c>
      <c r="C811">
        <v>2018</v>
      </c>
      <c r="D811" s="23">
        <f t="shared" si="21"/>
        <v>79</v>
      </c>
      <c r="E811" t="s">
        <v>6</v>
      </c>
      <c r="F811">
        <f>(SingleBerryDW!F811/SingleBerryFW!F811)*100</f>
        <v>15.300000000000002</v>
      </c>
    </row>
    <row r="812" spans="1:6" hidden="1" x14ac:dyDescent="0.25">
      <c r="A812" t="s">
        <v>12</v>
      </c>
      <c r="B812" s="2">
        <v>43194</v>
      </c>
      <c r="C812">
        <v>2018</v>
      </c>
      <c r="D812" s="23">
        <f t="shared" si="21"/>
        <v>94</v>
      </c>
      <c r="E812" t="s">
        <v>6</v>
      </c>
      <c r="F812">
        <f>(SingleBerryDW!F812/SingleBerryFW!F812)*100</f>
        <v>15.9</v>
      </c>
    </row>
    <row r="813" spans="1:6" hidden="1" x14ac:dyDescent="0.25">
      <c r="A813" t="s">
        <v>12</v>
      </c>
      <c r="B813" s="2">
        <v>43201</v>
      </c>
      <c r="C813">
        <v>2018</v>
      </c>
      <c r="D813" s="23">
        <f t="shared" si="21"/>
        <v>101</v>
      </c>
      <c r="E813" t="s">
        <v>6</v>
      </c>
      <c r="F813">
        <f>(SingleBerryDW!F813/SingleBerryFW!F813)*100</f>
        <v>16.2</v>
      </c>
    </row>
    <row r="814" spans="1:6" hidden="1" x14ac:dyDescent="0.25">
      <c r="A814" t="s">
        <v>12</v>
      </c>
      <c r="B814" s="2">
        <v>43209</v>
      </c>
      <c r="C814">
        <v>2018</v>
      </c>
      <c r="D814" s="23">
        <f t="shared" si="21"/>
        <v>109</v>
      </c>
      <c r="E814" t="s">
        <v>6</v>
      </c>
      <c r="F814">
        <f>(SingleBerryDW!F814/SingleBerryFW!F814)*100</f>
        <v>16.3</v>
      </c>
    </row>
    <row r="815" spans="1:6" hidden="1" x14ac:dyDescent="0.25">
      <c r="A815" t="s">
        <v>12</v>
      </c>
      <c r="B815" s="2">
        <v>43215</v>
      </c>
      <c r="C815">
        <v>2018</v>
      </c>
      <c r="D815" s="23">
        <f t="shared" si="21"/>
        <v>115</v>
      </c>
      <c r="E815" t="s">
        <v>6</v>
      </c>
      <c r="F815">
        <f>(SingleBerryDW!F815/SingleBerryFW!F815)*100</f>
        <v>16.800000000000004</v>
      </c>
    </row>
    <row r="816" spans="1:6" s="7" customFormat="1" hidden="1" x14ac:dyDescent="0.25">
      <c r="A816" s="7" t="s">
        <v>12</v>
      </c>
      <c r="B816" s="6">
        <v>43221</v>
      </c>
      <c r="C816" s="7">
        <v>2018</v>
      </c>
      <c r="D816" s="23">
        <f t="shared" si="21"/>
        <v>121</v>
      </c>
      <c r="E816" s="7" t="s">
        <v>6</v>
      </c>
      <c r="F816" s="7">
        <f>(SingleBerryDW!F816/SingleBerryFW!F816)*100</f>
        <v>17</v>
      </c>
    </row>
    <row r="817" spans="1:6" hidden="1" x14ac:dyDescent="0.25">
      <c r="A817" t="s">
        <v>12</v>
      </c>
      <c r="B817" s="2">
        <v>43235</v>
      </c>
      <c r="C817">
        <v>2018</v>
      </c>
      <c r="D817" s="23">
        <f t="shared" si="21"/>
        <v>135</v>
      </c>
      <c r="E817" t="s">
        <v>6</v>
      </c>
      <c r="F817">
        <f>(SingleBerryDW!F817/SingleBerryFW!F817)*100</f>
        <v>17.3</v>
      </c>
    </row>
    <row r="818" spans="1:6" hidden="1" x14ac:dyDescent="0.25">
      <c r="A818" t="s">
        <v>12</v>
      </c>
      <c r="B818" s="2">
        <v>43249</v>
      </c>
      <c r="C818">
        <v>2018</v>
      </c>
      <c r="D818" s="23">
        <f t="shared" si="21"/>
        <v>149</v>
      </c>
      <c r="E818" t="s">
        <v>6</v>
      </c>
      <c r="F818">
        <f>(SingleBerryDW!F818/SingleBerryFW!F818)*100</f>
        <v>17.599999999999998</v>
      </c>
    </row>
    <row r="819" spans="1:6" hidden="1" x14ac:dyDescent="0.25">
      <c r="A819" t="s">
        <v>12</v>
      </c>
      <c r="B819" s="2">
        <v>43115</v>
      </c>
      <c r="C819">
        <v>2018</v>
      </c>
      <c r="D819" s="23">
        <f t="shared" si="21"/>
        <v>15</v>
      </c>
      <c r="E819" t="s">
        <v>6</v>
      </c>
      <c r="F819">
        <f>(SingleBerryDW!F819/SingleBerryFW!F819)*100</f>
        <v>7.1999999999999993</v>
      </c>
    </row>
    <row r="820" spans="1:6" hidden="1" x14ac:dyDescent="0.25">
      <c r="A820" t="s">
        <v>12</v>
      </c>
      <c r="B820" s="2">
        <v>43115</v>
      </c>
      <c r="C820">
        <v>2018</v>
      </c>
      <c r="D820" s="23">
        <f t="shared" si="21"/>
        <v>15</v>
      </c>
      <c r="E820" t="s">
        <v>6</v>
      </c>
      <c r="F820">
        <f>(SingleBerryDW!F820/SingleBerryFW!F820)*100</f>
        <v>7.8</v>
      </c>
    </row>
    <row r="821" spans="1:6" hidden="1" x14ac:dyDescent="0.25">
      <c r="A821" t="s">
        <v>12</v>
      </c>
      <c r="B821" s="2">
        <v>43116</v>
      </c>
      <c r="C821">
        <v>2018</v>
      </c>
      <c r="D821" s="23">
        <f t="shared" si="21"/>
        <v>16</v>
      </c>
      <c r="E821" t="s">
        <v>6</v>
      </c>
      <c r="F821">
        <f>(SingleBerryDW!F821/SingleBerryFW!F821)*100</f>
        <v>7.4000000000000012</v>
      </c>
    </row>
    <row r="822" spans="1:6" hidden="1" x14ac:dyDescent="0.25">
      <c r="A822" t="s">
        <v>12</v>
      </c>
      <c r="B822" s="2">
        <v>43116</v>
      </c>
      <c r="C822">
        <v>2018</v>
      </c>
      <c r="D822" s="23">
        <f t="shared" si="21"/>
        <v>16</v>
      </c>
      <c r="E822" t="s">
        <v>6</v>
      </c>
      <c r="F822">
        <f>(SingleBerryDW!F822/SingleBerryFW!F822)*100</f>
        <v>7.4000000000000012</v>
      </c>
    </row>
    <row r="823" spans="1:6" hidden="1" x14ac:dyDescent="0.25">
      <c r="A823" t="s">
        <v>12</v>
      </c>
      <c r="B823" s="2">
        <v>43150</v>
      </c>
      <c r="C823">
        <v>2018</v>
      </c>
      <c r="D823" s="23">
        <f t="shared" si="21"/>
        <v>50</v>
      </c>
      <c r="E823" t="s">
        <v>6</v>
      </c>
      <c r="F823">
        <f>(SingleBerryDW!F823/SingleBerryFW!F823)*100</f>
        <v>12.2</v>
      </c>
    </row>
    <row r="824" spans="1:6" hidden="1" x14ac:dyDescent="0.25">
      <c r="A824" t="s">
        <v>12</v>
      </c>
      <c r="B824" s="2">
        <v>43150</v>
      </c>
      <c r="C824">
        <v>2018</v>
      </c>
      <c r="D824" s="23">
        <f t="shared" si="21"/>
        <v>50</v>
      </c>
      <c r="E824" t="s">
        <v>6</v>
      </c>
      <c r="F824">
        <f>(SingleBerryDW!F824/SingleBerryFW!F824)*100</f>
        <v>11.8</v>
      </c>
    </row>
    <row r="825" spans="1:6" hidden="1" x14ac:dyDescent="0.25">
      <c r="A825" t="s">
        <v>12</v>
      </c>
      <c r="B825" s="2">
        <v>43151</v>
      </c>
      <c r="C825">
        <v>2018</v>
      </c>
      <c r="D825" s="23">
        <f t="shared" si="21"/>
        <v>51</v>
      </c>
      <c r="E825" t="s">
        <v>6</v>
      </c>
      <c r="F825">
        <f>(SingleBerryDW!F825/SingleBerryFW!F825)*100</f>
        <v>11.6</v>
      </c>
    </row>
    <row r="826" spans="1:6" hidden="1" x14ac:dyDescent="0.25">
      <c r="A826" t="s">
        <v>12</v>
      </c>
      <c r="B826" s="2">
        <v>43151</v>
      </c>
      <c r="C826">
        <v>2018</v>
      </c>
      <c r="D826" s="23">
        <f t="shared" si="21"/>
        <v>51</v>
      </c>
      <c r="E826" t="s">
        <v>6</v>
      </c>
      <c r="F826">
        <f>(SingleBerryDW!F826/SingleBerryFW!F826)*100</f>
        <v>12.000000000000002</v>
      </c>
    </row>
    <row r="827" spans="1:6" hidden="1" x14ac:dyDescent="0.25">
      <c r="A827" t="s">
        <v>12</v>
      </c>
      <c r="B827" s="2">
        <v>43164</v>
      </c>
      <c r="C827">
        <v>2018</v>
      </c>
      <c r="D827" s="23">
        <f t="shared" si="21"/>
        <v>64</v>
      </c>
      <c r="E827" t="s">
        <v>6</v>
      </c>
      <c r="F827">
        <f>(SingleBerryDW!F827/SingleBerryFW!F827)*100</f>
        <v>14.200000000000001</v>
      </c>
    </row>
    <row r="828" spans="1:6" hidden="1" x14ac:dyDescent="0.25">
      <c r="A828" t="s">
        <v>12</v>
      </c>
      <c r="B828" s="2">
        <v>43164</v>
      </c>
      <c r="C828">
        <v>2018</v>
      </c>
      <c r="D828" s="23">
        <f t="shared" si="21"/>
        <v>64</v>
      </c>
      <c r="E828" t="s">
        <v>6</v>
      </c>
      <c r="F828">
        <f>(SingleBerryDW!F828/SingleBerryFW!F828)*100</f>
        <v>14.200000000000001</v>
      </c>
    </row>
    <row r="829" spans="1:6" hidden="1" x14ac:dyDescent="0.25">
      <c r="A829" t="s">
        <v>12</v>
      </c>
      <c r="B829" s="2">
        <v>43165</v>
      </c>
      <c r="C829">
        <v>2018</v>
      </c>
      <c r="D829" s="23">
        <f t="shared" si="21"/>
        <v>65</v>
      </c>
      <c r="E829" t="s">
        <v>6</v>
      </c>
      <c r="F829">
        <f>(SingleBerryDW!F829/SingleBerryFW!F829)*100</f>
        <v>12.800000000000002</v>
      </c>
    </row>
    <row r="830" spans="1:6" hidden="1" x14ac:dyDescent="0.25">
      <c r="A830" t="s">
        <v>12</v>
      </c>
      <c r="B830" s="2">
        <v>43165</v>
      </c>
      <c r="C830">
        <v>2018</v>
      </c>
      <c r="D830" s="23">
        <f t="shared" si="21"/>
        <v>65</v>
      </c>
      <c r="E830" t="s">
        <v>6</v>
      </c>
      <c r="F830">
        <f>(SingleBerryDW!F830/SingleBerryFW!F830)*100</f>
        <v>14.100000000000001</v>
      </c>
    </row>
    <row r="831" spans="1:6" hidden="1" x14ac:dyDescent="0.25">
      <c r="A831" t="s">
        <v>12</v>
      </c>
      <c r="B831" s="2">
        <v>43178</v>
      </c>
      <c r="C831">
        <v>2018</v>
      </c>
      <c r="D831" s="23">
        <f t="shared" si="21"/>
        <v>78</v>
      </c>
      <c r="E831" t="s">
        <v>6</v>
      </c>
      <c r="F831">
        <f>(SingleBerryDW!F831/SingleBerryFW!F831)*100</f>
        <v>15.1</v>
      </c>
    </row>
    <row r="832" spans="1:6" hidden="1" x14ac:dyDescent="0.25">
      <c r="A832" t="s">
        <v>12</v>
      </c>
      <c r="B832" s="2">
        <v>43178</v>
      </c>
      <c r="C832">
        <v>2018</v>
      </c>
      <c r="D832" s="23">
        <f t="shared" si="21"/>
        <v>78</v>
      </c>
      <c r="E832" t="s">
        <v>6</v>
      </c>
      <c r="F832">
        <f>(SingleBerryDW!F832/SingleBerryFW!F832)*100</f>
        <v>15.7</v>
      </c>
    </row>
    <row r="833" spans="1:6" hidden="1" x14ac:dyDescent="0.25">
      <c r="A833" t="s">
        <v>12</v>
      </c>
      <c r="B833" s="2">
        <v>43179</v>
      </c>
      <c r="C833">
        <v>2018</v>
      </c>
      <c r="D833" s="23">
        <f t="shared" si="21"/>
        <v>79</v>
      </c>
      <c r="E833" t="s">
        <v>6</v>
      </c>
      <c r="F833">
        <f>(SingleBerryDW!F833/SingleBerryFW!F833)*100</f>
        <v>14.099999999999998</v>
      </c>
    </row>
    <row r="834" spans="1:6" hidden="1" x14ac:dyDescent="0.25">
      <c r="A834" t="s">
        <v>12</v>
      </c>
      <c r="B834" s="2">
        <v>43179</v>
      </c>
      <c r="C834">
        <v>2018</v>
      </c>
      <c r="D834" s="23">
        <f t="shared" si="21"/>
        <v>79</v>
      </c>
      <c r="E834" t="s">
        <v>6</v>
      </c>
      <c r="F834">
        <f>(SingleBerryDW!F834/SingleBerryFW!F834)*100</f>
        <v>15.299999999999999</v>
      </c>
    </row>
    <row r="835" spans="1:6" hidden="1" x14ac:dyDescent="0.25">
      <c r="A835" t="s">
        <v>12</v>
      </c>
      <c r="B835" s="2">
        <v>43194</v>
      </c>
      <c r="C835">
        <v>2018</v>
      </c>
      <c r="D835" s="23">
        <f t="shared" si="21"/>
        <v>94</v>
      </c>
      <c r="E835" t="s">
        <v>6</v>
      </c>
      <c r="F835">
        <f>(SingleBerryDW!F835/SingleBerryFW!F835)*100</f>
        <v>15.600000000000003</v>
      </c>
    </row>
    <row r="836" spans="1:6" hidden="1" x14ac:dyDescent="0.25">
      <c r="A836" t="s">
        <v>12</v>
      </c>
      <c r="B836" s="2">
        <v>43194</v>
      </c>
      <c r="C836">
        <v>2018</v>
      </c>
      <c r="D836" s="23">
        <f t="shared" ref="D836:D899" si="22">B836-DATE(YEAR(B836),1,0)</f>
        <v>94</v>
      </c>
      <c r="E836" t="s">
        <v>6</v>
      </c>
      <c r="F836">
        <f>(SingleBerryDW!F836/SingleBerryFW!F836)*100</f>
        <v>16.600000000000005</v>
      </c>
    </row>
    <row r="837" spans="1:6" hidden="1" x14ac:dyDescent="0.25">
      <c r="A837" t="s">
        <v>12</v>
      </c>
      <c r="B837" s="2">
        <v>43195</v>
      </c>
      <c r="C837">
        <v>2018</v>
      </c>
      <c r="D837" s="23">
        <f t="shared" si="22"/>
        <v>95</v>
      </c>
      <c r="E837" t="s">
        <v>6</v>
      </c>
      <c r="F837">
        <f>(SingleBerryDW!F837/SingleBerryFW!F837)*100</f>
        <v>14.6</v>
      </c>
    </row>
    <row r="838" spans="1:6" hidden="1" x14ac:dyDescent="0.25">
      <c r="A838" t="s">
        <v>12</v>
      </c>
      <c r="B838" s="2">
        <v>43195</v>
      </c>
      <c r="C838">
        <v>2018</v>
      </c>
      <c r="D838" s="23">
        <f t="shared" si="22"/>
        <v>95</v>
      </c>
      <c r="E838" t="s">
        <v>6</v>
      </c>
      <c r="F838">
        <f>(SingleBerryDW!F838/SingleBerryFW!F838)*100</f>
        <v>15.8</v>
      </c>
    </row>
    <row r="839" spans="1:6" hidden="1" x14ac:dyDescent="0.25">
      <c r="A839" t="s">
        <v>12</v>
      </c>
      <c r="B839" s="2">
        <v>43200</v>
      </c>
      <c r="C839">
        <v>2018</v>
      </c>
      <c r="D839" s="23">
        <f t="shared" si="22"/>
        <v>100</v>
      </c>
      <c r="E839" t="s">
        <v>6</v>
      </c>
      <c r="F839">
        <f>(SingleBerryDW!F839/SingleBerryFW!F839)*100</f>
        <v>16.100000000000001</v>
      </c>
    </row>
    <row r="840" spans="1:6" hidden="1" x14ac:dyDescent="0.25">
      <c r="A840" t="s">
        <v>12</v>
      </c>
      <c r="B840" s="2">
        <v>43200</v>
      </c>
      <c r="C840">
        <v>2018</v>
      </c>
      <c r="D840" s="23">
        <f t="shared" si="22"/>
        <v>100</v>
      </c>
      <c r="E840" t="s">
        <v>6</v>
      </c>
      <c r="F840">
        <f>(SingleBerryDW!F840/SingleBerryFW!F840)*100</f>
        <v>16.399999999999999</v>
      </c>
    </row>
    <row r="841" spans="1:6" hidden="1" x14ac:dyDescent="0.25">
      <c r="A841" t="s">
        <v>12</v>
      </c>
      <c r="B841" s="2">
        <v>43201</v>
      </c>
      <c r="C841">
        <v>2018</v>
      </c>
      <c r="D841" s="23">
        <f t="shared" si="22"/>
        <v>101</v>
      </c>
      <c r="E841" t="s">
        <v>6</v>
      </c>
      <c r="F841">
        <f>(SingleBerryDW!F841/SingleBerryFW!F841)*100</f>
        <v>14.6</v>
      </c>
    </row>
    <row r="842" spans="1:6" hidden="1" x14ac:dyDescent="0.25">
      <c r="A842" t="s">
        <v>12</v>
      </c>
      <c r="B842" s="2">
        <v>43201</v>
      </c>
      <c r="C842">
        <v>2018</v>
      </c>
      <c r="D842" s="23">
        <f t="shared" si="22"/>
        <v>101</v>
      </c>
      <c r="E842" t="s">
        <v>6</v>
      </c>
      <c r="F842">
        <f>(SingleBerryDW!F842/SingleBerryFW!F842)*100</f>
        <v>16.300000000000004</v>
      </c>
    </row>
    <row r="843" spans="1:6" hidden="1" x14ac:dyDescent="0.25">
      <c r="A843" t="s">
        <v>12</v>
      </c>
      <c r="B843" s="2">
        <v>43206</v>
      </c>
      <c r="C843">
        <v>2018</v>
      </c>
      <c r="D843" s="23">
        <f t="shared" si="22"/>
        <v>106</v>
      </c>
      <c r="E843" t="s">
        <v>6</v>
      </c>
      <c r="F843">
        <f>(SingleBerryDW!F843/SingleBerryFW!F843)*100</f>
        <v>16</v>
      </c>
    </row>
    <row r="844" spans="1:6" hidden="1" x14ac:dyDescent="0.25">
      <c r="A844" t="s">
        <v>12</v>
      </c>
      <c r="B844" s="2">
        <v>43206</v>
      </c>
      <c r="C844">
        <v>2018</v>
      </c>
      <c r="D844" s="23">
        <f t="shared" si="22"/>
        <v>106</v>
      </c>
      <c r="E844" t="s">
        <v>6</v>
      </c>
      <c r="F844">
        <f>(SingleBerryDW!F844/SingleBerryFW!F844)*100</f>
        <v>17</v>
      </c>
    </row>
    <row r="845" spans="1:6" hidden="1" x14ac:dyDescent="0.25">
      <c r="A845" t="s">
        <v>12</v>
      </c>
      <c r="B845" s="2">
        <v>43209</v>
      </c>
      <c r="C845">
        <v>2018</v>
      </c>
      <c r="D845" s="23">
        <f t="shared" si="22"/>
        <v>109</v>
      </c>
      <c r="E845" t="s">
        <v>6</v>
      </c>
      <c r="F845">
        <f>(SingleBerryDW!F845/SingleBerryFW!F845)*100</f>
        <v>15.299999999999999</v>
      </c>
    </row>
    <row r="846" spans="1:6" hidden="1" x14ac:dyDescent="0.25">
      <c r="A846" t="s">
        <v>12</v>
      </c>
      <c r="B846" s="2">
        <v>43209</v>
      </c>
      <c r="C846">
        <v>2018</v>
      </c>
      <c r="D846" s="23">
        <f t="shared" si="22"/>
        <v>109</v>
      </c>
      <c r="E846" t="s">
        <v>6</v>
      </c>
      <c r="F846">
        <f>(SingleBerryDW!F846/SingleBerryFW!F846)*100</f>
        <v>16.600000000000001</v>
      </c>
    </row>
    <row r="847" spans="1:6" hidden="1" x14ac:dyDescent="0.25">
      <c r="A847" t="s">
        <v>12</v>
      </c>
      <c r="B847" s="2">
        <v>43215</v>
      </c>
      <c r="C847">
        <v>2018</v>
      </c>
      <c r="D847" s="23">
        <f t="shared" si="22"/>
        <v>115</v>
      </c>
      <c r="E847" t="s">
        <v>6</v>
      </c>
      <c r="F847">
        <f>(SingleBerryDW!F847/SingleBerryFW!F847)*100</f>
        <v>15.6</v>
      </c>
    </row>
    <row r="848" spans="1:6" hidden="1" x14ac:dyDescent="0.25">
      <c r="A848" t="s">
        <v>12</v>
      </c>
      <c r="B848" s="2">
        <v>43215</v>
      </c>
      <c r="C848">
        <v>2018</v>
      </c>
      <c r="D848" s="23">
        <f t="shared" si="22"/>
        <v>115</v>
      </c>
      <c r="E848" t="s">
        <v>6</v>
      </c>
      <c r="F848">
        <f>(SingleBerryDW!F848/SingleBerryFW!F848)*100</f>
        <v>16.600000000000005</v>
      </c>
    </row>
    <row r="849" spans="1:8" hidden="1" x14ac:dyDescent="0.25">
      <c r="A849" t="s">
        <v>12</v>
      </c>
      <c r="B849" s="2">
        <v>43215</v>
      </c>
      <c r="C849">
        <v>2018</v>
      </c>
      <c r="D849" s="23">
        <f t="shared" si="22"/>
        <v>115</v>
      </c>
      <c r="E849" t="s">
        <v>6</v>
      </c>
      <c r="F849">
        <f>(SingleBerryDW!F849/SingleBerryFW!F849)*100</f>
        <v>17.100000000000001</v>
      </c>
    </row>
    <row r="850" spans="1:8" hidden="1" x14ac:dyDescent="0.25">
      <c r="A850" t="s">
        <v>12</v>
      </c>
      <c r="B850" s="2">
        <v>43215</v>
      </c>
      <c r="C850">
        <v>2018</v>
      </c>
      <c r="D850" s="23">
        <f t="shared" si="22"/>
        <v>115</v>
      </c>
      <c r="E850" t="s">
        <v>6</v>
      </c>
      <c r="F850">
        <f>(SingleBerryDW!F850/SingleBerryFW!F850)*100</f>
        <v>17.100000000000005</v>
      </c>
    </row>
    <row r="851" spans="1:8" s="7" customFormat="1" hidden="1" x14ac:dyDescent="0.25">
      <c r="A851" s="7" t="s">
        <v>12</v>
      </c>
      <c r="B851" s="6">
        <v>43221</v>
      </c>
      <c r="C851" s="7">
        <v>2018</v>
      </c>
      <c r="D851" s="23">
        <f t="shared" si="22"/>
        <v>121</v>
      </c>
      <c r="E851" s="7" t="s">
        <v>6</v>
      </c>
      <c r="F851" s="7">
        <f>(SingleBerryDW!F851/SingleBerryFW!F851)*100</f>
        <v>15.7</v>
      </c>
    </row>
    <row r="852" spans="1:8" s="7" customFormat="1" hidden="1" x14ac:dyDescent="0.25">
      <c r="A852" s="7" t="s">
        <v>12</v>
      </c>
      <c r="B852" s="6">
        <v>43221</v>
      </c>
      <c r="C852" s="7">
        <v>2018</v>
      </c>
      <c r="D852" s="23">
        <f t="shared" si="22"/>
        <v>121</v>
      </c>
      <c r="E852" s="7" t="s">
        <v>6</v>
      </c>
      <c r="F852" s="7">
        <f>(SingleBerryDW!F852/SingleBerryFW!F852)*100</f>
        <v>16.600000000000001</v>
      </c>
      <c r="G852" s="7">
        <f>Calculations!F4</f>
        <v>16.765244003579827</v>
      </c>
      <c r="H852" s="7" t="s">
        <v>27</v>
      </c>
    </row>
    <row r="853" spans="1:8" s="7" customFormat="1" hidden="1" x14ac:dyDescent="0.25">
      <c r="A853" s="7" t="s">
        <v>12</v>
      </c>
      <c r="B853" s="6">
        <v>43221</v>
      </c>
      <c r="C853" s="7">
        <v>2018</v>
      </c>
      <c r="D853" s="23">
        <f t="shared" si="22"/>
        <v>121</v>
      </c>
      <c r="E853" s="7" t="s">
        <v>6</v>
      </c>
      <c r="F853" s="7">
        <f>(SingleBerryDW!F853/SingleBerryFW!F853)*100</f>
        <v>17</v>
      </c>
    </row>
    <row r="854" spans="1:8" s="7" customFormat="1" hidden="1" x14ac:dyDescent="0.25">
      <c r="A854" s="7" t="s">
        <v>12</v>
      </c>
      <c r="B854" s="6">
        <v>43221</v>
      </c>
      <c r="C854" s="7">
        <v>2018</v>
      </c>
      <c r="D854" s="23">
        <f t="shared" si="22"/>
        <v>121</v>
      </c>
      <c r="E854" s="7" t="s">
        <v>6</v>
      </c>
      <c r="F854" s="7">
        <f>(SingleBerryDW!F854/SingleBerryFW!F854)*100</f>
        <v>17.2</v>
      </c>
    </row>
    <row r="855" spans="1:8" hidden="1" x14ac:dyDescent="0.25">
      <c r="A855" t="s">
        <v>12</v>
      </c>
      <c r="B855" s="2">
        <v>43234</v>
      </c>
      <c r="C855">
        <v>2018</v>
      </c>
      <c r="D855" s="23">
        <f t="shared" si="22"/>
        <v>134</v>
      </c>
      <c r="E855" t="s">
        <v>6</v>
      </c>
      <c r="F855">
        <f>(SingleBerryDW!F855/SingleBerryFW!F855)*100</f>
        <v>16.600000000000001</v>
      </c>
    </row>
    <row r="856" spans="1:8" hidden="1" x14ac:dyDescent="0.25">
      <c r="A856" t="s">
        <v>12</v>
      </c>
      <c r="B856" s="2">
        <v>43234</v>
      </c>
      <c r="C856">
        <v>2018</v>
      </c>
      <c r="D856" s="23">
        <f t="shared" si="22"/>
        <v>134</v>
      </c>
      <c r="E856" t="s">
        <v>6</v>
      </c>
      <c r="F856">
        <f>(SingleBerryDW!F856/SingleBerryFW!F856)*100</f>
        <v>17.899999999999999</v>
      </c>
    </row>
    <row r="857" spans="1:8" hidden="1" x14ac:dyDescent="0.25">
      <c r="A857" t="s">
        <v>12</v>
      </c>
      <c r="B857" s="2">
        <v>43235</v>
      </c>
      <c r="C857">
        <v>2018</v>
      </c>
      <c r="D857" s="23">
        <f t="shared" si="22"/>
        <v>135</v>
      </c>
      <c r="E857" t="s">
        <v>6</v>
      </c>
      <c r="F857">
        <f>(SingleBerryDW!F857/SingleBerryFW!F857)*100</f>
        <v>16</v>
      </c>
    </row>
    <row r="858" spans="1:8" hidden="1" x14ac:dyDescent="0.25">
      <c r="A858" t="s">
        <v>12</v>
      </c>
      <c r="B858" s="2">
        <v>43235</v>
      </c>
      <c r="C858">
        <v>2018</v>
      </c>
      <c r="D858" s="23">
        <f t="shared" si="22"/>
        <v>135</v>
      </c>
      <c r="E858" t="s">
        <v>6</v>
      </c>
      <c r="F858">
        <f>(SingleBerryDW!F858/SingleBerryFW!F858)*100</f>
        <v>17.7</v>
      </c>
    </row>
    <row r="859" spans="1:8" hidden="1" x14ac:dyDescent="0.25">
      <c r="A859" t="s">
        <v>12</v>
      </c>
      <c r="B859" s="2">
        <v>43248</v>
      </c>
      <c r="C859">
        <v>2018</v>
      </c>
      <c r="D859" s="23">
        <f t="shared" si="22"/>
        <v>148</v>
      </c>
      <c r="E859" t="s">
        <v>6</v>
      </c>
      <c r="F859">
        <f>(SingleBerryDW!F859/SingleBerryFW!F859)*100</f>
        <v>17.2</v>
      </c>
    </row>
    <row r="860" spans="1:8" hidden="1" x14ac:dyDescent="0.25">
      <c r="A860" t="s">
        <v>12</v>
      </c>
      <c r="B860" s="2">
        <v>43248</v>
      </c>
      <c r="C860">
        <v>2018</v>
      </c>
      <c r="D860" s="23">
        <f t="shared" si="22"/>
        <v>148</v>
      </c>
      <c r="E860" t="s">
        <v>6</v>
      </c>
      <c r="F860">
        <f>(SingleBerryDW!F860/SingleBerryFW!F860)*100</f>
        <v>18.399999999999999</v>
      </c>
    </row>
    <row r="861" spans="1:8" hidden="1" x14ac:dyDescent="0.25">
      <c r="A861" t="s">
        <v>12</v>
      </c>
      <c r="B861" s="2">
        <v>43249</v>
      </c>
      <c r="C861">
        <v>2018</v>
      </c>
      <c r="D861" s="23">
        <f t="shared" si="22"/>
        <v>149</v>
      </c>
      <c r="E861" t="s">
        <v>6</v>
      </c>
      <c r="F861">
        <f>(SingleBerryDW!F861/SingleBerryFW!F861)*100</f>
        <v>16.600000000000001</v>
      </c>
    </row>
    <row r="862" spans="1:8" hidden="1" x14ac:dyDescent="0.25">
      <c r="A862" t="s">
        <v>12</v>
      </c>
      <c r="B862" s="2">
        <v>43249</v>
      </c>
      <c r="C862">
        <v>2018</v>
      </c>
      <c r="D862" s="23">
        <f t="shared" si="22"/>
        <v>149</v>
      </c>
      <c r="E862" t="s">
        <v>6</v>
      </c>
      <c r="F862">
        <f>(SingleBerryDW!F862/SingleBerryFW!F862)*100</f>
        <v>17.8</v>
      </c>
    </row>
    <row r="863" spans="1:8" hidden="1" x14ac:dyDescent="0.25">
      <c r="A863" t="s">
        <v>13</v>
      </c>
      <c r="B863" s="2">
        <v>43479</v>
      </c>
      <c r="C863">
        <v>2019</v>
      </c>
      <c r="D863" s="23">
        <f t="shared" si="22"/>
        <v>14</v>
      </c>
      <c r="E863" t="s">
        <v>6</v>
      </c>
      <c r="F863">
        <f>(SingleBerryDW!F863/SingleBerryFW!F863)*100</f>
        <v>7.1</v>
      </c>
    </row>
    <row r="864" spans="1:8" hidden="1" x14ac:dyDescent="0.25">
      <c r="A864" t="s">
        <v>13</v>
      </c>
      <c r="B864" s="2">
        <v>43515</v>
      </c>
      <c r="C864">
        <v>2019</v>
      </c>
      <c r="D864" s="23">
        <f t="shared" si="22"/>
        <v>50</v>
      </c>
      <c r="E864" t="s">
        <v>6</v>
      </c>
      <c r="F864">
        <f>(SingleBerryDW!F864/SingleBerryFW!F864)*100</f>
        <v>12.6</v>
      </c>
    </row>
    <row r="865" spans="1:6" hidden="1" x14ac:dyDescent="0.25">
      <c r="A865" t="s">
        <v>13</v>
      </c>
      <c r="B865" s="2">
        <v>43529</v>
      </c>
      <c r="C865">
        <v>2019</v>
      </c>
      <c r="D865" s="23">
        <f t="shared" si="22"/>
        <v>64</v>
      </c>
      <c r="E865" t="s">
        <v>6</v>
      </c>
      <c r="F865">
        <f>(SingleBerryDW!F865/SingleBerryFW!F865)*100</f>
        <v>14.3</v>
      </c>
    </row>
    <row r="866" spans="1:6" hidden="1" x14ac:dyDescent="0.25">
      <c r="A866" t="s">
        <v>13</v>
      </c>
      <c r="B866" s="2">
        <v>43543</v>
      </c>
      <c r="C866">
        <v>2019</v>
      </c>
      <c r="D866" s="23">
        <f t="shared" si="22"/>
        <v>78</v>
      </c>
      <c r="E866" t="s">
        <v>6</v>
      </c>
      <c r="F866">
        <f>(SingleBerryDW!F866/SingleBerryFW!F866)*100</f>
        <v>15.6</v>
      </c>
    </row>
    <row r="867" spans="1:6" hidden="1" x14ac:dyDescent="0.25">
      <c r="A867" t="s">
        <v>13</v>
      </c>
      <c r="B867" s="2">
        <v>43557</v>
      </c>
      <c r="C867">
        <v>2019</v>
      </c>
      <c r="D867" s="23">
        <f t="shared" si="22"/>
        <v>92</v>
      </c>
      <c r="E867" t="s">
        <v>6</v>
      </c>
      <c r="F867">
        <f>(SingleBerryDW!F867/SingleBerryFW!F867)*100</f>
        <v>16</v>
      </c>
    </row>
    <row r="868" spans="1:6" hidden="1" x14ac:dyDescent="0.25">
      <c r="A868" t="s">
        <v>13</v>
      </c>
      <c r="B868" s="2">
        <v>43564</v>
      </c>
      <c r="C868">
        <v>2019</v>
      </c>
      <c r="D868" s="23">
        <f t="shared" si="22"/>
        <v>99</v>
      </c>
      <c r="E868" t="s">
        <v>6</v>
      </c>
      <c r="F868">
        <f>(SingleBerryDW!F868/SingleBerryFW!F868)*100</f>
        <v>16.5</v>
      </c>
    </row>
    <row r="869" spans="1:6" hidden="1" x14ac:dyDescent="0.25">
      <c r="A869" t="s">
        <v>13</v>
      </c>
      <c r="B869" s="2">
        <v>43570</v>
      </c>
      <c r="C869">
        <v>2019</v>
      </c>
      <c r="D869" s="23">
        <f t="shared" si="22"/>
        <v>105</v>
      </c>
      <c r="E869" t="s">
        <v>6</v>
      </c>
      <c r="F869">
        <f>(SingleBerryDW!F869/SingleBerryFW!F869)*100</f>
        <v>16.600000000000005</v>
      </c>
    </row>
    <row r="870" spans="1:6" hidden="1" x14ac:dyDescent="0.25">
      <c r="A870" t="s">
        <v>13</v>
      </c>
      <c r="B870" s="2">
        <v>43577</v>
      </c>
      <c r="C870">
        <v>2019</v>
      </c>
      <c r="D870" s="23">
        <f t="shared" si="22"/>
        <v>112</v>
      </c>
      <c r="E870" t="s">
        <v>6</v>
      </c>
      <c r="F870">
        <f>(SingleBerryDW!F870/SingleBerryFW!F870)*100</f>
        <v>16.7</v>
      </c>
    </row>
    <row r="871" spans="1:6" s="7" customFormat="1" hidden="1" x14ac:dyDescent="0.25">
      <c r="A871" s="7" t="s">
        <v>13</v>
      </c>
      <c r="B871" s="6">
        <v>43584</v>
      </c>
      <c r="C871" s="7">
        <v>2019</v>
      </c>
      <c r="D871" s="23">
        <f t="shared" si="22"/>
        <v>119</v>
      </c>
      <c r="E871" s="7" t="s">
        <v>6</v>
      </c>
      <c r="F871" s="7">
        <f>(SingleBerryDW!F871/SingleBerryFW!F871)*100</f>
        <v>17.100000000000001</v>
      </c>
    </row>
    <row r="872" spans="1:6" hidden="1" x14ac:dyDescent="0.25">
      <c r="A872" t="s">
        <v>13</v>
      </c>
      <c r="B872" s="2">
        <v>43613</v>
      </c>
      <c r="C872">
        <v>2019</v>
      </c>
      <c r="D872" s="23">
        <f t="shared" si="22"/>
        <v>148</v>
      </c>
      <c r="E872" t="s">
        <v>6</v>
      </c>
      <c r="F872">
        <f>(SingleBerryDW!F872/SingleBerryFW!F872)*100</f>
        <v>17.899999999999999</v>
      </c>
    </row>
    <row r="873" spans="1:6" hidden="1" x14ac:dyDescent="0.25">
      <c r="A873" t="s">
        <v>13</v>
      </c>
      <c r="B873" s="2">
        <v>43479</v>
      </c>
      <c r="C873">
        <v>2019</v>
      </c>
      <c r="D873" s="23">
        <f t="shared" si="22"/>
        <v>14</v>
      </c>
      <c r="E873" t="s">
        <v>6</v>
      </c>
      <c r="F873">
        <f>(SingleBerryDW!F873/SingleBerryFW!F873)*100</f>
        <v>7.3</v>
      </c>
    </row>
    <row r="874" spans="1:6" hidden="1" x14ac:dyDescent="0.25">
      <c r="A874" t="s">
        <v>13</v>
      </c>
      <c r="B874" s="2">
        <v>43515</v>
      </c>
      <c r="C874">
        <v>2019</v>
      </c>
      <c r="D874" s="23">
        <f t="shared" si="22"/>
        <v>50</v>
      </c>
      <c r="E874" t="s">
        <v>6</v>
      </c>
      <c r="F874">
        <f>(SingleBerryDW!F874/SingleBerryFW!F874)*100</f>
        <v>12.9</v>
      </c>
    </row>
    <row r="875" spans="1:6" hidden="1" x14ac:dyDescent="0.25">
      <c r="A875" t="s">
        <v>13</v>
      </c>
      <c r="B875" s="2">
        <v>43529</v>
      </c>
      <c r="C875">
        <v>2019</v>
      </c>
      <c r="D875" s="23">
        <f t="shared" si="22"/>
        <v>64</v>
      </c>
      <c r="E875" t="s">
        <v>6</v>
      </c>
      <c r="F875">
        <f>(SingleBerryDW!F875/SingleBerryFW!F875)*100</f>
        <v>14.6</v>
      </c>
    </row>
    <row r="876" spans="1:6" hidden="1" x14ac:dyDescent="0.25">
      <c r="A876" t="s">
        <v>13</v>
      </c>
      <c r="B876" s="2">
        <v>43543</v>
      </c>
      <c r="C876">
        <v>2019</v>
      </c>
      <c r="D876" s="23">
        <f t="shared" si="22"/>
        <v>78</v>
      </c>
      <c r="E876" t="s">
        <v>6</v>
      </c>
      <c r="F876">
        <f>(SingleBerryDW!F876/SingleBerryFW!F876)*100</f>
        <v>16.100000000000001</v>
      </c>
    </row>
    <row r="877" spans="1:6" hidden="1" x14ac:dyDescent="0.25">
      <c r="A877" t="s">
        <v>13</v>
      </c>
      <c r="B877" s="2">
        <v>43557</v>
      </c>
      <c r="C877">
        <v>2019</v>
      </c>
      <c r="D877" s="23">
        <f t="shared" si="22"/>
        <v>92</v>
      </c>
      <c r="E877" t="s">
        <v>6</v>
      </c>
      <c r="F877">
        <f>(SingleBerryDW!F877/SingleBerryFW!F877)*100</f>
        <v>16.5</v>
      </c>
    </row>
    <row r="878" spans="1:6" hidden="1" x14ac:dyDescent="0.25">
      <c r="A878" t="s">
        <v>13</v>
      </c>
      <c r="B878" s="2">
        <v>43564</v>
      </c>
      <c r="C878">
        <v>2019</v>
      </c>
      <c r="D878" s="23">
        <f t="shared" si="22"/>
        <v>99</v>
      </c>
      <c r="E878" t="s">
        <v>6</v>
      </c>
      <c r="F878">
        <f>(SingleBerryDW!F878/SingleBerryFW!F878)*100</f>
        <v>16.899999999999999</v>
      </c>
    </row>
    <row r="879" spans="1:6" hidden="1" x14ac:dyDescent="0.25">
      <c r="A879" t="s">
        <v>13</v>
      </c>
      <c r="B879" s="2">
        <v>43570</v>
      </c>
      <c r="C879">
        <v>2019</v>
      </c>
      <c r="D879" s="23">
        <f t="shared" si="22"/>
        <v>105</v>
      </c>
      <c r="E879" t="s">
        <v>6</v>
      </c>
      <c r="F879">
        <f>(SingleBerryDW!F879/SingleBerryFW!F879)*100</f>
        <v>17</v>
      </c>
    </row>
    <row r="880" spans="1:6" hidden="1" x14ac:dyDescent="0.25">
      <c r="A880" t="s">
        <v>13</v>
      </c>
      <c r="B880" s="2">
        <v>43577</v>
      </c>
      <c r="C880">
        <v>2019</v>
      </c>
      <c r="D880" s="23">
        <f t="shared" si="22"/>
        <v>112</v>
      </c>
      <c r="E880" t="s">
        <v>6</v>
      </c>
      <c r="F880">
        <f>(SingleBerryDW!F880/SingleBerryFW!F880)*100</f>
        <v>17.299999999999997</v>
      </c>
    </row>
    <row r="881" spans="1:6" s="7" customFormat="1" hidden="1" x14ac:dyDescent="0.25">
      <c r="A881" s="7" t="s">
        <v>13</v>
      </c>
      <c r="B881" s="6">
        <v>43584</v>
      </c>
      <c r="C881" s="7">
        <v>2019</v>
      </c>
      <c r="D881" s="23">
        <f t="shared" si="22"/>
        <v>119</v>
      </c>
      <c r="E881" s="7" t="s">
        <v>6</v>
      </c>
      <c r="F881" s="7">
        <f>(SingleBerryDW!F881/SingleBerryFW!F881)*100</f>
        <v>17.5</v>
      </c>
    </row>
    <row r="882" spans="1:6" hidden="1" x14ac:dyDescent="0.25">
      <c r="A882" t="s">
        <v>13</v>
      </c>
      <c r="B882" s="2">
        <v>43613</v>
      </c>
      <c r="C882">
        <v>2019</v>
      </c>
      <c r="D882" s="23">
        <f t="shared" si="22"/>
        <v>148</v>
      </c>
      <c r="E882" t="s">
        <v>6</v>
      </c>
      <c r="F882">
        <f>(SingleBerryDW!F882/SingleBerryFW!F882)*100</f>
        <v>18.3</v>
      </c>
    </row>
    <row r="883" spans="1:6" hidden="1" x14ac:dyDescent="0.25">
      <c r="A883" t="s">
        <v>13</v>
      </c>
      <c r="B883" s="2">
        <v>43479</v>
      </c>
      <c r="C883">
        <v>2019</v>
      </c>
      <c r="D883" s="23">
        <f t="shared" si="22"/>
        <v>14</v>
      </c>
      <c r="E883" t="s">
        <v>6</v>
      </c>
      <c r="F883">
        <f>(SingleBerryDW!F883/SingleBerryFW!F883)*100</f>
        <v>8</v>
      </c>
    </row>
    <row r="884" spans="1:6" hidden="1" x14ac:dyDescent="0.25">
      <c r="A884" t="s">
        <v>13</v>
      </c>
      <c r="B884" s="2">
        <v>43479</v>
      </c>
      <c r="C884">
        <v>2019</v>
      </c>
      <c r="D884" s="23">
        <f t="shared" si="22"/>
        <v>14</v>
      </c>
      <c r="E884" t="s">
        <v>6</v>
      </c>
      <c r="F884">
        <f>(SingleBerryDW!F884/SingleBerryFW!F884)*100</f>
        <v>7.4000000000000012</v>
      </c>
    </row>
    <row r="885" spans="1:6" hidden="1" x14ac:dyDescent="0.25">
      <c r="A885" t="s">
        <v>13</v>
      </c>
      <c r="B885" s="2">
        <v>43479</v>
      </c>
      <c r="C885">
        <v>2019</v>
      </c>
      <c r="D885" s="23">
        <f t="shared" si="22"/>
        <v>14</v>
      </c>
      <c r="E885" t="s">
        <v>6</v>
      </c>
      <c r="F885">
        <f>(SingleBerryDW!F885/SingleBerryFW!F885)*100</f>
        <v>7.6</v>
      </c>
    </row>
    <row r="886" spans="1:6" hidden="1" x14ac:dyDescent="0.25">
      <c r="A886" t="s">
        <v>13</v>
      </c>
      <c r="B886" s="2">
        <v>43479</v>
      </c>
      <c r="C886">
        <v>2019</v>
      </c>
      <c r="D886" s="23">
        <f t="shared" si="22"/>
        <v>14</v>
      </c>
      <c r="E886" t="s">
        <v>6</v>
      </c>
      <c r="F886">
        <f>(SingleBerryDW!F886/SingleBerryFW!F886)*100</f>
        <v>7.7999999999999989</v>
      </c>
    </row>
    <row r="887" spans="1:6" hidden="1" x14ac:dyDescent="0.25">
      <c r="A887" t="s">
        <v>13</v>
      </c>
      <c r="B887" s="2">
        <v>43514</v>
      </c>
      <c r="C887">
        <v>2019</v>
      </c>
      <c r="D887" s="23">
        <f t="shared" si="22"/>
        <v>49</v>
      </c>
      <c r="E887" t="s">
        <v>6</v>
      </c>
      <c r="F887">
        <f>(SingleBerryDW!F887/SingleBerryFW!F887)*100</f>
        <v>13.3</v>
      </c>
    </row>
    <row r="888" spans="1:6" hidden="1" x14ac:dyDescent="0.25">
      <c r="A888" t="s">
        <v>13</v>
      </c>
      <c r="B888" s="2">
        <v>43514</v>
      </c>
      <c r="C888">
        <v>2019</v>
      </c>
      <c r="D888" s="23">
        <f t="shared" si="22"/>
        <v>49</v>
      </c>
      <c r="E888" t="s">
        <v>6</v>
      </c>
      <c r="F888">
        <f>(SingleBerryDW!F888/SingleBerryFW!F888)*100</f>
        <v>12.800000000000002</v>
      </c>
    </row>
    <row r="889" spans="1:6" hidden="1" x14ac:dyDescent="0.25">
      <c r="A889" t="s">
        <v>13</v>
      </c>
      <c r="B889" s="2">
        <v>43514</v>
      </c>
      <c r="C889">
        <v>2019</v>
      </c>
      <c r="D889" s="23">
        <f t="shared" si="22"/>
        <v>49</v>
      </c>
      <c r="E889" t="s">
        <v>6</v>
      </c>
      <c r="F889">
        <f>(SingleBerryDW!F889/SingleBerryFW!F889)*100</f>
        <v>12.899999999999997</v>
      </c>
    </row>
    <row r="890" spans="1:6" hidden="1" x14ac:dyDescent="0.25">
      <c r="A890" t="s">
        <v>13</v>
      </c>
      <c r="B890" s="2">
        <v>43514</v>
      </c>
      <c r="C890">
        <v>2019</v>
      </c>
      <c r="D890" s="23">
        <f t="shared" si="22"/>
        <v>49</v>
      </c>
      <c r="E890" t="s">
        <v>6</v>
      </c>
      <c r="F890">
        <f>(SingleBerryDW!F890/SingleBerryFW!F890)*100</f>
        <v>13.4</v>
      </c>
    </row>
    <row r="891" spans="1:6" hidden="1" x14ac:dyDescent="0.25">
      <c r="A891" t="s">
        <v>13</v>
      </c>
      <c r="B891" s="2">
        <v>43528</v>
      </c>
      <c r="C891">
        <v>2019</v>
      </c>
      <c r="D891" s="23">
        <f t="shared" si="22"/>
        <v>63</v>
      </c>
      <c r="E891" t="s">
        <v>6</v>
      </c>
      <c r="F891">
        <f>(SingleBerryDW!F891/SingleBerryFW!F891)*100</f>
        <v>14.499999999999998</v>
      </c>
    </row>
    <row r="892" spans="1:6" hidden="1" x14ac:dyDescent="0.25">
      <c r="A892" t="s">
        <v>13</v>
      </c>
      <c r="B892" s="2">
        <v>43528</v>
      </c>
      <c r="C892">
        <v>2019</v>
      </c>
      <c r="D892" s="23">
        <f t="shared" si="22"/>
        <v>63</v>
      </c>
      <c r="E892" t="s">
        <v>6</v>
      </c>
      <c r="F892">
        <f>(SingleBerryDW!F892/SingleBerryFW!F892)*100</f>
        <v>14.700000000000003</v>
      </c>
    </row>
    <row r="893" spans="1:6" hidden="1" x14ac:dyDescent="0.25">
      <c r="A893" t="s">
        <v>13</v>
      </c>
      <c r="B893" s="2">
        <v>43529</v>
      </c>
      <c r="C893">
        <v>2019</v>
      </c>
      <c r="D893" s="23">
        <f t="shared" si="22"/>
        <v>64</v>
      </c>
      <c r="E893" t="s">
        <v>6</v>
      </c>
      <c r="F893">
        <f>(SingleBerryDW!F893/SingleBerryFW!F893)*100</f>
        <v>15.200000000000003</v>
      </c>
    </row>
    <row r="894" spans="1:6" hidden="1" x14ac:dyDescent="0.25">
      <c r="A894" t="s">
        <v>13</v>
      </c>
      <c r="B894" s="2">
        <v>43542</v>
      </c>
      <c r="C894">
        <v>2019</v>
      </c>
      <c r="D894" s="23">
        <f t="shared" si="22"/>
        <v>77</v>
      </c>
      <c r="E894" t="s">
        <v>6</v>
      </c>
      <c r="F894">
        <f>(SingleBerryDW!F894/SingleBerryFW!F894)*100</f>
        <v>15.8</v>
      </c>
    </row>
    <row r="895" spans="1:6" hidden="1" x14ac:dyDescent="0.25">
      <c r="A895" t="s">
        <v>13</v>
      </c>
      <c r="B895" s="2">
        <v>43542</v>
      </c>
      <c r="C895">
        <v>2019</v>
      </c>
      <c r="D895" s="23">
        <f t="shared" si="22"/>
        <v>77</v>
      </c>
      <c r="E895" t="s">
        <v>6</v>
      </c>
      <c r="F895">
        <f>(SingleBerryDW!F895/SingleBerryFW!F895)*100</f>
        <v>15.4</v>
      </c>
    </row>
    <row r="896" spans="1:6" hidden="1" x14ac:dyDescent="0.25">
      <c r="A896" t="s">
        <v>13</v>
      </c>
      <c r="B896" s="2">
        <v>43543</v>
      </c>
      <c r="C896">
        <v>2019</v>
      </c>
      <c r="D896" s="23">
        <f t="shared" si="22"/>
        <v>78</v>
      </c>
      <c r="E896" t="s">
        <v>6</v>
      </c>
      <c r="F896">
        <f>(SingleBerryDW!F896/SingleBerryFW!F896)*100</f>
        <v>16</v>
      </c>
    </row>
    <row r="897" spans="1:8" hidden="1" x14ac:dyDescent="0.25">
      <c r="A897" t="s">
        <v>13</v>
      </c>
      <c r="B897" s="2">
        <v>43557</v>
      </c>
      <c r="C897">
        <v>2019</v>
      </c>
      <c r="D897" s="23">
        <f t="shared" si="22"/>
        <v>92</v>
      </c>
      <c r="E897" t="s">
        <v>6</v>
      </c>
      <c r="F897">
        <f>(SingleBerryDW!F897/SingleBerryFW!F897)*100</f>
        <v>16.100000000000001</v>
      </c>
    </row>
    <row r="898" spans="1:8" hidden="1" x14ac:dyDescent="0.25">
      <c r="A898" t="s">
        <v>13</v>
      </c>
      <c r="B898" s="2">
        <v>43557</v>
      </c>
      <c r="C898">
        <v>2019</v>
      </c>
      <c r="D898" s="23">
        <f t="shared" si="22"/>
        <v>92</v>
      </c>
      <c r="E898" t="s">
        <v>6</v>
      </c>
      <c r="F898">
        <f>(SingleBerryDW!F898/SingleBerryFW!F898)*100</f>
        <v>16.400000000000002</v>
      </c>
    </row>
    <row r="899" spans="1:8" hidden="1" x14ac:dyDescent="0.25">
      <c r="A899" t="s">
        <v>13</v>
      </c>
      <c r="B899" s="2">
        <v>43557</v>
      </c>
      <c r="C899">
        <v>2019</v>
      </c>
      <c r="D899" s="23">
        <f t="shared" si="22"/>
        <v>92</v>
      </c>
      <c r="E899" t="s">
        <v>6</v>
      </c>
      <c r="F899">
        <f>(SingleBerryDW!F899/SingleBerryFW!F899)*100</f>
        <v>16.600000000000001</v>
      </c>
    </row>
    <row r="900" spans="1:8" hidden="1" x14ac:dyDescent="0.25">
      <c r="A900" t="s">
        <v>13</v>
      </c>
      <c r="B900" s="2">
        <v>43557</v>
      </c>
      <c r="C900">
        <v>2019</v>
      </c>
      <c r="D900" s="23">
        <f t="shared" ref="D900:D963" si="23">B900-DATE(YEAR(B900),1,0)</f>
        <v>92</v>
      </c>
      <c r="E900" t="s">
        <v>6</v>
      </c>
      <c r="F900">
        <f>(SingleBerryDW!F900/SingleBerryFW!F900)*100</f>
        <v>15.7</v>
      </c>
    </row>
    <row r="901" spans="1:8" hidden="1" x14ac:dyDescent="0.25">
      <c r="A901" t="s">
        <v>13</v>
      </c>
      <c r="B901" s="2">
        <v>43564</v>
      </c>
      <c r="C901">
        <v>2019</v>
      </c>
      <c r="D901" s="23">
        <f t="shared" si="23"/>
        <v>99</v>
      </c>
      <c r="E901" t="s">
        <v>6</v>
      </c>
      <c r="F901">
        <f>(SingleBerryDW!F901/SingleBerryFW!F901)*100</f>
        <v>16.5</v>
      </c>
    </row>
    <row r="902" spans="1:8" hidden="1" x14ac:dyDescent="0.25">
      <c r="A902" t="s">
        <v>13</v>
      </c>
      <c r="B902" s="2">
        <v>43564</v>
      </c>
      <c r="C902">
        <v>2019</v>
      </c>
      <c r="D902" s="23">
        <f t="shared" si="23"/>
        <v>99</v>
      </c>
      <c r="E902" t="s">
        <v>6</v>
      </c>
      <c r="F902">
        <f>(SingleBerryDW!F902/SingleBerryFW!F902)*100</f>
        <v>16.3</v>
      </c>
    </row>
    <row r="903" spans="1:8" hidden="1" x14ac:dyDescent="0.25">
      <c r="A903" t="s">
        <v>13</v>
      </c>
      <c r="B903" s="2">
        <v>43564</v>
      </c>
      <c r="C903">
        <v>2019</v>
      </c>
      <c r="D903" s="23">
        <f t="shared" si="23"/>
        <v>99</v>
      </c>
      <c r="E903" t="s">
        <v>6</v>
      </c>
      <c r="F903">
        <f>(SingleBerryDW!F903/SingleBerryFW!F903)*100</f>
        <v>16.899999999999999</v>
      </c>
    </row>
    <row r="904" spans="1:8" hidden="1" x14ac:dyDescent="0.25">
      <c r="A904" t="s">
        <v>13</v>
      </c>
      <c r="B904" s="2">
        <v>43564</v>
      </c>
      <c r="C904">
        <v>2019</v>
      </c>
      <c r="D904" s="23">
        <f t="shared" si="23"/>
        <v>99</v>
      </c>
      <c r="E904" t="s">
        <v>6</v>
      </c>
      <c r="F904">
        <f>(SingleBerryDW!F904/SingleBerryFW!F904)*100</f>
        <v>16.3</v>
      </c>
    </row>
    <row r="905" spans="1:8" hidden="1" x14ac:dyDescent="0.25">
      <c r="A905" t="s">
        <v>13</v>
      </c>
      <c r="B905" s="2">
        <v>43570</v>
      </c>
      <c r="C905">
        <v>2019</v>
      </c>
      <c r="D905" s="23">
        <f t="shared" si="23"/>
        <v>105</v>
      </c>
      <c r="E905" t="s">
        <v>6</v>
      </c>
      <c r="F905">
        <f>(SingleBerryDW!F905/SingleBerryFW!F905)*100</f>
        <v>16.600000000000001</v>
      </c>
    </row>
    <row r="906" spans="1:8" hidden="1" x14ac:dyDescent="0.25">
      <c r="A906" t="s">
        <v>13</v>
      </c>
      <c r="B906" s="2">
        <v>43570</v>
      </c>
      <c r="C906">
        <v>2019</v>
      </c>
      <c r="D906" s="23">
        <f t="shared" si="23"/>
        <v>105</v>
      </c>
      <c r="E906" t="s">
        <v>6</v>
      </c>
      <c r="F906">
        <f>(SingleBerryDW!F906/SingleBerryFW!F906)*100</f>
        <v>16.7</v>
      </c>
    </row>
    <row r="907" spans="1:8" hidden="1" x14ac:dyDescent="0.25">
      <c r="A907" t="s">
        <v>13</v>
      </c>
      <c r="B907" s="2">
        <v>43570</v>
      </c>
      <c r="C907">
        <v>2019</v>
      </c>
      <c r="D907" s="23">
        <f t="shared" si="23"/>
        <v>105</v>
      </c>
      <c r="E907" t="s">
        <v>6</v>
      </c>
      <c r="F907">
        <f>(SingleBerryDW!F907/SingleBerryFW!F907)*100</f>
        <v>17.299999999999997</v>
      </c>
    </row>
    <row r="908" spans="1:8" hidden="1" x14ac:dyDescent="0.25">
      <c r="A908" t="s">
        <v>13</v>
      </c>
      <c r="B908" s="2">
        <v>43570</v>
      </c>
      <c r="C908">
        <v>2019</v>
      </c>
      <c r="D908" s="23">
        <f t="shared" si="23"/>
        <v>105</v>
      </c>
      <c r="E908" t="s">
        <v>6</v>
      </c>
      <c r="F908">
        <f>(SingleBerryDW!F908/SingleBerryFW!F908)*100</f>
        <v>16.399999999999999</v>
      </c>
    </row>
    <row r="909" spans="1:8" hidden="1" x14ac:dyDescent="0.25">
      <c r="A909" t="s">
        <v>13</v>
      </c>
      <c r="B909" s="2">
        <v>43577</v>
      </c>
      <c r="C909">
        <v>2019</v>
      </c>
      <c r="D909" s="23">
        <f t="shared" si="23"/>
        <v>112</v>
      </c>
      <c r="E909" t="s">
        <v>6</v>
      </c>
      <c r="F909">
        <f>(SingleBerryDW!F909/SingleBerryFW!F909)*100</f>
        <v>16.400000000000002</v>
      </c>
    </row>
    <row r="910" spans="1:8" hidden="1" x14ac:dyDescent="0.25">
      <c r="A910" t="s">
        <v>13</v>
      </c>
      <c r="B910" s="2">
        <v>43577</v>
      </c>
      <c r="C910">
        <v>2019</v>
      </c>
      <c r="D910" s="23">
        <f t="shared" si="23"/>
        <v>112</v>
      </c>
      <c r="E910" t="s">
        <v>6</v>
      </c>
      <c r="F910">
        <f>(SingleBerryDW!F910/SingleBerryFW!F910)*100</f>
        <v>16.8</v>
      </c>
      <c r="G910">
        <f>Calculations!F5</f>
        <v>17.305689026093358</v>
      </c>
      <c r="H910" t="s">
        <v>27</v>
      </c>
    </row>
    <row r="911" spans="1:8" hidden="1" x14ac:dyDescent="0.25">
      <c r="A911" t="s">
        <v>13</v>
      </c>
      <c r="B911" s="2">
        <v>43577</v>
      </c>
      <c r="C911">
        <v>2019</v>
      </c>
      <c r="D911" s="23">
        <f t="shared" si="23"/>
        <v>112</v>
      </c>
      <c r="E911" t="s">
        <v>6</v>
      </c>
      <c r="F911">
        <f>(SingleBerryDW!F911/SingleBerryFW!F911)*100</f>
        <v>17.399999999999999</v>
      </c>
    </row>
    <row r="912" spans="1:8" hidden="1" x14ac:dyDescent="0.25">
      <c r="A912" t="s">
        <v>13</v>
      </c>
      <c r="B912" s="2">
        <v>43577</v>
      </c>
      <c r="C912">
        <v>2019</v>
      </c>
      <c r="D912" s="23">
        <f t="shared" si="23"/>
        <v>112</v>
      </c>
      <c r="E912" t="s">
        <v>6</v>
      </c>
      <c r="F912">
        <f>(SingleBerryDW!F912/SingleBerryFW!F912)*100</f>
        <v>16.3</v>
      </c>
    </row>
    <row r="913" spans="1:6" s="7" customFormat="1" hidden="1" x14ac:dyDescent="0.25">
      <c r="A913" s="7" t="s">
        <v>13</v>
      </c>
      <c r="B913" s="6">
        <v>43584</v>
      </c>
      <c r="C913" s="7">
        <v>2019</v>
      </c>
      <c r="D913" s="23">
        <f t="shared" si="23"/>
        <v>119</v>
      </c>
      <c r="E913" s="7" t="s">
        <v>6</v>
      </c>
      <c r="F913" s="7">
        <f>(SingleBerryDW!F913/SingleBerryFW!F913)*100</f>
        <v>16.7</v>
      </c>
    </row>
    <row r="914" spans="1:6" s="7" customFormat="1" hidden="1" x14ac:dyDescent="0.25">
      <c r="A914" s="7" t="s">
        <v>13</v>
      </c>
      <c r="B914" s="6">
        <v>43584</v>
      </c>
      <c r="C914" s="7">
        <v>2019</v>
      </c>
      <c r="D914" s="23">
        <f t="shared" si="23"/>
        <v>119</v>
      </c>
      <c r="E914" s="7" t="s">
        <v>6</v>
      </c>
      <c r="F914" s="7">
        <f>(SingleBerryDW!F914/SingleBerryFW!F914)*100</f>
        <v>16.899999999999999</v>
      </c>
    </row>
    <row r="915" spans="1:6" s="7" customFormat="1" hidden="1" x14ac:dyDescent="0.25">
      <c r="A915" s="7" t="s">
        <v>13</v>
      </c>
      <c r="B915" s="6">
        <v>43584</v>
      </c>
      <c r="C915" s="7">
        <v>2019</v>
      </c>
      <c r="D915" s="23">
        <f t="shared" si="23"/>
        <v>119</v>
      </c>
      <c r="E915" s="7" t="s">
        <v>6</v>
      </c>
      <c r="F915" s="7">
        <f>(SingleBerryDW!F915/SingleBerryFW!F915)*100</f>
        <v>17.599999999999998</v>
      </c>
    </row>
    <row r="916" spans="1:6" s="7" customFormat="1" hidden="1" x14ac:dyDescent="0.25">
      <c r="A916" s="7" t="s">
        <v>13</v>
      </c>
      <c r="B916" s="6">
        <v>43584</v>
      </c>
      <c r="C916" s="7">
        <v>2019</v>
      </c>
      <c r="D916" s="23">
        <f t="shared" si="23"/>
        <v>119</v>
      </c>
      <c r="E916" s="7" t="s">
        <v>6</v>
      </c>
      <c r="F916" s="7">
        <f>(SingleBerryDW!F916/SingleBerryFW!F916)*100</f>
        <v>16.600000000000001</v>
      </c>
    </row>
    <row r="917" spans="1:6" hidden="1" x14ac:dyDescent="0.25">
      <c r="A917" t="s">
        <v>13</v>
      </c>
      <c r="B917" s="2">
        <v>43612</v>
      </c>
      <c r="C917">
        <v>2019</v>
      </c>
      <c r="D917" s="23">
        <f t="shared" si="23"/>
        <v>147</v>
      </c>
      <c r="E917" t="s">
        <v>6</v>
      </c>
      <c r="F917">
        <f>(SingleBerryDW!F917/SingleBerryFW!F917)*100</f>
        <v>18.3</v>
      </c>
    </row>
    <row r="918" spans="1:6" hidden="1" x14ac:dyDescent="0.25">
      <c r="A918" t="s">
        <v>13</v>
      </c>
      <c r="B918" s="2">
        <v>43612</v>
      </c>
      <c r="C918">
        <v>2019</v>
      </c>
      <c r="D918" s="23">
        <f t="shared" si="23"/>
        <v>147</v>
      </c>
      <c r="E918" t="s">
        <v>6</v>
      </c>
      <c r="F918">
        <f>(SingleBerryDW!F918/SingleBerryFW!F918)*100</f>
        <v>17.5</v>
      </c>
    </row>
    <row r="919" spans="1:6" hidden="1" x14ac:dyDescent="0.25">
      <c r="A919" t="s">
        <v>13</v>
      </c>
      <c r="B919" s="2">
        <v>43613</v>
      </c>
      <c r="C919">
        <v>2019</v>
      </c>
      <c r="D919" s="23">
        <f t="shared" si="23"/>
        <v>148</v>
      </c>
      <c r="E919" t="s">
        <v>6</v>
      </c>
      <c r="F919">
        <f>(SingleBerryDW!F919/SingleBerryFW!F919)*100</f>
        <v>17.599999999999998</v>
      </c>
    </row>
    <row r="920" spans="1:6" hidden="1" x14ac:dyDescent="0.25">
      <c r="A920" t="s">
        <v>13</v>
      </c>
      <c r="B920" s="2">
        <v>43613</v>
      </c>
      <c r="C920">
        <v>2019</v>
      </c>
      <c r="D920" s="23">
        <f t="shared" si="23"/>
        <v>148</v>
      </c>
      <c r="E920" t="s">
        <v>6</v>
      </c>
      <c r="F920">
        <f>(SingleBerryDW!F920/SingleBerryFW!F920)*100</f>
        <v>17.700000000000003</v>
      </c>
    </row>
    <row r="921" spans="1:6" hidden="1" x14ac:dyDescent="0.25">
      <c r="A921" t="s">
        <v>14</v>
      </c>
      <c r="B921" s="2">
        <v>43850</v>
      </c>
      <c r="C921">
        <v>2020</v>
      </c>
      <c r="D921" s="23">
        <f t="shared" si="23"/>
        <v>20</v>
      </c>
      <c r="E921" t="s">
        <v>6</v>
      </c>
      <c r="F921">
        <f>(SingleBerryDW!F921/SingleBerryFW!F921)*100</f>
        <v>8.1</v>
      </c>
    </row>
    <row r="922" spans="1:6" hidden="1" x14ac:dyDescent="0.25">
      <c r="A922" t="s">
        <v>14</v>
      </c>
      <c r="B922" s="2">
        <v>43880</v>
      </c>
      <c r="C922">
        <v>2020</v>
      </c>
      <c r="D922" s="23">
        <f t="shared" si="23"/>
        <v>50</v>
      </c>
      <c r="E922" t="s">
        <v>6</v>
      </c>
      <c r="F922">
        <f>(SingleBerryDW!F922/SingleBerryFW!F922)*100</f>
        <v>12.400000000000002</v>
      </c>
    </row>
    <row r="923" spans="1:6" hidden="1" x14ac:dyDescent="0.25">
      <c r="A923" t="s">
        <v>14</v>
      </c>
      <c r="B923" s="2">
        <v>43892</v>
      </c>
      <c r="C923">
        <v>2020</v>
      </c>
      <c r="D923" s="23">
        <f t="shared" si="23"/>
        <v>62</v>
      </c>
      <c r="E923" t="s">
        <v>6</v>
      </c>
      <c r="F923">
        <f>(SingleBerryDW!F923/SingleBerryFW!F923)*100</f>
        <v>13.999999999999998</v>
      </c>
    </row>
    <row r="924" spans="1:6" s="7" customFormat="1" hidden="1" x14ac:dyDescent="0.25">
      <c r="A924" s="7" t="s">
        <v>14</v>
      </c>
      <c r="B924" s="6">
        <v>43906</v>
      </c>
      <c r="C924" s="7">
        <v>2020</v>
      </c>
      <c r="D924" s="23">
        <f t="shared" si="23"/>
        <v>76</v>
      </c>
      <c r="E924" s="7" t="s">
        <v>6</v>
      </c>
      <c r="F924" s="7">
        <f>(SingleBerryDW!F924/SingleBerryFW!F924)*100</f>
        <v>15.5</v>
      </c>
    </row>
    <row r="925" spans="1:6" s="7" customFormat="1" hidden="1" x14ac:dyDescent="0.25">
      <c r="A925" s="7" t="s">
        <v>14</v>
      </c>
      <c r="B925" s="6">
        <v>43950</v>
      </c>
      <c r="C925" s="7">
        <v>2020</v>
      </c>
      <c r="D925" s="23">
        <f t="shared" si="23"/>
        <v>120</v>
      </c>
      <c r="E925" s="7" t="s">
        <v>6</v>
      </c>
      <c r="F925" s="7">
        <f>(SingleBerryDW!F925/SingleBerryFW!F925)*100</f>
        <v>17.5</v>
      </c>
    </row>
    <row r="926" spans="1:6" hidden="1" x14ac:dyDescent="0.25">
      <c r="A926" t="s">
        <v>14</v>
      </c>
      <c r="B926" s="2">
        <v>43963</v>
      </c>
      <c r="C926">
        <v>2020</v>
      </c>
      <c r="D926" s="23">
        <f t="shared" si="23"/>
        <v>133</v>
      </c>
      <c r="E926" t="s">
        <v>6</v>
      </c>
      <c r="F926">
        <f>(SingleBerryDW!F926/SingleBerryFW!F926)*100</f>
        <v>17.699999999999996</v>
      </c>
    </row>
    <row r="927" spans="1:6" hidden="1" x14ac:dyDescent="0.25">
      <c r="A927" t="s">
        <v>14</v>
      </c>
      <c r="B927" s="2">
        <v>43977</v>
      </c>
      <c r="C927">
        <v>2020</v>
      </c>
      <c r="D927" s="23">
        <f t="shared" si="23"/>
        <v>147</v>
      </c>
      <c r="E927" t="s">
        <v>6</v>
      </c>
      <c r="F927">
        <f>(SingleBerryDW!F927/SingleBerryFW!F927)*100</f>
        <v>17.700000000000003</v>
      </c>
    </row>
    <row r="928" spans="1:6" hidden="1" x14ac:dyDescent="0.25">
      <c r="A928" t="s">
        <v>14</v>
      </c>
      <c r="B928" s="2">
        <v>43851</v>
      </c>
      <c r="C928">
        <v>2020</v>
      </c>
      <c r="D928" s="23">
        <f t="shared" si="23"/>
        <v>21</v>
      </c>
      <c r="E928" t="s">
        <v>6</v>
      </c>
      <c r="F928">
        <f>(SingleBerryDW!F928/SingleBerryFW!F928)*100</f>
        <v>8.6999999999999993</v>
      </c>
    </row>
    <row r="929" spans="1:6" hidden="1" x14ac:dyDescent="0.25">
      <c r="A929" t="s">
        <v>14</v>
      </c>
      <c r="B929" s="2">
        <v>43880</v>
      </c>
      <c r="C929">
        <v>2020</v>
      </c>
      <c r="D929" s="23">
        <f t="shared" si="23"/>
        <v>50</v>
      </c>
      <c r="E929" t="s">
        <v>6</v>
      </c>
      <c r="F929">
        <f>(SingleBerryDW!F929/SingleBerryFW!F929)*100</f>
        <v>13.4</v>
      </c>
    </row>
    <row r="930" spans="1:6" hidden="1" x14ac:dyDescent="0.25">
      <c r="A930" t="s">
        <v>14</v>
      </c>
      <c r="B930" s="2">
        <v>43894</v>
      </c>
      <c r="C930">
        <v>2020</v>
      </c>
      <c r="D930" s="23">
        <f t="shared" si="23"/>
        <v>64</v>
      </c>
      <c r="E930" t="s">
        <v>6</v>
      </c>
      <c r="F930">
        <f>(SingleBerryDW!F930/SingleBerryFW!F930)*100</f>
        <v>14.899999999999999</v>
      </c>
    </row>
    <row r="931" spans="1:6" s="7" customFormat="1" hidden="1" x14ac:dyDescent="0.25">
      <c r="A931" s="7" t="s">
        <v>14</v>
      </c>
      <c r="B931" s="6">
        <v>43907</v>
      </c>
      <c r="C931" s="7">
        <v>2020</v>
      </c>
      <c r="D931" s="23">
        <f t="shared" si="23"/>
        <v>77</v>
      </c>
      <c r="E931" s="7" t="s">
        <v>6</v>
      </c>
      <c r="F931" s="7">
        <f>(SingleBerryDW!F931/SingleBerryFW!F931)*100</f>
        <v>16.5</v>
      </c>
    </row>
    <row r="932" spans="1:6" s="7" customFormat="1" hidden="1" x14ac:dyDescent="0.25">
      <c r="A932" s="7" t="s">
        <v>14</v>
      </c>
      <c r="B932" s="6">
        <v>43951</v>
      </c>
      <c r="C932" s="7">
        <v>2020</v>
      </c>
      <c r="D932" s="23">
        <f t="shared" si="23"/>
        <v>121</v>
      </c>
      <c r="E932" s="7" t="s">
        <v>6</v>
      </c>
      <c r="F932" s="7">
        <f>(SingleBerryDW!F932/SingleBerryFW!F932)*100</f>
        <v>18.800000000000004</v>
      </c>
    </row>
    <row r="933" spans="1:6" hidden="1" x14ac:dyDescent="0.25">
      <c r="A933" t="s">
        <v>14</v>
      </c>
      <c r="B933" s="2">
        <v>43963</v>
      </c>
      <c r="C933">
        <v>2020</v>
      </c>
      <c r="D933" s="23">
        <f t="shared" si="23"/>
        <v>133</v>
      </c>
      <c r="E933" t="s">
        <v>6</v>
      </c>
      <c r="F933">
        <f>(SingleBerryDW!F933/SingleBerryFW!F933)*100</f>
        <v>18.899999999999999</v>
      </c>
    </row>
    <row r="934" spans="1:6" hidden="1" x14ac:dyDescent="0.25">
      <c r="A934" t="s">
        <v>14</v>
      </c>
      <c r="B934" s="2">
        <v>43979</v>
      </c>
      <c r="C934">
        <v>2020</v>
      </c>
      <c r="D934" s="23">
        <f t="shared" si="23"/>
        <v>149</v>
      </c>
      <c r="E934" t="s">
        <v>6</v>
      </c>
      <c r="F934">
        <f>(SingleBerryDW!F934/SingleBerryFW!F934)*100</f>
        <v>19.5</v>
      </c>
    </row>
    <row r="935" spans="1:6" hidden="1" x14ac:dyDescent="0.25">
      <c r="A935" t="s">
        <v>14</v>
      </c>
      <c r="B935" s="2">
        <v>43850</v>
      </c>
      <c r="C935">
        <v>2020</v>
      </c>
      <c r="D935" s="23">
        <f t="shared" si="23"/>
        <v>20</v>
      </c>
      <c r="E935" t="s">
        <v>6</v>
      </c>
      <c r="F935">
        <f>(SingleBerryDW!F935/SingleBerryFW!F935)*100</f>
        <v>8.6</v>
      </c>
    </row>
    <row r="936" spans="1:6" hidden="1" x14ac:dyDescent="0.25">
      <c r="A936" t="s">
        <v>14</v>
      </c>
      <c r="B936" s="2">
        <v>43850</v>
      </c>
      <c r="C936">
        <v>2020</v>
      </c>
      <c r="D936" s="23">
        <f t="shared" si="23"/>
        <v>20</v>
      </c>
      <c r="E936" t="s">
        <v>6</v>
      </c>
      <c r="F936">
        <f>(SingleBerryDW!F936/SingleBerryFW!F936)*100</f>
        <v>8.6000000000000014</v>
      </c>
    </row>
    <row r="937" spans="1:6" hidden="1" x14ac:dyDescent="0.25">
      <c r="A937" t="s">
        <v>14</v>
      </c>
      <c r="B937" s="2">
        <v>43851</v>
      </c>
      <c r="C937">
        <v>2020</v>
      </c>
      <c r="D937" s="23">
        <f t="shared" si="23"/>
        <v>21</v>
      </c>
      <c r="E937" t="s">
        <v>6</v>
      </c>
      <c r="F937">
        <f>(SingleBerryDW!F937/SingleBerryFW!F937)*100</f>
        <v>8.9</v>
      </c>
    </row>
    <row r="938" spans="1:6" hidden="1" x14ac:dyDescent="0.25">
      <c r="A938" t="s">
        <v>14</v>
      </c>
      <c r="B938" s="2">
        <v>43878</v>
      </c>
      <c r="C938">
        <v>2020</v>
      </c>
      <c r="D938" s="23">
        <f t="shared" si="23"/>
        <v>48</v>
      </c>
      <c r="E938" t="s">
        <v>6</v>
      </c>
      <c r="F938">
        <f>(SingleBerryDW!F938/SingleBerryFW!F938)*100</f>
        <v>13.3</v>
      </c>
    </row>
    <row r="939" spans="1:6" hidden="1" x14ac:dyDescent="0.25">
      <c r="A939" t="s">
        <v>14</v>
      </c>
      <c r="B939" s="2">
        <v>43878</v>
      </c>
      <c r="C939">
        <v>2020</v>
      </c>
      <c r="D939" s="23">
        <f t="shared" si="23"/>
        <v>48</v>
      </c>
      <c r="E939" t="s">
        <v>6</v>
      </c>
      <c r="F939">
        <f>(SingleBerryDW!F939/SingleBerryFW!F939)*100</f>
        <v>12.799999999999997</v>
      </c>
    </row>
    <row r="940" spans="1:6" hidden="1" x14ac:dyDescent="0.25">
      <c r="A940" t="s">
        <v>14</v>
      </c>
      <c r="B940" s="2">
        <v>43880</v>
      </c>
      <c r="C940">
        <v>2020</v>
      </c>
      <c r="D940" s="23">
        <f t="shared" si="23"/>
        <v>50</v>
      </c>
      <c r="E940" t="s">
        <v>6</v>
      </c>
      <c r="F940">
        <f>(SingleBerryDW!F940/SingleBerryFW!F940)*100</f>
        <v>13.5</v>
      </c>
    </row>
    <row r="941" spans="1:6" hidden="1" x14ac:dyDescent="0.25">
      <c r="A941" t="s">
        <v>14</v>
      </c>
      <c r="B941" s="2">
        <v>43892</v>
      </c>
      <c r="C941">
        <v>2020</v>
      </c>
      <c r="D941" s="23">
        <f t="shared" si="23"/>
        <v>62</v>
      </c>
      <c r="E941" t="s">
        <v>6</v>
      </c>
      <c r="F941">
        <f>(SingleBerryDW!F941/SingleBerryFW!F941)*100</f>
        <v>14.900000000000002</v>
      </c>
    </row>
    <row r="942" spans="1:6" hidden="1" x14ac:dyDescent="0.25">
      <c r="A942" t="s">
        <v>14</v>
      </c>
      <c r="B942" s="2">
        <v>43892</v>
      </c>
      <c r="C942">
        <v>2020</v>
      </c>
      <c r="D942" s="23">
        <f t="shared" si="23"/>
        <v>62</v>
      </c>
      <c r="E942" t="s">
        <v>6</v>
      </c>
      <c r="F942">
        <f>(SingleBerryDW!F942/SingleBerryFW!F942)*100</f>
        <v>14.900000000000002</v>
      </c>
    </row>
    <row r="943" spans="1:6" hidden="1" x14ac:dyDescent="0.25">
      <c r="A943" t="s">
        <v>14</v>
      </c>
      <c r="B943" s="2">
        <v>43894</v>
      </c>
      <c r="C943">
        <v>2020</v>
      </c>
      <c r="D943" s="23">
        <f t="shared" si="23"/>
        <v>64</v>
      </c>
      <c r="E943" t="s">
        <v>6</v>
      </c>
      <c r="F943">
        <f>(SingleBerryDW!F943/SingleBerryFW!F943)*100</f>
        <v>14.400000000000002</v>
      </c>
    </row>
    <row r="944" spans="1:6" hidden="1" x14ac:dyDescent="0.25">
      <c r="A944" t="s">
        <v>14</v>
      </c>
      <c r="B944" s="2">
        <v>43906</v>
      </c>
      <c r="C944">
        <v>2020</v>
      </c>
      <c r="D944" s="23">
        <f t="shared" si="23"/>
        <v>76</v>
      </c>
      <c r="E944" t="s">
        <v>6</v>
      </c>
      <c r="F944">
        <f>(SingleBerryDW!F944/SingleBerryFW!F944)*100</f>
        <v>16</v>
      </c>
    </row>
    <row r="945" spans="1:8" hidden="1" x14ac:dyDescent="0.25">
      <c r="A945" t="s">
        <v>14</v>
      </c>
      <c r="B945" s="2">
        <v>43906</v>
      </c>
      <c r="C945">
        <v>2020</v>
      </c>
      <c r="D945" s="23">
        <f t="shared" si="23"/>
        <v>76</v>
      </c>
      <c r="E945" t="s">
        <v>6</v>
      </c>
      <c r="F945">
        <f>(SingleBerryDW!F945/SingleBerryFW!F945)*100</f>
        <v>16</v>
      </c>
    </row>
    <row r="946" spans="1:8" s="7" customFormat="1" hidden="1" x14ac:dyDescent="0.25">
      <c r="A946" s="7" t="s">
        <v>14</v>
      </c>
      <c r="B946" s="6">
        <v>43907</v>
      </c>
      <c r="C946" s="7">
        <v>2020</v>
      </c>
      <c r="D946" s="23">
        <f t="shared" si="23"/>
        <v>77</v>
      </c>
      <c r="E946" s="7" t="s">
        <v>6</v>
      </c>
      <c r="F946" s="7">
        <f>(SingleBerryDW!F946/SingleBerryFW!F946)*100</f>
        <v>15.4</v>
      </c>
    </row>
    <row r="947" spans="1:8" s="7" customFormat="1" hidden="1" x14ac:dyDescent="0.25">
      <c r="A947" s="7" t="s">
        <v>14</v>
      </c>
      <c r="B947" s="6">
        <v>43950</v>
      </c>
      <c r="C947" s="7">
        <v>2020</v>
      </c>
      <c r="D947" s="23">
        <f t="shared" si="23"/>
        <v>120</v>
      </c>
      <c r="E947" s="7" t="s">
        <v>6</v>
      </c>
      <c r="F947" s="7">
        <f>(SingleBerryDW!F947/SingleBerryFW!F947)*100</f>
        <v>18.5</v>
      </c>
      <c r="G947" s="7">
        <f>Calculations!F6</f>
        <v>17.983983314612363</v>
      </c>
      <c r="H947" s="7" t="s">
        <v>27</v>
      </c>
    </row>
    <row r="948" spans="1:8" s="7" customFormat="1" hidden="1" x14ac:dyDescent="0.25">
      <c r="A948" s="7" t="s">
        <v>14</v>
      </c>
      <c r="B948" s="6">
        <v>43950</v>
      </c>
      <c r="C948" s="7">
        <v>2020</v>
      </c>
      <c r="D948" s="23">
        <f t="shared" si="23"/>
        <v>120</v>
      </c>
      <c r="E948" s="7" t="s">
        <v>6</v>
      </c>
      <c r="F948" s="7">
        <f>(SingleBerryDW!F948/SingleBerryFW!F948)*100</f>
        <v>18.5</v>
      </c>
    </row>
    <row r="949" spans="1:8" s="7" customFormat="1" hidden="1" x14ac:dyDescent="0.25">
      <c r="A949" s="7" t="s">
        <v>14</v>
      </c>
      <c r="B949" s="6">
        <v>43950</v>
      </c>
      <c r="C949" s="7">
        <v>2020</v>
      </c>
      <c r="D949" s="23">
        <f t="shared" si="23"/>
        <v>120</v>
      </c>
      <c r="E949" s="7" t="s">
        <v>6</v>
      </c>
      <c r="F949" s="7">
        <f>(SingleBerryDW!F949/SingleBerryFW!F949)*100</f>
        <v>17.299999999999997</v>
      </c>
    </row>
    <row r="950" spans="1:8" hidden="1" x14ac:dyDescent="0.25">
      <c r="A950" t="s">
        <v>14</v>
      </c>
      <c r="B950" s="2">
        <v>43963</v>
      </c>
      <c r="C950">
        <v>2020</v>
      </c>
      <c r="D950" s="23">
        <f t="shared" si="23"/>
        <v>133</v>
      </c>
      <c r="E950" t="s">
        <v>6</v>
      </c>
      <c r="F950">
        <f>(SingleBerryDW!F950/SingleBerryFW!F950)*100</f>
        <v>18.899999999999999</v>
      </c>
    </row>
    <row r="951" spans="1:8" hidden="1" x14ac:dyDescent="0.25">
      <c r="A951" t="s">
        <v>14</v>
      </c>
      <c r="B951" s="2">
        <v>43964</v>
      </c>
      <c r="C951">
        <v>2020</v>
      </c>
      <c r="D951" s="23">
        <f t="shared" si="23"/>
        <v>134</v>
      </c>
      <c r="E951" t="s">
        <v>6</v>
      </c>
      <c r="F951">
        <f>(SingleBerryDW!F951/SingleBerryFW!F951)*100</f>
        <v>18.8</v>
      </c>
    </row>
    <row r="952" spans="1:8" hidden="1" x14ac:dyDescent="0.25">
      <c r="A952" t="s">
        <v>14</v>
      </c>
      <c r="B952" s="2">
        <v>43964</v>
      </c>
      <c r="C952">
        <v>2020</v>
      </c>
      <c r="D952" s="23">
        <f t="shared" si="23"/>
        <v>134</v>
      </c>
      <c r="E952" t="s">
        <v>6</v>
      </c>
      <c r="F952">
        <f>(SingleBerryDW!F952/SingleBerryFW!F952)*100</f>
        <v>17.5</v>
      </c>
    </row>
    <row r="953" spans="1:8" hidden="1" x14ac:dyDescent="0.25">
      <c r="A953" t="s">
        <v>14</v>
      </c>
      <c r="B953" s="2">
        <v>43978</v>
      </c>
      <c r="C953">
        <v>2020</v>
      </c>
      <c r="D953" s="23">
        <f t="shared" si="23"/>
        <v>148</v>
      </c>
      <c r="E953" t="s">
        <v>6</v>
      </c>
      <c r="F953">
        <f>(SingleBerryDW!F953/SingleBerryFW!F953)*100</f>
        <v>18.999999999999996</v>
      </c>
    </row>
    <row r="954" spans="1:8" hidden="1" x14ac:dyDescent="0.25">
      <c r="A954" t="s">
        <v>14</v>
      </c>
      <c r="B954" s="2">
        <v>43978</v>
      </c>
      <c r="C954">
        <v>2020</v>
      </c>
      <c r="D954" s="23">
        <f t="shared" si="23"/>
        <v>148</v>
      </c>
      <c r="E954" t="s">
        <v>6</v>
      </c>
      <c r="F954">
        <f>(SingleBerryDW!F954/SingleBerryFW!F954)*100</f>
        <v>18.199999999999996</v>
      </c>
    </row>
    <row r="955" spans="1:8" hidden="1" x14ac:dyDescent="0.25">
      <c r="A955" t="s">
        <v>19</v>
      </c>
      <c r="B955" s="2">
        <v>43850</v>
      </c>
      <c r="C955">
        <v>2020</v>
      </c>
      <c r="D955" s="23">
        <f t="shared" si="23"/>
        <v>20</v>
      </c>
      <c r="E955" t="s">
        <v>9</v>
      </c>
      <c r="F955">
        <f>(SingleBerryDW!F955/SingleBerryFW!F955)*100</f>
        <v>10.1</v>
      </c>
    </row>
    <row r="956" spans="1:8" hidden="1" x14ac:dyDescent="0.25">
      <c r="A956" t="s">
        <v>19</v>
      </c>
      <c r="B956" s="2">
        <v>43880</v>
      </c>
      <c r="C956">
        <v>2020</v>
      </c>
      <c r="D956" s="23">
        <f t="shared" si="23"/>
        <v>50</v>
      </c>
      <c r="E956" t="s">
        <v>9</v>
      </c>
      <c r="F956">
        <f>(SingleBerryDW!F956/SingleBerryFW!F956)*100</f>
        <v>15.300000000000002</v>
      </c>
    </row>
    <row r="957" spans="1:8" hidden="1" x14ac:dyDescent="0.25">
      <c r="A957" t="s">
        <v>19</v>
      </c>
      <c r="B957" s="2">
        <v>43892</v>
      </c>
      <c r="C957">
        <v>2020</v>
      </c>
      <c r="D957" s="23">
        <f t="shared" si="23"/>
        <v>62</v>
      </c>
      <c r="E957" t="s">
        <v>9</v>
      </c>
      <c r="F957">
        <f>(SingleBerryDW!F957/SingleBerryFW!F957)*100</f>
        <v>16.5</v>
      </c>
    </row>
    <row r="958" spans="1:8" hidden="1" x14ac:dyDescent="0.25">
      <c r="A958" t="s">
        <v>19</v>
      </c>
      <c r="B958" s="2">
        <v>43906</v>
      </c>
      <c r="C958">
        <v>2020</v>
      </c>
      <c r="D958" s="23">
        <f t="shared" si="23"/>
        <v>76</v>
      </c>
      <c r="E958" t="s">
        <v>9</v>
      </c>
      <c r="F958">
        <f>(SingleBerryDW!F958/SingleBerryFW!F958)*100</f>
        <v>16.100000000000001</v>
      </c>
    </row>
    <row r="959" spans="1:8" hidden="1" x14ac:dyDescent="0.25">
      <c r="A959" t="s">
        <v>19</v>
      </c>
      <c r="B959" s="2">
        <v>43949</v>
      </c>
      <c r="C959">
        <v>2020</v>
      </c>
      <c r="D959" s="23">
        <f t="shared" si="23"/>
        <v>119</v>
      </c>
      <c r="E959" t="s">
        <v>9</v>
      </c>
      <c r="F959">
        <f>(SingleBerryDW!F959/SingleBerryFW!F959)*100</f>
        <v>16.600000000000005</v>
      </c>
      <c r="G959">
        <f>Calculations!F11</f>
        <v>17.251067925635329</v>
      </c>
      <c r="H959" t="s">
        <v>27</v>
      </c>
    </row>
    <row r="960" spans="1:8" hidden="1" x14ac:dyDescent="0.25">
      <c r="A960" t="s">
        <v>19</v>
      </c>
      <c r="B960" s="2">
        <v>43963</v>
      </c>
      <c r="C960">
        <v>2020</v>
      </c>
      <c r="D960" s="23">
        <f t="shared" si="23"/>
        <v>133</v>
      </c>
      <c r="E960" t="s">
        <v>9</v>
      </c>
      <c r="F960">
        <f>(SingleBerryDW!F960/SingleBerryFW!F960)*100</f>
        <v>17</v>
      </c>
    </row>
    <row r="961" spans="1:6" hidden="1" x14ac:dyDescent="0.25">
      <c r="A961" t="s">
        <v>19</v>
      </c>
      <c r="B961" s="2">
        <v>43976</v>
      </c>
      <c r="C961">
        <v>2020</v>
      </c>
      <c r="D961" s="23">
        <f t="shared" si="23"/>
        <v>146</v>
      </c>
      <c r="E961" t="s">
        <v>9</v>
      </c>
      <c r="F961">
        <f>(SingleBerryDW!F961/SingleBerryFW!F961)*100</f>
        <v>17.3</v>
      </c>
    </row>
    <row r="962" spans="1:6" hidden="1" x14ac:dyDescent="0.25">
      <c r="A962" t="s">
        <v>15</v>
      </c>
      <c r="B962" s="2">
        <v>44223</v>
      </c>
      <c r="C962">
        <v>2021</v>
      </c>
      <c r="D962" s="23">
        <f t="shared" si="23"/>
        <v>27</v>
      </c>
      <c r="E962" t="s">
        <v>6</v>
      </c>
      <c r="F962">
        <f>(SingleBerryDW!F962/SingleBerryFW!F962)*100</f>
        <v>8.8219087849999998</v>
      </c>
    </row>
    <row r="963" spans="1:6" hidden="1" x14ac:dyDescent="0.25">
      <c r="A963" t="s">
        <v>15</v>
      </c>
      <c r="B963" s="2">
        <v>44244</v>
      </c>
      <c r="C963">
        <v>2021</v>
      </c>
      <c r="D963" s="23">
        <f t="shared" si="23"/>
        <v>48</v>
      </c>
      <c r="E963" t="s">
        <v>6</v>
      </c>
      <c r="F963">
        <f>(SingleBerryDW!F963/SingleBerryFW!F963)*100</f>
        <v>11.326228609999999</v>
      </c>
    </row>
    <row r="964" spans="1:6" hidden="1" x14ac:dyDescent="0.25">
      <c r="A964" t="s">
        <v>15</v>
      </c>
      <c r="B964" s="2">
        <v>44258</v>
      </c>
      <c r="C964">
        <v>2021</v>
      </c>
      <c r="D964" s="23">
        <f t="shared" ref="D964:D1027" si="24">B964-DATE(YEAR(B964),1,0)</f>
        <v>62</v>
      </c>
      <c r="E964" t="s">
        <v>6</v>
      </c>
      <c r="F964">
        <f>(SingleBerryDW!F964/SingleBerryFW!F964)*100</f>
        <v>13.338020979999998</v>
      </c>
    </row>
    <row r="965" spans="1:6" hidden="1" x14ac:dyDescent="0.25">
      <c r="A965" t="s">
        <v>15</v>
      </c>
      <c r="B965" s="2">
        <v>44272</v>
      </c>
      <c r="C965">
        <v>2021</v>
      </c>
      <c r="D965" s="23">
        <f t="shared" si="24"/>
        <v>76</v>
      </c>
      <c r="E965" t="s">
        <v>6</v>
      </c>
      <c r="F965">
        <f>(SingleBerryDW!F965/SingleBerryFW!F965)*100</f>
        <v>14.397584729999998</v>
      </c>
    </row>
    <row r="966" spans="1:6" hidden="1" x14ac:dyDescent="0.25">
      <c r="A966" t="s">
        <v>15</v>
      </c>
      <c r="B966" s="2">
        <v>44286</v>
      </c>
      <c r="C966">
        <v>2021</v>
      </c>
      <c r="D966" s="23">
        <f t="shared" si="24"/>
        <v>90</v>
      </c>
      <c r="E966" t="s">
        <v>6</v>
      </c>
      <c r="F966">
        <f>(SingleBerryDW!F966/SingleBerryFW!F966)*100</f>
        <v>15.18128198</v>
      </c>
    </row>
    <row r="967" spans="1:6" hidden="1" x14ac:dyDescent="0.25">
      <c r="A967" t="s">
        <v>15</v>
      </c>
      <c r="B967" s="2">
        <v>44300</v>
      </c>
      <c r="C967">
        <v>2021</v>
      </c>
      <c r="D967" s="23">
        <f t="shared" si="24"/>
        <v>104</v>
      </c>
      <c r="E967" t="s">
        <v>6</v>
      </c>
      <c r="F967">
        <f>(SingleBerryDW!F967/SingleBerryFW!F967)*100</f>
        <v>15.203008900000004</v>
      </c>
    </row>
    <row r="968" spans="1:6" hidden="1" x14ac:dyDescent="0.25">
      <c r="A968" t="s">
        <v>15</v>
      </c>
      <c r="B968" s="2">
        <v>44307</v>
      </c>
      <c r="C968">
        <v>2021</v>
      </c>
      <c r="D968" s="23">
        <f t="shared" si="24"/>
        <v>111</v>
      </c>
      <c r="E968" t="s">
        <v>6</v>
      </c>
      <c r="F968">
        <f>(SingleBerryDW!F968/SingleBerryFW!F968)*100</f>
        <v>15.654528790000002</v>
      </c>
    </row>
    <row r="969" spans="1:6" s="7" customFormat="1" hidden="1" x14ac:dyDescent="0.25">
      <c r="A969" s="7" t="s">
        <v>15</v>
      </c>
      <c r="B969" s="6">
        <v>44315</v>
      </c>
      <c r="C969" s="7">
        <v>2021</v>
      </c>
      <c r="D969" s="23">
        <f t="shared" si="24"/>
        <v>119</v>
      </c>
      <c r="E969" s="7" t="s">
        <v>6</v>
      </c>
      <c r="F969" s="7">
        <f>(SingleBerryDW!F969/SingleBerryFW!F969)*100</f>
        <v>15.291157419999998</v>
      </c>
    </row>
    <row r="970" spans="1:6" hidden="1" x14ac:dyDescent="0.25">
      <c r="A970" t="s">
        <v>15</v>
      </c>
      <c r="B970" s="2">
        <v>44321</v>
      </c>
      <c r="C970">
        <v>2021</v>
      </c>
      <c r="D970" s="23">
        <f t="shared" si="24"/>
        <v>125</v>
      </c>
      <c r="E970" t="s">
        <v>6</v>
      </c>
      <c r="F970">
        <f>(SingleBerryDW!F970/SingleBerryFW!F970)*100</f>
        <v>16.521215380000001</v>
      </c>
    </row>
    <row r="971" spans="1:6" hidden="1" x14ac:dyDescent="0.25">
      <c r="A971" t="s">
        <v>15</v>
      </c>
      <c r="B971" s="2">
        <v>44335</v>
      </c>
      <c r="C971">
        <v>2021</v>
      </c>
      <c r="D971" s="23">
        <f t="shared" si="24"/>
        <v>139</v>
      </c>
      <c r="E971" t="s">
        <v>6</v>
      </c>
      <c r="F971">
        <f>(SingleBerryDW!F971/SingleBerryFW!F971)*100</f>
        <v>16.493120660000002</v>
      </c>
    </row>
    <row r="972" spans="1:6" hidden="1" x14ac:dyDescent="0.25">
      <c r="A972" t="s">
        <v>15</v>
      </c>
      <c r="B972" s="2">
        <v>44348</v>
      </c>
      <c r="C972">
        <v>2021</v>
      </c>
      <c r="D972" s="23">
        <f t="shared" si="24"/>
        <v>152</v>
      </c>
      <c r="E972" t="s">
        <v>6</v>
      </c>
      <c r="F972">
        <f>(SingleBerryDW!F972/SingleBerryFW!F972)*100</f>
        <v>17.19554462</v>
      </c>
    </row>
    <row r="973" spans="1:6" hidden="1" x14ac:dyDescent="0.25">
      <c r="A973" t="s">
        <v>15</v>
      </c>
      <c r="B973" s="2">
        <v>44223</v>
      </c>
      <c r="C973">
        <v>2021</v>
      </c>
      <c r="D973" s="23">
        <f t="shared" si="24"/>
        <v>27</v>
      </c>
      <c r="E973" t="s">
        <v>6</v>
      </c>
      <c r="F973">
        <f>(SingleBerryDW!F973/SingleBerryFW!F973)*100</f>
        <v>10.179676189999999</v>
      </c>
    </row>
    <row r="974" spans="1:6" hidden="1" x14ac:dyDescent="0.25">
      <c r="A974" t="s">
        <v>15</v>
      </c>
      <c r="B974" s="2">
        <v>44258</v>
      </c>
      <c r="C974">
        <v>2021</v>
      </c>
      <c r="D974" s="23">
        <f t="shared" si="24"/>
        <v>62</v>
      </c>
      <c r="E974" t="s">
        <v>6</v>
      </c>
      <c r="F974">
        <f>(SingleBerryDW!F974/SingleBerryFW!F974)*100</f>
        <v>15.628000080000001</v>
      </c>
    </row>
    <row r="975" spans="1:6" hidden="1" x14ac:dyDescent="0.25">
      <c r="A975" t="s">
        <v>15</v>
      </c>
      <c r="B975" s="2">
        <v>44272</v>
      </c>
      <c r="C975">
        <v>2021</v>
      </c>
      <c r="D975" s="23">
        <f t="shared" si="24"/>
        <v>76</v>
      </c>
      <c r="E975" t="s">
        <v>6</v>
      </c>
      <c r="F975">
        <f>(SingleBerryDW!F975/SingleBerryFW!F975)*100</f>
        <v>16.63794643</v>
      </c>
    </row>
    <row r="976" spans="1:6" hidden="1" x14ac:dyDescent="0.25">
      <c r="A976" t="s">
        <v>15</v>
      </c>
      <c r="B976" s="2">
        <v>44286</v>
      </c>
      <c r="C976">
        <v>2021</v>
      </c>
      <c r="D976" s="23">
        <f t="shared" si="24"/>
        <v>90</v>
      </c>
      <c r="E976" t="s">
        <v>6</v>
      </c>
      <c r="F976">
        <f>(SingleBerryDW!F976/SingleBerryFW!F976)*100</f>
        <v>17.359527880000002</v>
      </c>
    </row>
    <row r="977" spans="1:6" hidden="1" x14ac:dyDescent="0.25">
      <c r="A977" t="s">
        <v>15</v>
      </c>
      <c r="B977" s="2">
        <v>44300</v>
      </c>
      <c r="C977">
        <v>2021</v>
      </c>
      <c r="D977" s="23">
        <f t="shared" si="24"/>
        <v>104</v>
      </c>
      <c r="E977" t="s">
        <v>6</v>
      </c>
      <c r="F977">
        <f>(SingleBerryDW!F977/SingleBerryFW!F977)*100</f>
        <v>17.60640596</v>
      </c>
    </row>
    <row r="978" spans="1:6" hidden="1" x14ac:dyDescent="0.25">
      <c r="A978" t="s">
        <v>15</v>
      </c>
      <c r="B978" s="2">
        <v>44307</v>
      </c>
      <c r="C978">
        <v>2021</v>
      </c>
      <c r="D978" s="23">
        <f t="shared" si="24"/>
        <v>111</v>
      </c>
      <c r="E978" t="s">
        <v>6</v>
      </c>
      <c r="F978">
        <f>(SingleBerryDW!F978/SingleBerryFW!F978)*100</f>
        <v>17.904109959999996</v>
      </c>
    </row>
    <row r="979" spans="1:6" s="7" customFormat="1" hidden="1" x14ac:dyDescent="0.25">
      <c r="A979" s="7" t="s">
        <v>15</v>
      </c>
      <c r="B979" s="6">
        <v>44315</v>
      </c>
      <c r="C979" s="7">
        <v>2021</v>
      </c>
      <c r="D979" s="23">
        <f t="shared" si="24"/>
        <v>119</v>
      </c>
      <c r="E979" s="7" t="s">
        <v>6</v>
      </c>
      <c r="F979" s="7">
        <f>(SingleBerryDW!F979/SingleBerryFW!F979)*100</f>
        <v>18.175619019999996</v>
      </c>
    </row>
    <row r="980" spans="1:6" hidden="1" x14ac:dyDescent="0.25">
      <c r="A980" t="s">
        <v>15</v>
      </c>
      <c r="B980" s="2">
        <v>44321</v>
      </c>
      <c r="C980">
        <v>2021</v>
      </c>
      <c r="D980" s="23">
        <f t="shared" si="24"/>
        <v>125</v>
      </c>
      <c r="E980" t="s">
        <v>6</v>
      </c>
      <c r="F980">
        <f>(SingleBerryDW!F980/SingleBerryFW!F980)*100</f>
        <v>18.282530170000001</v>
      </c>
    </row>
    <row r="981" spans="1:6" hidden="1" x14ac:dyDescent="0.25">
      <c r="A981" t="s">
        <v>15</v>
      </c>
      <c r="B981" s="2">
        <v>44335</v>
      </c>
      <c r="C981">
        <v>2021</v>
      </c>
      <c r="D981" s="23">
        <f t="shared" si="24"/>
        <v>139</v>
      </c>
      <c r="E981" t="s">
        <v>6</v>
      </c>
      <c r="F981">
        <f>(SingleBerryDW!F981/SingleBerryFW!F981)*100</f>
        <v>18.609304609999999</v>
      </c>
    </row>
    <row r="982" spans="1:6" hidden="1" x14ac:dyDescent="0.25">
      <c r="A982" t="s">
        <v>15</v>
      </c>
      <c r="B982" s="2">
        <v>44348</v>
      </c>
      <c r="C982">
        <v>2021</v>
      </c>
      <c r="D982" s="23">
        <f t="shared" si="24"/>
        <v>152</v>
      </c>
      <c r="E982" t="s">
        <v>6</v>
      </c>
      <c r="F982">
        <f>(SingleBerryDW!F982/SingleBerryFW!F982)*100</f>
        <v>18.614446149999999</v>
      </c>
    </row>
    <row r="983" spans="1:6" hidden="1" x14ac:dyDescent="0.25">
      <c r="A983" t="s">
        <v>15</v>
      </c>
      <c r="B983" s="2">
        <v>44223</v>
      </c>
      <c r="C983">
        <v>2021</v>
      </c>
      <c r="D983" s="23">
        <f t="shared" si="24"/>
        <v>27</v>
      </c>
      <c r="E983" t="s">
        <v>6</v>
      </c>
      <c r="F983">
        <f>(SingleBerryDW!F983/SingleBerryFW!F983)*100</f>
        <v>10.13879683</v>
      </c>
    </row>
    <row r="984" spans="1:6" hidden="1" x14ac:dyDescent="0.25">
      <c r="A984" t="s">
        <v>15</v>
      </c>
      <c r="B984" s="2">
        <v>44223</v>
      </c>
      <c r="C984">
        <v>2021</v>
      </c>
      <c r="D984" s="23">
        <f t="shared" si="24"/>
        <v>27</v>
      </c>
      <c r="E984" t="s">
        <v>6</v>
      </c>
      <c r="F984">
        <f>(SingleBerryDW!F984/SingleBerryFW!F984)*100</f>
        <v>8.9871780220000002</v>
      </c>
    </row>
    <row r="985" spans="1:6" hidden="1" x14ac:dyDescent="0.25">
      <c r="A985" t="s">
        <v>15</v>
      </c>
      <c r="B985" s="2">
        <v>44224</v>
      </c>
      <c r="C985">
        <v>2021</v>
      </c>
      <c r="D985" s="23">
        <f t="shared" si="24"/>
        <v>28</v>
      </c>
      <c r="E985" t="s">
        <v>6</v>
      </c>
      <c r="F985">
        <f>(SingleBerryDW!F985/SingleBerryFW!F985)*100</f>
        <v>9.5918194680000006</v>
      </c>
    </row>
    <row r="986" spans="1:6" hidden="1" x14ac:dyDescent="0.25">
      <c r="A986" t="s">
        <v>15</v>
      </c>
      <c r="B986" s="2">
        <v>44244</v>
      </c>
      <c r="C986">
        <v>2021</v>
      </c>
      <c r="D986" s="23">
        <f t="shared" si="24"/>
        <v>48</v>
      </c>
      <c r="E986" t="s">
        <v>6</v>
      </c>
      <c r="F986">
        <f>(SingleBerryDW!F986/SingleBerryFW!F986)*100</f>
        <v>12.588401129999999</v>
      </c>
    </row>
    <row r="987" spans="1:6" hidden="1" x14ac:dyDescent="0.25">
      <c r="A987" t="s">
        <v>15</v>
      </c>
      <c r="B987" s="2">
        <v>44245</v>
      </c>
      <c r="C987">
        <v>2021</v>
      </c>
      <c r="D987" s="23">
        <f t="shared" si="24"/>
        <v>49</v>
      </c>
      <c r="E987" t="s">
        <v>6</v>
      </c>
      <c r="F987">
        <f>(SingleBerryDW!F987/SingleBerryFW!F987)*100</f>
        <v>12.309720889999999</v>
      </c>
    </row>
    <row r="988" spans="1:6" hidden="1" x14ac:dyDescent="0.25">
      <c r="A988" t="s">
        <v>15</v>
      </c>
      <c r="B988" s="2">
        <v>44245</v>
      </c>
      <c r="C988">
        <v>2021</v>
      </c>
      <c r="D988" s="23">
        <f t="shared" si="24"/>
        <v>49</v>
      </c>
      <c r="E988" t="s">
        <v>6</v>
      </c>
      <c r="F988">
        <f>(SingleBerryDW!F988/SingleBerryFW!F988)*100</f>
        <v>11.80923168</v>
      </c>
    </row>
    <row r="989" spans="1:6" hidden="1" x14ac:dyDescent="0.25">
      <c r="A989" t="s">
        <v>15</v>
      </c>
      <c r="B989" s="2">
        <v>44258</v>
      </c>
      <c r="C989">
        <v>2021</v>
      </c>
      <c r="D989" s="23">
        <f t="shared" si="24"/>
        <v>62</v>
      </c>
      <c r="E989" t="s">
        <v>6</v>
      </c>
      <c r="F989">
        <f>(SingleBerryDW!F989/SingleBerryFW!F989)*100</f>
        <v>14.489709960000003</v>
      </c>
    </row>
    <row r="990" spans="1:6" hidden="1" x14ac:dyDescent="0.25">
      <c r="A990" t="s">
        <v>15</v>
      </c>
      <c r="B990" s="2">
        <v>44258</v>
      </c>
      <c r="C990">
        <v>2021</v>
      </c>
      <c r="D990" s="23">
        <f t="shared" si="24"/>
        <v>62</v>
      </c>
      <c r="E990" t="s">
        <v>6</v>
      </c>
      <c r="F990">
        <f>(SingleBerryDW!F990/SingleBerryFW!F990)*100</f>
        <v>15.025325560000002</v>
      </c>
    </row>
    <row r="991" spans="1:6" hidden="1" x14ac:dyDescent="0.25">
      <c r="A991" t="s">
        <v>15</v>
      </c>
      <c r="B991" s="2">
        <v>44258</v>
      </c>
      <c r="C991">
        <v>2021</v>
      </c>
      <c r="D991" s="23">
        <f t="shared" si="24"/>
        <v>62</v>
      </c>
      <c r="E991" t="s">
        <v>6</v>
      </c>
      <c r="F991">
        <f>(SingleBerryDW!F991/SingleBerryFW!F991)*100</f>
        <v>14.567588619999999</v>
      </c>
    </row>
    <row r="992" spans="1:6" hidden="1" x14ac:dyDescent="0.25">
      <c r="A992" t="s">
        <v>15</v>
      </c>
      <c r="B992" s="2">
        <v>44272</v>
      </c>
      <c r="C992">
        <v>2021</v>
      </c>
      <c r="D992" s="23">
        <f t="shared" si="24"/>
        <v>76</v>
      </c>
      <c r="E992" t="s">
        <v>6</v>
      </c>
      <c r="F992">
        <f>(SingleBerryDW!F992/SingleBerryFW!F992)*100</f>
        <v>15.51031553</v>
      </c>
    </row>
    <row r="993" spans="1:8" hidden="1" x14ac:dyDescent="0.25">
      <c r="A993" t="s">
        <v>15</v>
      </c>
      <c r="B993" s="2">
        <v>44272</v>
      </c>
      <c r="C993">
        <v>2021</v>
      </c>
      <c r="D993" s="23">
        <f t="shared" si="24"/>
        <v>76</v>
      </c>
      <c r="E993" t="s">
        <v>6</v>
      </c>
      <c r="F993">
        <f>(SingleBerryDW!F993/SingleBerryFW!F993)*100</f>
        <v>16.65752165</v>
      </c>
    </row>
    <row r="994" spans="1:8" hidden="1" x14ac:dyDescent="0.25">
      <c r="A994" t="s">
        <v>15</v>
      </c>
      <c r="B994" s="2">
        <v>44272</v>
      </c>
      <c r="C994">
        <v>2021</v>
      </c>
      <c r="D994" s="23">
        <f t="shared" si="24"/>
        <v>76</v>
      </c>
      <c r="E994" t="s">
        <v>6</v>
      </c>
      <c r="F994">
        <f>(SingleBerryDW!F994/SingleBerryFW!F994)*100</f>
        <v>16.516183529999999</v>
      </c>
    </row>
    <row r="995" spans="1:8" hidden="1" x14ac:dyDescent="0.25">
      <c r="A995" t="s">
        <v>15</v>
      </c>
      <c r="B995" s="2">
        <v>44286</v>
      </c>
      <c r="C995">
        <v>2021</v>
      </c>
      <c r="D995" s="23">
        <f t="shared" si="24"/>
        <v>90</v>
      </c>
      <c r="E995" t="s">
        <v>6</v>
      </c>
      <c r="F995">
        <f>(SingleBerryDW!F995/SingleBerryFW!F995)*100</f>
        <v>17.496831</v>
      </c>
    </row>
    <row r="996" spans="1:8" hidden="1" x14ac:dyDescent="0.25">
      <c r="A996" t="s">
        <v>15</v>
      </c>
      <c r="B996" s="2">
        <v>44287</v>
      </c>
      <c r="C996">
        <v>2021</v>
      </c>
      <c r="D996" s="23">
        <f t="shared" si="24"/>
        <v>91</v>
      </c>
      <c r="E996" t="s">
        <v>6</v>
      </c>
      <c r="F996">
        <f>(SingleBerryDW!F996/SingleBerryFW!F996)*100</f>
        <v>16.263976929999998</v>
      </c>
    </row>
    <row r="997" spans="1:8" hidden="1" x14ac:dyDescent="0.25">
      <c r="A997" t="s">
        <v>15</v>
      </c>
      <c r="B997" s="2">
        <v>44287</v>
      </c>
      <c r="C997">
        <v>2021</v>
      </c>
      <c r="D997" s="23">
        <f t="shared" si="24"/>
        <v>91</v>
      </c>
      <c r="E997" t="s">
        <v>6</v>
      </c>
      <c r="F997">
        <f>(SingleBerryDW!F997/SingleBerryFW!F997)*100</f>
        <v>16.644487419999997</v>
      </c>
    </row>
    <row r="998" spans="1:8" hidden="1" x14ac:dyDescent="0.25">
      <c r="A998" t="s">
        <v>15</v>
      </c>
      <c r="B998" s="2">
        <v>44300</v>
      </c>
      <c r="C998">
        <v>2021</v>
      </c>
      <c r="D998" s="23">
        <f t="shared" si="24"/>
        <v>104</v>
      </c>
      <c r="E998" t="s">
        <v>6</v>
      </c>
      <c r="F998">
        <f>(SingleBerryDW!F998/SingleBerryFW!F998)*100</f>
        <v>17.395084430000001</v>
      </c>
    </row>
    <row r="999" spans="1:8" hidden="1" x14ac:dyDescent="0.25">
      <c r="A999" t="s">
        <v>15</v>
      </c>
      <c r="B999" s="2">
        <v>44301</v>
      </c>
      <c r="C999">
        <v>2021</v>
      </c>
      <c r="D999" s="23">
        <f t="shared" si="24"/>
        <v>105</v>
      </c>
      <c r="E999" t="s">
        <v>6</v>
      </c>
      <c r="F999">
        <f>(SingleBerryDW!F999/SingleBerryFW!F999)*100</f>
        <v>17.0100801</v>
      </c>
    </row>
    <row r="1000" spans="1:8" hidden="1" x14ac:dyDescent="0.25">
      <c r="A1000" t="s">
        <v>15</v>
      </c>
      <c r="B1000" s="2">
        <v>44301</v>
      </c>
      <c r="C1000">
        <v>2021</v>
      </c>
      <c r="D1000" s="23">
        <f t="shared" si="24"/>
        <v>105</v>
      </c>
      <c r="E1000" t="s">
        <v>6</v>
      </c>
      <c r="F1000">
        <f>(SingleBerryDW!F1000/SingleBerryFW!F1000)*100</f>
        <v>16.621431399999999</v>
      </c>
    </row>
    <row r="1001" spans="1:8" hidden="1" x14ac:dyDescent="0.25">
      <c r="A1001" t="s">
        <v>15</v>
      </c>
      <c r="B1001" s="2">
        <v>44307</v>
      </c>
      <c r="C1001">
        <v>2021</v>
      </c>
      <c r="D1001" s="23">
        <f t="shared" si="24"/>
        <v>111</v>
      </c>
      <c r="E1001" t="s">
        <v>6</v>
      </c>
      <c r="F1001">
        <f>(SingleBerryDW!F1001/SingleBerryFW!F1001)*100</f>
        <v>17.17040458</v>
      </c>
    </row>
    <row r="1002" spans="1:8" hidden="1" x14ac:dyDescent="0.25">
      <c r="A1002" t="s">
        <v>15</v>
      </c>
      <c r="B1002" s="2">
        <v>44307</v>
      </c>
      <c r="C1002">
        <v>2021</v>
      </c>
      <c r="D1002" s="23">
        <f t="shared" si="24"/>
        <v>111</v>
      </c>
      <c r="E1002" t="s">
        <v>6</v>
      </c>
      <c r="F1002">
        <f>(SingleBerryDW!F1002/SingleBerryFW!F1002)*100</f>
        <v>17.699558069999998</v>
      </c>
    </row>
    <row r="1003" spans="1:8" hidden="1" x14ac:dyDescent="0.25">
      <c r="A1003" t="s">
        <v>15</v>
      </c>
      <c r="B1003" s="2">
        <v>44307</v>
      </c>
      <c r="C1003">
        <v>2021</v>
      </c>
      <c r="D1003" s="23">
        <f t="shared" si="24"/>
        <v>111</v>
      </c>
      <c r="E1003" t="s">
        <v>6</v>
      </c>
      <c r="F1003">
        <f>(SingleBerryDW!F1003/SingleBerryFW!F1003)*100</f>
        <v>17.108626829999999</v>
      </c>
    </row>
    <row r="1004" spans="1:8" s="7" customFormat="1" hidden="1" x14ac:dyDescent="0.25">
      <c r="A1004" s="7" t="s">
        <v>15</v>
      </c>
      <c r="B1004" s="6">
        <v>44315</v>
      </c>
      <c r="C1004" s="7">
        <v>2021</v>
      </c>
      <c r="D1004" s="23">
        <f t="shared" si="24"/>
        <v>119</v>
      </c>
      <c r="E1004" s="7" t="s">
        <v>6</v>
      </c>
      <c r="F1004" s="7">
        <f>(SingleBerryDW!F1004/SingleBerryFW!F1004)*100</f>
        <v>17.549679300000001</v>
      </c>
      <c r="G1004" s="7">
        <f>Calculations!F7</f>
        <v>17.639241657768721</v>
      </c>
      <c r="H1004" s="7" t="s">
        <v>27</v>
      </c>
    </row>
    <row r="1005" spans="1:8" hidden="1" x14ac:dyDescent="0.25">
      <c r="A1005" t="s">
        <v>15</v>
      </c>
      <c r="B1005" s="2">
        <v>44316</v>
      </c>
      <c r="C1005">
        <v>2021</v>
      </c>
      <c r="D1005" s="23">
        <f t="shared" si="24"/>
        <v>120</v>
      </c>
      <c r="E1005" t="s">
        <v>6</v>
      </c>
      <c r="F1005">
        <f>(SingleBerryDW!F1005/SingleBerryFW!F1005)*100</f>
        <v>17.88764406</v>
      </c>
    </row>
    <row r="1006" spans="1:8" hidden="1" x14ac:dyDescent="0.25">
      <c r="A1006" t="s">
        <v>15</v>
      </c>
      <c r="B1006" s="2">
        <v>44316</v>
      </c>
      <c r="C1006">
        <v>2021</v>
      </c>
      <c r="D1006" s="23">
        <f t="shared" si="24"/>
        <v>120</v>
      </c>
      <c r="E1006" t="s">
        <v>6</v>
      </c>
      <c r="F1006">
        <f>(SingleBerryDW!F1006/SingleBerryFW!F1006)*100</f>
        <v>17.83926323</v>
      </c>
    </row>
    <row r="1007" spans="1:8" hidden="1" x14ac:dyDescent="0.25">
      <c r="A1007" t="s">
        <v>15</v>
      </c>
      <c r="B1007" s="2">
        <v>44321</v>
      </c>
      <c r="C1007">
        <v>2021</v>
      </c>
      <c r="D1007" s="23">
        <f t="shared" si="24"/>
        <v>125</v>
      </c>
      <c r="E1007" t="s">
        <v>6</v>
      </c>
      <c r="F1007">
        <f>(SingleBerryDW!F1007/SingleBerryFW!F1007)*100</f>
        <v>18.53625375</v>
      </c>
    </row>
    <row r="1008" spans="1:8" hidden="1" x14ac:dyDescent="0.25">
      <c r="A1008" t="s">
        <v>15</v>
      </c>
      <c r="B1008" s="2">
        <v>44322</v>
      </c>
      <c r="C1008">
        <v>2021</v>
      </c>
      <c r="D1008" s="23">
        <f t="shared" si="24"/>
        <v>126</v>
      </c>
      <c r="E1008" t="s">
        <v>6</v>
      </c>
      <c r="F1008">
        <f>(SingleBerryDW!F1008/SingleBerryFW!F1008)*100</f>
        <v>17.838277249999997</v>
      </c>
    </row>
    <row r="1009" spans="1:8" hidden="1" x14ac:dyDescent="0.25">
      <c r="A1009" t="s">
        <v>15</v>
      </c>
      <c r="B1009" s="2">
        <v>44322</v>
      </c>
      <c r="C1009">
        <v>2021</v>
      </c>
      <c r="D1009" s="23">
        <f t="shared" si="24"/>
        <v>126</v>
      </c>
      <c r="E1009" t="s">
        <v>6</v>
      </c>
      <c r="F1009">
        <f>(SingleBerryDW!F1009/SingleBerryFW!F1009)*100</f>
        <v>18.04045911</v>
      </c>
    </row>
    <row r="1010" spans="1:8" hidden="1" x14ac:dyDescent="0.25">
      <c r="A1010" t="s">
        <v>15</v>
      </c>
      <c r="B1010" s="2">
        <v>44335</v>
      </c>
      <c r="C1010">
        <v>2021</v>
      </c>
      <c r="D1010" s="23">
        <f t="shared" si="24"/>
        <v>139</v>
      </c>
      <c r="E1010" t="s">
        <v>6</v>
      </c>
      <c r="F1010">
        <f>(SingleBerryDW!F1010/SingleBerryFW!F1010)*100</f>
        <v>19.368199059999995</v>
      </c>
    </row>
    <row r="1011" spans="1:8" hidden="1" x14ac:dyDescent="0.25">
      <c r="A1011" t="s">
        <v>15</v>
      </c>
      <c r="B1011" s="2">
        <v>44336</v>
      </c>
      <c r="C1011">
        <v>2021</v>
      </c>
      <c r="D1011" s="23">
        <f t="shared" si="24"/>
        <v>140</v>
      </c>
      <c r="E1011" t="s">
        <v>6</v>
      </c>
      <c r="F1011">
        <f>(SingleBerryDW!F1011/SingleBerryFW!F1011)*100</f>
        <v>18.251158749999998</v>
      </c>
    </row>
    <row r="1012" spans="1:8" hidden="1" x14ac:dyDescent="0.25">
      <c r="A1012" t="s">
        <v>15</v>
      </c>
      <c r="B1012" s="2">
        <v>44336</v>
      </c>
      <c r="C1012">
        <v>2021</v>
      </c>
      <c r="D1012" s="23">
        <f t="shared" si="24"/>
        <v>140</v>
      </c>
      <c r="E1012" t="s">
        <v>6</v>
      </c>
      <c r="F1012">
        <f>(SingleBerryDW!F1012/SingleBerryFW!F1012)*100</f>
        <v>18.661880759999999</v>
      </c>
    </row>
    <row r="1013" spans="1:8" hidden="1" x14ac:dyDescent="0.25">
      <c r="A1013" t="s">
        <v>15</v>
      </c>
      <c r="B1013" s="2">
        <v>44348</v>
      </c>
      <c r="C1013">
        <v>2021</v>
      </c>
      <c r="D1013" s="23">
        <f t="shared" si="24"/>
        <v>152</v>
      </c>
      <c r="E1013" t="s">
        <v>6</v>
      </c>
      <c r="F1013">
        <f>(SingleBerryDW!F1013/SingleBerryFW!F1013)*100</f>
        <v>18.629489569999997</v>
      </c>
    </row>
    <row r="1014" spans="1:8" hidden="1" x14ac:dyDescent="0.25">
      <c r="A1014" t="s">
        <v>15</v>
      </c>
      <c r="B1014" s="2">
        <v>44349</v>
      </c>
      <c r="C1014">
        <v>2021</v>
      </c>
      <c r="D1014" s="23">
        <f t="shared" si="24"/>
        <v>153</v>
      </c>
      <c r="E1014" t="s">
        <v>6</v>
      </c>
      <c r="F1014">
        <f>(SingleBerryDW!F1014/SingleBerryFW!F1014)*100</f>
        <v>18.968877419999998</v>
      </c>
    </row>
    <row r="1015" spans="1:8" hidden="1" x14ac:dyDescent="0.25">
      <c r="A1015" t="s">
        <v>15</v>
      </c>
      <c r="B1015" s="2">
        <v>44349</v>
      </c>
      <c r="C1015">
        <v>2021</v>
      </c>
      <c r="D1015" s="23">
        <f t="shared" si="24"/>
        <v>153</v>
      </c>
      <c r="E1015" t="s">
        <v>6</v>
      </c>
      <c r="F1015">
        <f>(SingleBerryDW!F1015/SingleBerryFW!F1015)*100</f>
        <v>18.861529709999999</v>
      </c>
    </row>
    <row r="1016" spans="1:8" hidden="1" x14ac:dyDescent="0.25">
      <c r="A1016" t="s">
        <v>20</v>
      </c>
      <c r="B1016" s="2">
        <v>44221</v>
      </c>
      <c r="C1016">
        <v>2021</v>
      </c>
      <c r="D1016" s="23">
        <f t="shared" si="24"/>
        <v>25</v>
      </c>
      <c r="E1016" t="s">
        <v>9</v>
      </c>
      <c r="F1016">
        <f>(SingleBerryDW!F1016/SingleBerryFW!F1016)*100</f>
        <v>10.189048139999999</v>
      </c>
    </row>
    <row r="1017" spans="1:8" hidden="1" x14ac:dyDescent="0.25">
      <c r="A1017" t="s">
        <v>20</v>
      </c>
      <c r="B1017" s="2">
        <v>44245</v>
      </c>
      <c r="C1017">
        <v>2021</v>
      </c>
      <c r="D1017" s="23">
        <f t="shared" si="24"/>
        <v>49</v>
      </c>
      <c r="E1017" t="s">
        <v>9</v>
      </c>
      <c r="F1017">
        <f>(SingleBerryDW!F1017/SingleBerryFW!F1017)*100</f>
        <v>13.187815029999999</v>
      </c>
    </row>
    <row r="1018" spans="1:8" hidden="1" x14ac:dyDescent="0.25">
      <c r="A1018" t="s">
        <v>20</v>
      </c>
      <c r="B1018" s="2">
        <v>44256</v>
      </c>
      <c r="C1018">
        <v>2021</v>
      </c>
      <c r="D1018" s="23">
        <f t="shared" si="24"/>
        <v>60</v>
      </c>
      <c r="E1018" t="s">
        <v>9</v>
      </c>
      <c r="F1018">
        <f>(SingleBerryDW!F1018/SingleBerryFW!F1018)*100</f>
        <v>14.327754919999999</v>
      </c>
    </row>
    <row r="1019" spans="1:8" hidden="1" x14ac:dyDescent="0.25">
      <c r="A1019" t="s">
        <v>20</v>
      </c>
      <c r="B1019" s="2">
        <v>44271</v>
      </c>
      <c r="C1019">
        <v>2021</v>
      </c>
      <c r="D1019" s="23">
        <f t="shared" si="24"/>
        <v>75</v>
      </c>
      <c r="E1019" t="s">
        <v>9</v>
      </c>
      <c r="F1019">
        <f>(SingleBerryDW!F1019/SingleBerryFW!F1019)*100</f>
        <v>14.806242410000001</v>
      </c>
    </row>
    <row r="1020" spans="1:8" hidden="1" x14ac:dyDescent="0.25">
      <c r="A1020" t="s">
        <v>20</v>
      </c>
      <c r="B1020" s="2">
        <v>44284</v>
      </c>
      <c r="C1020">
        <v>2021</v>
      </c>
      <c r="D1020" s="23">
        <f t="shared" si="24"/>
        <v>88</v>
      </c>
      <c r="E1020" t="s">
        <v>9</v>
      </c>
      <c r="F1020">
        <f>(SingleBerryDW!F1020/SingleBerryFW!F1020)*100</f>
        <v>15.547038700000002</v>
      </c>
    </row>
    <row r="1021" spans="1:8" hidden="1" x14ac:dyDescent="0.25">
      <c r="A1021" t="s">
        <v>20</v>
      </c>
      <c r="B1021" s="2">
        <v>44298</v>
      </c>
      <c r="C1021">
        <v>2021</v>
      </c>
      <c r="D1021" s="23">
        <f t="shared" si="24"/>
        <v>102</v>
      </c>
      <c r="E1021" t="s">
        <v>9</v>
      </c>
      <c r="F1021">
        <f>(SingleBerryDW!F1021/SingleBerryFW!F1021)*100</f>
        <v>15.93281812</v>
      </c>
    </row>
    <row r="1022" spans="1:8" hidden="1" x14ac:dyDescent="0.25">
      <c r="A1022" t="s">
        <v>20</v>
      </c>
      <c r="B1022" s="2">
        <v>44307</v>
      </c>
      <c r="C1022">
        <v>2021</v>
      </c>
      <c r="D1022" s="23">
        <f t="shared" si="24"/>
        <v>111</v>
      </c>
      <c r="E1022" t="s">
        <v>9</v>
      </c>
      <c r="F1022">
        <f>(SingleBerryDW!F1022/SingleBerryFW!F1022)*100</f>
        <v>15.991152989999998</v>
      </c>
    </row>
    <row r="1023" spans="1:8" hidden="1" x14ac:dyDescent="0.25">
      <c r="A1023" t="s">
        <v>20</v>
      </c>
      <c r="B1023" s="2">
        <v>44315</v>
      </c>
      <c r="C1023">
        <v>2021</v>
      </c>
      <c r="D1023" s="23">
        <f t="shared" si="24"/>
        <v>119</v>
      </c>
      <c r="E1023" t="s">
        <v>9</v>
      </c>
      <c r="F1023">
        <f>(SingleBerryDW!F1023/SingleBerryFW!F1023)*100</f>
        <v>16.40011294</v>
      </c>
    </row>
    <row r="1024" spans="1:8" hidden="1" x14ac:dyDescent="0.25">
      <c r="A1024" t="s">
        <v>20</v>
      </c>
      <c r="B1024" s="2">
        <v>44321</v>
      </c>
      <c r="C1024">
        <v>2021</v>
      </c>
      <c r="D1024" s="23">
        <f t="shared" si="24"/>
        <v>125</v>
      </c>
      <c r="E1024" t="s">
        <v>9</v>
      </c>
      <c r="F1024">
        <f>(SingleBerryDW!F1024/SingleBerryFW!F1024)*100</f>
        <v>16.644749740000002</v>
      </c>
      <c r="G1024">
        <f>Calculations!F12</f>
        <v>16.628271351538132</v>
      </c>
      <c r="H1024" t="s">
        <v>27</v>
      </c>
    </row>
    <row r="1025" spans="1:6" hidden="1" x14ac:dyDescent="0.25">
      <c r="A1025" t="s">
        <v>20</v>
      </c>
      <c r="B1025" s="2">
        <v>44333</v>
      </c>
      <c r="C1025">
        <v>2021</v>
      </c>
      <c r="D1025" s="23">
        <f t="shared" si="24"/>
        <v>137</v>
      </c>
      <c r="E1025" t="s">
        <v>9</v>
      </c>
      <c r="F1025">
        <f>(SingleBerryDW!F1025/SingleBerryFW!F1025)*100</f>
        <v>17.180538370000001</v>
      </c>
    </row>
    <row r="1026" spans="1:6" hidden="1" x14ac:dyDescent="0.25">
      <c r="A1026" t="s">
        <v>20</v>
      </c>
      <c r="B1026" s="2">
        <v>44347</v>
      </c>
      <c r="C1026">
        <v>2021</v>
      </c>
      <c r="D1026" s="23">
        <f t="shared" si="24"/>
        <v>151</v>
      </c>
      <c r="E1026" t="s">
        <v>9</v>
      </c>
      <c r="F1026">
        <f>(SingleBerryDW!F1026/SingleBerryFW!F1026)*100</f>
        <v>17.54431529</v>
      </c>
    </row>
    <row r="1027" spans="1:6" hidden="1" x14ac:dyDescent="0.25">
      <c r="A1027" t="s">
        <v>16</v>
      </c>
      <c r="B1027" s="2">
        <v>44603</v>
      </c>
      <c r="C1027">
        <v>2022</v>
      </c>
      <c r="D1027" s="23">
        <f t="shared" si="24"/>
        <v>42</v>
      </c>
      <c r="E1027" t="s">
        <v>6</v>
      </c>
      <c r="F1027">
        <f>(SingleBerryDW!F1027/SingleBerryFW!F1027)*100</f>
        <v>11.399999999999999</v>
      </c>
    </row>
    <row r="1028" spans="1:6" hidden="1" x14ac:dyDescent="0.25">
      <c r="A1028" t="s">
        <v>16</v>
      </c>
      <c r="B1028" s="2">
        <v>44608</v>
      </c>
      <c r="C1028">
        <v>2022</v>
      </c>
      <c r="D1028" s="23">
        <f t="shared" ref="D1028:D1091" si="25">B1028-DATE(YEAR(B1028),1,0)</f>
        <v>47</v>
      </c>
      <c r="E1028" t="s">
        <v>6</v>
      </c>
      <c r="F1028">
        <f>(SingleBerryDW!F1028/SingleBerryFW!F1028)*100</f>
        <v>13.4</v>
      </c>
    </row>
    <row r="1029" spans="1:6" hidden="1" x14ac:dyDescent="0.25">
      <c r="A1029" t="s">
        <v>16</v>
      </c>
      <c r="B1029" s="2">
        <v>44622</v>
      </c>
      <c r="C1029">
        <v>2022</v>
      </c>
      <c r="D1029" s="23">
        <f t="shared" si="25"/>
        <v>61</v>
      </c>
      <c r="E1029" t="s">
        <v>6</v>
      </c>
      <c r="F1029">
        <f>(SingleBerryDW!F1029/SingleBerryFW!F1029)*100</f>
        <v>11.699999999999998</v>
      </c>
    </row>
    <row r="1030" spans="1:6" hidden="1" x14ac:dyDescent="0.25">
      <c r="A1030" t="s">
        <v>16</v>
      </c>
      <c r="B1030" s="2">
        <v>44636</v>
      </c>
      <c r="C1030">
        <v>2022</v>
      </c>
      <c r="D1030" s="23">
        <f t="shared" si="25"/>
        <v>75</v>
      </c>
      <c r="E1030" t="s">
        <v>6</v>
      </c>
      <c r="F1030">
        <f>(SingleBerryDW!F1030/SingleBerryFW!F1030)*100</f>
        <v>12.4</v>
      </c>
    </row>
    <row r="1031" spans="1:6" hidden="1" x14ac:dyDescent="0.25">
      <c r="A1031" t="s">
        <v>16</v>
      </c>
      <c r="B1031" s="2">
        <v>44650</v>
      </c>
      <c r="C1031">
        <v>2022</v>
      </c>
      <c r="D1031" s="23">
        <f t="shared" si="25"/>
        <v>89</v>
      </c>
      <c r="E1031" t="s">
        <v>6</v>
      </c>
      <c r="F1031">
        <f>(SingleBerryDW!F1031/SingleBerryFW!F1031)*100</f>
        <v>15.100000000000001</v>
      </c>
    </row>
    <row r="1032" spans="1:6" hidden="1" x14ac:dyDescent="0.25">
      <c r="A1032" t="s">
        <v>16</v>
      </c>
      <c r="B1032" s="2">
        <v>44664</v>
      </c>
      <c r="C1032">
        <v>2022</v>
      </c>
      <c r="D1032" s="23">
        <f t="shared" si="25"/>
        <v>103</v>
      </c>
      <c r="E1032" t="s">
        <v>6</v>
      </c>
      <c r="F1032">
        <f>(SingleBerryDW!F1032/SingleBerryFW!F1032)*100</f>
        <v>15.2</v>
      </c>
    </row>
    <row r="1033" spans="1:6" hidden="1" x14ac:dyDescent="0.25">
      <c r="A1033" t="s">
        <v>16</v>
      </c>
      <c r="B1033" s="2">
        <v>44672</v>
      </c>
      <c r="C1033">
        <v>2022</v>
      </c>
      <c r="D1033" s="23">
        <f t="shared" si="25"/>
        <v>111</v>
      </c>
      <c r="E1033" t="s">
        <v>6</v>
      </c>
      <c r="F1033">
        <f>(SingleBerryDW!F1033/SingleBerryFW!F1033)*100</f>
        <v>16</v>
      </c>
    </row>
    <row r="1034" spans="1:6" hidden="1" x14ac:dyDescent="0.25">
      <c r="A1034" t="s">
        <v>16</v>
      </c>
      <c r="B1034" s="2">
        <v>44680</v>
      </c>
      <c r="C1034">
        <v>2022</v>
      </c>
      <c r="D1034" s="23">
        <f t="shared" si="25"/>
        <v>119</v>
      </c>
      <c r="E1034" t="s">
        <v>6</v>
      </c>
      <c r="F1034">
        <f>(SingleBerryDW!F1034/SingleBerryFW!F1034)*100</f>
        <v>16.100000000000001</v>
      </c>
    </row>
    <row r="1035" spans="1:6" s="7" customFormat="1" hidden="1" x14ac:dyDescent="0.25">
      <c r="A1035" s="7" t="s">
        <v>16</v>
      </c>
      <c r="B1035" s="6">
        <v>44685</v>
      </c>
      <c r="C1035" s="7">
        <v>2022</v>
      </c>
      <c r="D1035" s="23">
        <f t="shared" si="25"/>
        <v>124</v>
      </c>
      <c r="E1035" s="7" t="s">
        <v>6</v>
      </c>
      <c r="F1035" s="7">
        <f>(SingleBerryDW!F1035/SingleBerryFW!F1035)*100</f>
        <v>15.8</v>
      </c>
    </row>
    <row r="1036" spans="1:6" hidden="1" x14ac:dyDescent="0.25">
      <c r="A1036" t="s">
        <v>16</v>
      </c>
      <c r="B1036" s="2">
        <v>44699</v>
      </c>
      <c r="C1036">
        <v>2022</v>
      </c>
      <c r="D1036" s="23">
        <f t="shared" si="25"/>
        <v>138</v>
      </c>
      <c r="E1036" t="s">
        <v>6</v>
      </c>
      <c r="F1036">
        <f>(SingleBerryDW!F1036/SingleBerryFW!F1036)*100</f>
        <v>15.5</v>
      </c>
    </row>
    <row r="1037" spans="1:6" hidden="1" x14ac:dyDescent="0.25">
      <c r="A1037" t="s">
        <v>16</v>
      </c>
      <c r="B1037" s="2">
        <v>44713</v>
      </c>
      <c r="C1037">
        <v>2022</v>
      </c>
      <c r="D1037" s="23">
        <f t="shared" si="25"/>
        <v>152</v>
      </c>
      <c r="E1037" t="s">
        <v>6</v>
      </c>
      <c r="F1037">
        <f>(SingleBerryDW!F1037/SingleBerryFW!F1037)*100</f>
        <v>16.3</v>
      </c>
    </row>
    <row r="1038" spans="1:6" hidden="1" x14ac:dyDescent="0.25">
      <c r="A1038" t="s">
        <v>16</v>
      </c>
      <c r="B1038" s="2">
        <v>44595</v>
      </c>
      <c r="C1038">
        <v>2022</v>
      </c>
      <c r="D1038" s="23">
        <f t="shared" si="25"/>
        <v>34</v>
      </c>
      <c r="E1038" t="s">
        <v>6</v>
      </c>
      <c r="F1038">
        <f>(SingleBerryDW!F1038/SingleBerryFW!F1038)*100</f>
        <v>11.6</v>
      </c>
    </row>
    <row r="1039" spans="1:6" hidden="1" x14ac:dyDescent="0.25">
      <c r="A1039" t="s">
        <v>16</v>
      </c>
      <c r="B1039" s="2">
        <v>44608</v>
      </c>
      <c r="C1039">
        <v>2022</v>
      </c>
      <c r="D1039" s="23">
        <f t="shared" si="25"/>
        <v>47</v>
      </c>
      <c r="E1039" t="s">
        <v>6</v>
      </c>
      <c r="F1039">
        <f>(SingleBerryDW!F1039/SingleBerryFW!F1039)*100</f>
        <v>13.200000000000001</v>
      </c>
    </row>
    <row r="1040" spans="1:6" hidden="1" x14ac:dyDescent="0.25">
      <c r="A1040" t="s">
        <v>16</v>
      </c>
      <c r="B1040" s="2">
        <v>44622</v>
      </c>
      <c r="C1040">
        <v>2022</v>
      </c>
      <c r="D1040" s="23">
        <f t="shared" si="25"/>
        <v>61</v>
      </c>
      <c r="E1040" t="s">
        <v>6</v>
      </c>
      <c r="F1040">
        <f>(SingleBerryDW!F1040/SingleBerryFW!F1040)*100</f>
        <v>13.3</v>
      </c>
    </row>
    <row r="1041" spans="1:6" hidden="1" x14ac:dyDescent="0.25">
      <c r="A1041" t="s">
        <v>16</v>
      </c>
      <c r="B1041" s="2">
        <v>44636</v>
      </c>
      <c r="C1041">
        <v>2022</v>
      </c>
      <c r="D1041" s="23">
        <f t="shared" si="25"/>
        <v>75</v>
      </c>
      <c r="E1041" t="s">
        <v>6</v>
      </c>
      <c r="F1041">
        <f>(SingleBerryDW!F1041/SingleBerryFW!F1041)*100</f>
        <v>14.399999999999999</v>
      </c>
    </row>
    <row r="1042" spans="1:6" hidden="1" x14ac:dyDescent="0.25">
      <c r="A1042" t="s">
        <v>16</v>
      </c>
      <c r="B1042" s="2">
        <v>44650</v>
      </c>
      <c r="C1042">
        <v>2022</v>
      </c>
      <c r="D1042" s="23">
        <f t="shared" si="25"/>
        <v>89</v>
      </c>
      <c r="E1042" t="s">
        <v>6</v>
      </c>
      <c r="F1042">
        <f>(SingleBerryDW!F1042/SingleBerryFW!F1042)*100</f>
        <v>16.799999999999997</v>
      </c>
    </row>
    <row r="1043" spans="1:6" hidden="1" x14ac:dyDescent="0.25">
      <c r="A1043" t="s">
        <v>16</v>
      </c>
      <c r="B1043" s="2">
        <v>44664</v>
      </c>
      <c r="C1043">
        <v>2022</v>
      </c>
      <c r="D1043" s="23">
        <f t="shared" si="25"/>
        <v>103</v>
      </c>
      <c r="E1043" t="s">
        <v>6</v>
      </c>
      <c r="F1043">
        <f>(SingleBerryDW!F1043/SingleBerryFW!F1043)*100</f>
        <v>17.100000000000001</v>
      </c>
    </row>
    <row r="1044" spans="1:6" hidden="1" x14ac:dyDescent="0.25">
      <c r="A1044" t="s">
        <v>16</v>
      </c>
      <c r="B1044" s="2">
        <v>44672</v>
      </c>
      <c r="C1044">
        <v>2022</v>
      </c>
      <c r="D1044" s="23">
        <f t="shared" si="25"/>
        <v>111</v>
      </c>
      <c r="E1044" t="s">
        <v>6</v>
      </c>
      <c r="F1044">
        <f>(SingleBerryDW!F1044/SingleBerryFW!F1044)*100</f>
        <v>17.600000000000001</v>
      </c>
    </row>
    <row r="1045" spans="1:6" hidden="1" x14ac:dyDescent="0.25">
      <c r="A1045" t="s">
        <v>16</v>
      </c>
      <c r="B1045" s="2">
        <v>44680</v>
      </c>
      <c r="C1045">
        <v>2022</v>
      </c>
      <c r="D1045" s="23">
        <f t="shared" si="25"/>
        <v>119</v>
      </c>
      <c r="E1045" t="s">
        <v>6</v>
      </c>
      <c r="F1045">
        <f>(SingleBerryDW!F1045/SingleBerryFW!F1045)*100</f>
        <v>18</v>
      </c>
    </row>
    <row r="1046" spans="1:6" s="7" customFormat="1" hidden="1" x14ac:dyDescent="0.25">
      <c r="A1046" s="7" t="s">
        <v>16</v>
      </c>
      <c r="B1046" s="6">
        <v>44685</v>
      </c>
      <c r="C1046" s="7">
        <v>2022</v>
      </c>
      <c r="D1046" s="23">
        <f t="shared" si="25"/>
        <v>124</v>
      </c>
      <c r="E1046" s="7" t="s">
        <v>6</v>
      </c>
      <c r="F1046" s="7">
        <f>(SingleBerryDW!F1046/SingleBerryFW!F1046)*100</f>
        <v>18.3</v>
      </c>
    </row>
    <row r="1047" spans="1:6" hidden="1" x14ac:dyDescent="0.25">
      <c r="A1047" t="s">
        <v>16</v>
      </c>
      <c r="B1047" s="2">
        <v>44699</v>
      </c>
      <c r="C1047">
        <v>2022</v>
      </c>
      <c r="D1047" s="23">
        <f t="shared" si="25"/>
        <v>138</v>
      </c>
      <c r="E1047" t="s">
        <v>6</v>
      </c>
      <c r="F1047">
        <f>(SingleBerryDW!F1047/SingleBerryFW!F1047)*100</f>
        <v>18.7</v>
      </c>
    </row>
    <row r="1048" spans="1:6" hidden="1" x14ac:dyDescent="0.25">
      <c r="A1048" t="s">
        <v>16</v>
      </c>
      <c r="B1048" s="2">
        <v>44713</v>
      </c>
      <c r="C1048">
        <v>2022</v>
      </c>
      <c r="D1048" s="23">
        <f t="shared" si="25"/>
        <v>152</v>
      </c>
      <c r="E1048" t="s">
        <v>6</v>
      </c>
      <c r="F1048">
        <f>(SingleBerryDW!F1048/SingleBerryFW!F1048)*100</f>
        <v>17.899999999999995</v>
      </c>
    </row>
    <row r="1049" spans="1:6" hidden="1" x14ac:dyDescent="0.25">
      <c r="A1049" t="s">
        <v>16</v>
      </c>
      <c r="B1049" s="2">
        <v>44595</v>
      </c>
      <c r="C1049">
        <v>2022</v>
      </c>
      <c r="D1049" s="23">
        <f t="shared" si="25"/>
        <v>34</v>
      </c>
      <c r="E1049" t="s">
        <v>6</v>
      </c>
      <c r="F1049">
        <f>(SingleBerryDW!F1049/SingleBerryFW!F1049)*100</f>
        <v>10.199999999999999</v>
      </c>
    </row>
    <row r="1050" spans="1:6" hidden="1" x14ac:dyDescent="0.25">
      <c r="A1050" t="s">
        <v>16</v>
      </c>
      <c r="B1050" s="2">
        <v>44608</v>
      </c>
      <c r="C1050">
        <v>2022</v>
      </c>
      <c r="D1050" s="23">
        <f t="shared" si="25"/>
        <v>47</v>
      </c>
      <c r="E1050" t="s">
        <v>6</v>
      </c>
      <c r="F1050">
        <f>(SingleBerryDW!F1050/SingleBerryFW!F1050)*100</f>
        <v>12.9</v>
      </c>
    </row>
    <row r="1051" spans="1:6" hidden="1" x14ac:dyDescent="0.25">
      <c r="A1051" t="s">
        <v>16</v>
      </c>
      <c r="B1051" s="2">
        <v>44622</v>
      </c>
      <c r="C1051">
        <v>2022</v>
      </c>
      <c r="D1051" s="23">
        <f t="shared" si="25"/>
        <v>61</v>
      </c>
      <c r="E1051" t="s">
        <v>6</v>
      </c>
      <c r="F1051">
        <f>(SingleBerryDW!F1051/SingleBerryFW!F1051)*100</f>
        <v>14.200000000000001</v>
      </c>
    </row>
    <row r="1052" spans="1:6" hidden="1" x14ac:dyDescent="0.25">
      <c r="A1052" t="s">
        <v>16</v>
      </c>
      <c r="B1052" s="2">
        <v>44636</v>
      </c>
      <c r="C1052">
        <v>2022</v>
      </c>
      <c r="D1052" s="23">
        <f t="shared" si="25"/>
        <v>75</v>
      </c>
      <c r="E1052" t="s">
        <v>6</v>
      </c>
      <c r="F1052">
        <f>(SingleBerryDW!F1052/SingleBerryFW!F1052)*100</f>
        <v>16.2</v>
      </c>
    </row>
    <row r="1053" spans="1:6" hidden="1" x14ac:dyDescent="0.25">
      <c r="A1053" t="s">
        <v>16</v>
      </c>
      <c r="B1053" s="2">
        <v>44650</v>
      </c>
      <c r="C1053">
        <v>2022</v>
      </c>
      <c r="D1053" s="23">
        <f t="shared" si="25"/>
        <v>89</v>
      </c>
      <c r="E1053" t="s">
        <v>6</v>
      </c>
      <c r="F1053">
        <f>(SingleBerryDW!F1053/SingleBerryFW!F1053)*100</f>
        <v>16.100000000000001</v>
      </c>
    </row>
    <row r="1054" spans="1:6" hidden="1" x14ac:dyDescent="0.25">
      <c r="A1054" t="s">
        <v>16</v>
      </c>
      <c r="B1054" s="2">
        <v>44664</v>
      </c>
      <c r="C1054">
        <v>2022</v>
      </c>
      <c r="D1054" s="23">
        <f t="shared" si="25"/>
        <v>103</v>
      </c>
      <c r="E1054" t="s">
        <v>6</v>
      </c>
      <c r="F1054">
        <f>(SingleBerryDW!F1054/SingleBerryFW!F1054)*100</f>
        <v>16.600000000000001</v>
      </c>
    </row>
    <row r="1055" spans="1:6" hidden="1" x14ac:dyDescent="0.25">
      <c r="A1055" t="s">
        <v>16</v>
      </c>
      <c r="B1055" s="2">
        <v>44673</v>
      </c>
      <c r="C1055">
        <v>2022</v>
      </c>
      <c r="D1055" s="23">
        <f t="shared" si="25"/>
        <v>112</v>
      </c>
      <c r="E1055" t="s">
        <v>6</v>
      </c>
      <c r="F1055">
        <f>(SingleBerryDW!F1055/SingleBerryFW!F1055)*100</f>
        <v>17.5</v>
      </c>
    </row>
    <row r="1056" spans="1:6" hidden="1" x14ac:dyDescent="0.25">
      <c r="A1056" t="s">
        <v>16</v>
      </c>
      <c r="B1056" s="2">
        <v>44680</v>
      </c>
      <c r="C1056">
        <v>2022</v>
      </c>
      <c r="D1056" s="23">
        <f t="shared" si="25"/>
        <v>119</v>
      </c>
      <c r="E1056" t="s">
        <v>6</v>
      </c>
      <c r="F1056">
        <f>(SingleBerryDW!F1056/SingleBerryFW!F1056)*100</f>
        <v>17.2</v>
      </c>
    </row>
    <row r="1057" spans="1:6" s="7" customFormat="1" hidden="1" x14ac:dyDescent="0.25">
      <c r="A1057" s="7" t="s">
        <v>16</v>
      </c>
      <c r="B1057" s="6">
        <v>44685</v>
      </c>
      <c r="C1057" s="7">
        <v>2022</v>
      </c>
      <c r="D1057" s="23">
        <f t="shared" si="25"/>
        <v>124</v>
      </c>
      <c r="E1057" s="7" t="s">
        <v>6</v>
      </c>
      <c r="F1057" s="7">
        <f>(SingleBerryDW!F1057/SingleBerryFW!F1057)*100</f>
        <v>18.899999999999999</v>
      </c>
    </row>
    <row r="1058" spans="1:6" hidden="1" x14ac:dyDescent="0.25">
      <c r="A1058" t="s">
        <v>16</v>
      </c>
      <c r="B1058" s="2">
        <v>44699</v>
      </c>
      <c r="C1058">
        <v>2022</v>
      </c>
      <c r="D1058" s="23">
        <f t="shared" si="25"/>
        <v>138</v>
      </c>
      <c r="E1058" t="s">
        <v>6</v>
      </c>
      <c r="F1058">
        <f>(SingleBerryDW!F1058/SingleBerryFW!F1058)*100</f>
        <v>17.600000000000001</v>
      </c>
    </row>
    <row r="1059" spans="1:6" hidden="1" x14ac:dyDescent="0.25">
      <c r="A1059" t="s">
        <v>16</v>
      </c>
      <c r="B1059" s="2">
        <v>44713</v>
      </c>
      <c r="C1059">
        <v>2022</v>
      </c>
      <c r="D1059" s="23">
        <f t="shared" si="25"/>
        <v>152</v>
      </c>
      <c r="E1059" t="s">
        <v>6</v>
      </c>
      <c r="F1059">
        <f>(SingleBerryDW!F1059/SingleBerryFW!F1059)*100</f>
        <v>17.899999999999999</v>
      </c>
    </row>
    <row r="1060" spans="1:6" hidden="1" x14ac:dyDescent="0.25">
      <c r="A1060" t="s">
        <v>16</v>
      </c>
      <c r="B1060" s="2">
        <v>44595</v>
      </c>
      <c r="C1060">
        <v>2022</v>
      </c>
      <c r="D1060" s="23">
        <f t="shared" si="25"/>
        <v>34</v>
      </c>
      <c r="E1060" t="s">
        <v>6</v>
      </c>
      <c r="F1060">
        <f>(SingleBerryDW!F1060/SingleBerryFW!F1060)*100</f>
        <v>10</v>
      </c>
    </row>
    <row r="1061" spans="1:6" hidden="1" x14ac:dyDescent="0.25">
      <c r="A1061" t="s">
        <v>16</v>
      </c>
      <c r="B1061" s="2">
        <v>44608</v>
      </c>
      <c r="C1061">
        <v>2022</v>
      </c>
      <c r="D1061" s="23">
        <f t="shared" si="25"/>
        <v>47</v>
      </c>
      <c r="E1061" t="s">
        <v>6</v>
      </c>
      <c r="F1061">
        <f>(SingleBerryDW!F1061/SingleBerryFW!F1061)*100</f>
        <v>12.2</v>
      </c>
    </row>
    <row r="1062" spans="1:6" hidden="1" x14ac:dyDescent="0.25">
      <c r="A1062" t="s">
        <v>16</v>
      </c>
      <c r="B1062" s="2">
        <v>44622</v>
      </c>
      <c r="C1062">
        <v>2022</v>
      </c>
      <c r="D1062" s="23">
        <f t="shared" si="25"/>
        <v>61</v>
      </c>
      <c r="E1062" t="s">
        <v>6</v>
      </c>
      <c r="F1062">
        <f>(SingleBerryDW!F1062/SingleBerryFW!F1062)*100</f>
        <v>14.099999999999998</v>
      </c>
    </row>
    <row r="1063" spans="1:6" hidden="1" x14ac:dyDescent="0.25">
      <c r="A1063" t="s">
        <v>16</v>
      </c>
      <c r="B1063" s="2">
        <v>44636</v>
      </c>
      <c r="C1063">
        <v>2022</v>
      </c>
      <c r="D1063" s="23">
        <f t="shared" si="25"/>
        <v>75</v>
      </c>
      <c r="E1063" t="s">
        <v>6</v>
      </c>
      <c r="F1063">
        <f>(SingleBerryDW!F1063/SingleBerryFW!F1063)*100</f>
        <v>13.899999999999999</v>
      </c>
    </row>
    <row r="1064" spans="1:6" hidden="1" x14ac:dyDescent="0.25">
      <c r="A1064" t="s">
        <v>16</v>
      </c>
      <c r="B1064" s="2">
        <v>44650</v>
      </c>
      <c r="C1064">
        <v>2022</v>
      </c>
      <c r="D1064" s="23">
        <f t="shared" si="25"/>
        <v>89</v>
      </c>
      <c r="E1064" t="s">
        <v>6</v>
      </c>
      <c r="F1064">
        <f>(SingleBerryDW!F1064/SingleBerryFW!F1064)*100</f>
        <v>17.2</v>
      </c>
    </row>
    <row r="1065" spans="1:6" hidden="1" x14ac:dyDescent="0.25">
      <c r="A1065" t="s">
        <v>16</v>
      </c>
      <c r="B1065" s="2">
        <v>44664</v>
      </c>
      <c r="C1065">
        <v>2022</v>
      </c>
      <c r="D1065" s="23">
        <f t="shared" si="25"/>
        <v>103</v>
      </c>
      <c r="E1065" t="s">
        <v>6</v>
      </c>
      <c r="F1065">
        <f>(SingleBerryDW!F1065/SingleBerryFW!F1065)*100</f>
        <v>15.6</v>
      </c>
    </row>
    <row r="1066" spans="1:6" hidden="1" x14ac:dyDescent="0.25">
      <c r="A1066" t="s">
        <v>16</v>
      </c>
      <c r="B1066" s="2">
        <v>44673</v>
      </c>
      <c r="C1066">
        <v>2022</v>
      </c>
      <c r="D1066" s="23">
        <f t="shared" si="25"/>
        <v>112</v>
      </c>
      <c r="E1066" t="s">
        <v>6</v>
      </c>
      <c r="F1066">
        <f>(SingleBerryDW!F1066/SingleBerryFW!F1066)*100</f>
        <v>15.9</v>
      </c>
    </row>
    <row r="1067" spans="1:6" hidden="1" x14ac:dyDescent="0.25">
      <c r="A1067" t="s">
        <v>16</v>
      </c>
      <c r="B1067" s="2">
        <v>44680</v>
      </c>
      <c r="C1067">
        <v>2022</v>
      </c>
      <c r="D1067" s="23">
        <f t="shared" si="25"/>
        <v>119</v>
      </c>
      <c r="E1067" t="s">
        <v>6</v>
      </c>
      <c r="F1067">
        <f>(SingleBerryDW!F1067/SingleBerryFW!F1067)*100</f>
        <v>17.599999999999998</v>
      </c>
    </row>
    <row r="1068" spans="1:6" s="7" customFormat="1" hidden="1" x14ac:dyDescent="0.25">
      <c r="A1068" s="7" t="s">
        <v>16</v>
      </c>
      <c r="B1068" s="6">
        <v>44685</v>
      </c>
      <c r="C1068" s="7">
        <v>2022</v>
      </c>
      <c r="D1068" s="23">
        <f t="shared" si="25"/>
        <v>124</v>
      </c>
      <c r="E1068" s="7" t="s">
        <v>6</v>
      </c>
      <c r="F1068" s="7">
        <f>(SingleBerryDW!F1068/SingleBerryFW!F1068)*100</f>
        <v>18.199999999999996</v>
      </c>
    </row>
    <row r="1069" spans="1:6" hidden="1" x14ac:dyDescent="0.25">
      <c r="A1069" t="s">
        <v>16</v>
      </c>
      <c r="B1069" s="2">
        <v>44699</v>
      </c>
      <c r="C1069">
        <v>2022</v>
      </c>
      <c r="D1069" s="23">
        <f t="shared" si="25"/>
        <v>138</v>
      </c>
      <c r="E1069" t="s">
        <v>6</v>
      </c>
      <c r="F1069">
        <f>(SingleBerryDW!F1069/SingleBerryFW!F1069)*100</f>
        <v>17.7</v>
      </c>
    </row>
    <row r="1070" spans="1:6" hidden="1" x14ac:dyDescent="0.25">
      <c r="A1070" t="s">
        <v>16</v>
      </c>
      <c r="B1070" s="2">
        <v>44713</v>
      </c>
      <c r="C1070">
        <v>2022</v>
      </c>
      <c r="D1070" s="23">
        <f t="shared" si="25"/>
        <v>152</v>
      </c>
      <c r="E1070" t="s">
        <v>6</v>
      </c>
      <c r="F1070">
        <f>(SingleBerryDW!F1070/SingleBerryFW!F1070)*100</f>
        <v>18.100000000000001</v>
      </c>
    </row>
    <row r="1071" spans="1:6" hidden="1" x14ac:dyDescent="0.25">
      <c r="A1071" t="s">
        <v>16</v>
      </c>
      <c r="B1071" s="2">
        <v>44595</v>
      </c>
      <c r="C1071">
        <v>2022</v>
      </c>
      <c r="D1071" s="23">
        <f t="shared" si="25"/>
        <v>34</v>
      </c>
      <c r="E1071" t="s">
        <v>6</v>
      </c>
      <c r="F1071">
        <f>(SingleBerryDW!F1071/SingleBerryFW!F1071)*100</f>
        <v>9.7000000000000011</v>
      </c>
    </row>
    <row r="1072" spans="1:6" hidden="1" x14ac:dyDescent="0.25">
      <c r="A1072" t="s">
        <v>16</v>
      </c>
      <c r="B1072" s="2">
        <v>44608</v>
      </c>
      <c r="C1072">
        <v>2022</v>
      </c>
      <c r="D1072" s="23">
        <f t="shared" si="25"/>
        <v>47</v>
      </c>
      <c r="E1072" t="s">
        <v>6</v>
      </c>
      <c r="F1072">
        <f>(SingleBerryDW!F1072/SingleBerryFW!F1072)*100</f>
        <v>11.4</v>
      </c>
    </row>
    <row r="1073" spans="1:8" hidden="1" x14ac:dyDescent="0.25">
      <c r="A1073" t="s">
        <v>16</v>
      </c>
      <c r="B1073" s="2">
        <v>44622</v>
      </c>
      <c r="C1073">
        <v>2022</v>
      </c>
      <c r="D1073" s="23">
        <f t="shared" si="25"/>
        <v>61</v>
      </c>
      <c r="E1073" t="s">
        <v>6</v>
      </c>
      <c r="F1073">
        <f>(SingleBerryDW!F1073/SingleBerryFW!F1073)*100</f>
        <v>12.8</v>
      </c>
    </row>
    <row r="1074" spans="1:8" hidden="1" x14ac:dyDescent="0.25">
      <c r="A1074" t="s">
        <v>16</v>
      </c>
      <c r="B1074" s="2">
        <v>44636</v>
      </c>
      <c r="C1074">
        <v>2022</v>
      </c>
      <c r="D1074" s="23">
        <f t="shared" si="25"/>
        <v>75</v>
      </c>
      <c r="E1074" t="s">
        <v>6</v>
      </c>
      <c r="F1074">
        <f>(SingleBerryDW!F1074/SingleBerryFW!F1074)*100</f>
        <v>12.099999999999998</v>
      </c>
    </row>
    <row r="1075" spans="1:8" hidden="1" x14ac:dyDescent="0.25">
      <c r="A1075" t="s">
        <v>16</v>
      </c>
      <c r="B1075" s="2">
        <v>44650</v>
      </c>
      <c r="C1075">
        <v>2022</v>
      </c>
      <c r="D1075" s="23">
        <f t="shared" si="25"/>
        <v>89</v>
      </c>
      <c r="E1075" t="s">
        <v>6</v>
      </c>
      <c r="F1075">
        <f>(SingleBerryDW!F1075/SingleBerryFW!F1075)*100</f>
        <v>14.6</v>
      </c>
    </row>
    <row r="1076" spans="1:8" hidden="1" x14ac:dyDescent="0.25">
      <c r="A1076" t="s">
        <v>16</v>
      </c>
      <c r="B1076" s="2">
        <v>44664</v>
      </c>
      <c r="C1076">
        <v>2022</v>
      </c>
      <c r="D1076" s="23">
        <f t="shared" si="25"/>
        <v>103</v>
      </c>
      <c r="E1076" t="s">
        <v>6</v>
      </c>
      <c r="F1076">
        <f>(SingleBerryDW!F1076/SingleBerryFW!F1076)*100</f>
        <v>14.400000000000002</v>
      </c>
    </row>
    <row r="1077" spans="1:8" hidden="1" x14ac:dyDescent="0.25">
      <c r="A1077" t="s">
        <v>16</v>
      </c>
      <c r="B1077" s="2">
        <v>44672</v>
      </c>
      <c r="C1077">
        <v>2022</v>
      </c>
      <c r="D1077" s="23">
        <f t="shared" si="25"/>
        <v>111</v>
      </c>
      <c r="E1077" t="s">
        <v>6</v>
      </c>
      <c r="F1077">
        <f>(SingleBerryDW!F1077/SingleBerryFW!F1077)*100</f>
        <v>14.799999999999999</v>
      </c>
    </row>
    <row r="1078" spans="1:8" hidden="1" x14ac:dyDescent="0.25">
      <c r="A1078" t="s">
        <v>16</v>
      </c>
      <c r="B1078" s="2">
        <v>44680</v>
      </c>
      <c r="C1078">
        <v>2022</v>
      </c>
      <c r="D1078" s="23">
        <f t="shared" si="25"/>
        <v>119</v>
      </c>
      <c r="E1078" t="s">
        <v>6</v>
      </c>
      <c r="F1078">
        <f>(SingleBerryDW!F1078/SingleBerryFW!F1078)*100</f>
        <v>14.7</v>
      </c>
    </row>
    <row r="1079" spans="1:8" s="7" customFormat="1" hidden="1" x14ac:dyDescent="0.25">
      <c r="A1079" s="7" t="s">
        <v>16</v>
      </c>
      <c r="B1079" s="6">
        <v>44685</v>
      </c>
      <c r="C1079" s="7">
        <v>2022</v>
      </c>
      <c r="D1079" s="23">
        <f t="shared" si="25"/>
        <v>124</v>
      </c>
      <c r="E1079" s="7" t="s">
        <v>6</v>
      </c>
      <c r="F1079" s="7">
        <f>(SingleBerryDW!F1079/SingleBerryFW!F1079)*100</f>
        <v>14.6</v>
      </c>
      <c r="G1079" s="7">
        <f>Calculations!F8</f>
        <v>16.644142525179205</v>
      </c>
      <c r="H1079" s="7" t="s">
        <v>27</v>
      </c>
    </row>
    <row r="1080" spans="1:8" hidden="1" x14ac:dyDescent="0.25">
      <c r="A1080" t="s">
        <v>16</v>
      </c>
      <c r="B1080" s="2">
        <v>44699</v>
      </c>
      <c r="C1080">
        <v>2022</v>
      </c>
      <c r="D1080" s="23">
        <f t="shared" si="25"/>
        <v>138</v>
      </c>
      <c r="E1080" t="s">
        <v>6</v>
      </c>
      <c r="F1080">
        <f>(SingleBerryDW!F1080/SingleBerryFW!F1080)*100</f>
        <v>15.8</v>
      </c>
    </row>
    <row r="1081" spans="1:8" hidden="1" x14ac:dyDescent="0.25">
      <c r="A1081" t="s">
        <v>16</v>
      </c>
      <c r="B1081" s="2">
        <v>44713</v>
      </c>
      <c r="C1081">
        <v>2022</v>
      </c>
      <c r="D1081" s="23">
        <f t="shared" si="25"/>
        <v>152</v>
      </c>
      <c r="E1081" t="s">
        <v>6</v>
      </c>
      <c r="F1081">
        <f>(SingleBerryDW!F1081/SingleBerryFW!F1081)*100</f>
        <v>16</v>
      </c>
    </row>
    <row r="1082" spans="1:8" hidden="1" x14ac:dyDescent="0.25">
      <c r="A1082" t="s">
        <v>21</v>
      </c>
      <c r="B1082" s="2">
        <v>44607</v>
      </c>
      <c r="C1082">
        <v>2022</v>
      </c>
      <c r="D1082" s="23">
        <f t="shared" si="25"/>
        <v>46</v>
      </c>
      <c r="E1082" t="s">
        <v>9</v>
      </c>
      <c r="F1082">
        <f>(SingleBerryDW!F1082/SingleBerryFW!F1082)*100</f>
        <v>9.8000000000000007</v>
      </c>
    </row>
    <row r="1083" spans="1:8" hidden="1" x14ac:dyDescent="0.25">
      <c r="A1083" t="s">
        <v>21</v>
      </c>
      <c r="B1083" s="2">
        <v>44608</v>
      </c>
      <c r="C1083">
        <v>2022</v>
      </c>
      <c r="D1083" s="23">
        <f t="shared" si="25"/>
        <v>47</v>
      </c>
      <c r="E1083" t="s">
        <v>9</v>
      </c>
      <c r="F1083">
        <f>(SingleBerryDW!F1083/SingleBerryFW!F1083)*100</f>
        <v>12.6</v>
      </c>
    </row>
    <row r="1084" spans="1:8" hidden="1" x14ac:dyDescent="0.25">
      <c r="A1084" t="s">
        <v>21</v>
      </c>
      <c r="B1084" s="2">
        <v>44622</v>
      </c>
      <c r="C1084">
        <v>2022</v>
      </c>
      <c r="D1084" s="23">
        <f t="shared" si="25"/>
        <v>61</v>
      </c>
      <c r="E1084" t="s">
        <v>9</v>
      </c>
      <c r="F1084">
        <f>(SingleBerryDW!F1084/SingleBerryFW!F1084)*100</f>
        <v>14.7</v>
      </c>
    </row>
    <row r="1085" spans="1:8" hidden="1" x14ac:dyDescent="0.25">
      <c r="A1085" t="s">
        <v>21</v>
      </c>
      <c r="B1085" s="2">
        <v>44622</v>
      </c>
      <c r="C1085">
        <v>2022</v>
      </c>
      <c r="D1085" s="23">
        <f t="shared" si="25"/>
        <v>61</v>
      </c>
      <c r="E1085" t="s">
        <v>9</v>
      </c>
      <c r="F1085">
        <f>(SingleBerryDW!F1085/SingleBerryFW!F1085)*100</f>
        <v>16.100000000000001</v>
      </c>
    </row>
    <row r="1086" spans="1:8" hidden="1" x14ac:dyDescent="0.25">
      <c r="A1086" t="s">
        <v>21</v>
      </c>
      <c r="B1086" s="2">
        <v>44635</v>
      </c>
      <c r="C1086">
        <v>2022</v>
      </c>
      <c r="D1086" s="23">
        <f t="shared" si="25"/>
        <v>74</v>
      </c>
      <c r="E1086" t="s">
        <v>9</v>
      </c>
      <c r="F1086">
        <f>(SingleBerryDW!F1086/SingleBerryFW!F1086)*100</f>
        <v>15.299999999999999</v>
      </c>
    </row>
    <row r="1087" spans="1:8" hidden="1" x14ac:dyDescent="0.25">
      <c r="A1087" t="s">
        <v>21</v>
      </c>
      <c r="B1087" s="2">
        <v>44662</v>
      </c>
      <c r="C1087">
        <v>2022</v>
      </c>
      <c r="D1087" s="23">
        <f t="shared" si="25"/>
        <v>101</v>
      </c>
      <c r="E1087" t="s">
        <v>9</v>
      </c>
      <c r="F1087">
        <f>(SingleBerryDW!F1087/SingleBerryFW!F1087)*100</f>
        <v>16.899999999999999</v>
      </c>
    </row>
    <row r="1088" spans="1:8" hidden="1" x14ac:dyDescent="0.25">
      <c r="A1088" t="s">
        <v>21</v>
      </c>
      <c r="B1088" s="2">
        <v>44669</v>
      </c>
      <c r="C1088">
        <v>2022</v>
      </c>
      <c r="D1088" s="23">
        <f t="shared" si="25"/>
        <v>108</v>
      </c>
      <c r="E1088" t="s">
        <v>9</v>
      </c>
      <c r="F1088">
        <f>(SingleBerryDW!F1088/SingleBerryFW!F1088)*100</f>
        <v>16.899999999999999</v>
      </c>
    </row>
    <row r="1089" spans="1:8" hidden="1" x14ac:dyDescent="0.25">
      <c r="A1089" t="s">
        <v>21</v>
      </c>
      <c r="B1089" s="2">
        <v>44677</v>
      </c>
      <c r="C1089">
        <v>2022</v>
      </c>
      <c r="D1089" s="23">
        <f t="shared" si="25"/>
        <v>116</v>
      </c>
      <c r="E1089" t="s">
        <v>9</v>
      </c>
      <c r="F1089">
        <f>(SingleBerryDW!F1089/SingleBerryFW!F1089)*100</f>
        <v>16.899999999999995</v>
      </c>
    </row>
    <row r="1090" spans="1:8" hidden="1" x14ac:dyDescent="0.25">
      <c r="A1090" t="s">
        <v>21</v>
      </c>
      <c r="B1090" s="2">
        <v>44683</v>
      </c>
      <c r="C1090">
        <v>2022</v>
      </c>
      <c r="D1090" s="23">
        <f t="shared" si="25"/>
        <v>122</v>
      </c>
      <c r="E1090" t="s">
        <v>9</v>
      </c>
      <c r="F1090">
        <f>(SingleBerryDW!F1090/SingleBerryFW!F1090)*100</f>
        <v>17.7</v>
      </c>
    </row>
    <row r="1091" spans="1:8" hidden="1" x14ac:dyDescent="0.25">
      <c r="A1091" t="s">
        <v>21</v>
      </c>
      <c r="B1091" s="2">
        <v>44697</v>
      </c>
      <c r="C1091">
        <v>2022</v>
      </c>
      <c r="D1091" s="23">
        <f t="shared" si="25"/>
        <v>136</v>
      </c>
      <c r="E1091" t="s">
        <v>9</v>
      </c>
      <c r="F1091">
        <f>(SingleBerryDW!F1091/SingleBerryFW!F1091)*100</f>
        <v>18.000000000000004</v>
      </c>
      <c r="G1091">
        <f>Calculations!F13</f>
        <v>17.597754213131992</v>
      </c>
      <c r="H1091" t="s">
        <v>27</v>
      </c>
    </row>
    <row r="1092" spans="1:8" hidden="1" x14ac:dyDescent="0.25">
      <c r="A1092" t="s">
        <v>21</v>
      </c>
      <c r="B1092" s="2">
        <v>44711</v>
      </c>
      <c r="C1092">
        <v>2022</v>
      </c>
      <c r="D1092" s="23">
        <f t="shared" ref="D1092:D1147" si="26">B1092-DATE(YEAR(B1092),1,0)</f>
        <v>150</v>
      </c>
      <c r="E1092" t="s">
        <v>9</v>
      </c>
      <c r="F1092">
        <f>(SingleBerryDW!F1092/SingleBerryFW!F1092)*100</f>
        <v>18.3</v>
      </c>
    </row>
    <row r="1093" spans="1:8" hidden="1" x14ac:dyDescent="0.25">
      <c r="A1093" t="s">
        <v>17</v>
      </c>
      <c r="B1093" s="2">
        <v>44952</v>
      </c>
      <c r="C1093">
        <v>2023</v>
      </c>
      <c r="D1093" s="23">
        <f t="shared" si="26"/>
        <v>26</v>
      </c>
      <c r="E1093" t="s">
        <v>6</v>
      </c>
      <c r="F1093">
        <f>(SingleBerryDW!F1093/SingleBerryFW!F1093)*100</f>
        <v>9.4</v>
      </c>
    </row>
    <row r="1094" spans="1:8" hidden="1" x14ac:dyDescent="0.25">
      <c r="A1094" t="s">
        <v>17</v>
      </c>
      <c r="B1094" s="2">
        <v>44973</v>
      </c>
      <c r="C1094">
        <v>2023</v>
      </c>
      <c r="D1094" s="23">
        <f t="shared" si="26"/>
        <v>47</v>
      </c>
      <c r="E1094" t="s">
        <v>6</v>
      </c>
      <c r="F1094">
        <f>(SingleBerryDW!F1094/SingleBerryFW!F1094)*100</f>
        <v>12.5</v>
      </c>
    </row>
    <row r="1095" spans="1:8" hidden="1" x14ac:dyDescent="0.25">
      <c r="A1095" t="s">
        <v>17</v>
      </c>
      <c r="B1095" s="2">
        <v>44984</v>
      </c>
      <c r="C1095">
        <v>2023</v>
      </c>
      <c r="D1095" s="23">
        <f t="shared" si="26"/>
        <v>58</v>
      </c>
      <c r="E1095" t="s">
        <v>6</v>
      </c>
      <c r="F1095">
        <f>(SingleBerryDW!F1095/SingleBerryFW!F1095)*100</f>
        <v>14.099999999999998</v>
      </c>
    </row>
    <row r="1096" spans="1:8" hidden="1" x14ac:dyDescent="0.25">
      <c r="A1096" t="s">
        <v>17</v>
      </c>
      <c r="B1096" s="2">
        <v>45000</v>
      </c>
      <c r="C1096">
        <v>2023</v>
      </c>
      <c r="D1096" s="23">
        <f t="shared" si="26"/>
        <v>74</v>
      </c>
      <c r="E1096" t="s">
        <v>6</v>
      </c>
      <c r="F1096">
        <f>(SingleBerryDW!F1096/SingleBerryFW!F1096)*100</f>
        <v>15</v>
      </c>
    </row>
    <row r="1097" spans="1:8" hidden="1" x14ac:dyDescent="0.25">
      <c r="A1097" t="s">
        <v>17</v>
      </c>
      <c r="B1097" s="2">
        <v>45015</v>
      </c>
      <c r="C1097">
        <v>2023</v>
      </c>
      <c r="D1097" s="23">
        <f t="shared" si="26"/>
        <v>89</v>
      </c>
      <c r="E1097" t="s">
        <v>6</v>
      </c>
      <c r="F1097">
        <f>(SingleBerryDW!F1097/SingleBerryFW!F1097)*100</f>
        <v>15.5</v>
      </c>
    </row>
    <row r="1098" spans="1:8" hidden="1" x14ac:dyDescent="0.25">
      <c r="A1098" t="s">
        <v>17</v>
      </c>
      <c r="B1098" s="2">
        <v>45029</v>
      </c>
      <c r="C1098">
        <v>2023</v>
      </c>
      <c r="D1098" s="23">
        <f t="shared" si="26"/>
        <v>103</v>
      </c>
      <c r="E1098" t="s">
        <v>6</v>
      </c>
      <c r="F1098">
        <f>(SingleBerryDW!F1098/SingleBerryFW!F1098)*100</f>
        <v>15.7</v>
      </c>
    </row>
    <row r="1099" spans="1:8" hidden="1" x14ac:dyDescent="0.25">
      <c r="A1099" t="s">
        <v>17</v>
      </c>
      <c r="B1099" s="2">
        <v>45041</v>
      </c>
      <c r="C1099">
        <v>2023</v>
      </c>
      <c r="D1099" s="23">
        <f t="shared" si="26"/>
        <v>115</v>
      </c>
      <c r="E1099" t="s">
        <v>6</v>
      </c>
      <c r="F1099">
        <f>(SingleBerryDW!F1099/SingleBerryFW!F1099)*100</f>
        <v>16.5</v>
      </c>
    </row>
    <row r="1100" spans="1:8" hidden="1" x14ac:dyDescent="0.25">
      <c r="A1100" t="s">
        <v>17</v>
      </c>
      <c r="B1100" s="2">
        <v>45049</v>
      </c>
      <c r="C1100">
        <v>2023</v>
      </c>
      <c r="D1100" s="23">
        <f t="shared" si="26"/>
        <v>123</v>
      </c>
      <c r="E1100" t="s">
        <v>6</v>
      </c>
      <c r="F1100">
        <f>(SingleBerryDW!F1100/SingleBerryFW!F1100)*100</f>
        <v>16.400000000000002</v>
      </c>
    </row>
    <row r="1101" spans="1:8" hidden="1" x14ac:dyDescent="0.25">
      <c r="A1101" t="s">
        <v>17</v>
      </c>
      <c r="B1101" s="2">
        <v>45062</v>
      </c>
      <c r="C1101">
        <v>2023</v>
      </c>
      <c r="D1101" s="23">
        <f t="shared" si="26"/>
        <v>136</v>
      </c>
      <c r="E1101" t="s">
        <v>6</v>
      </c>
      <c r="F1101">
        <f>(SingleBerryDW!F1101/SingleBerryFW!F1101)*100</f>
        <v>16.7</v>
      </c>
    </row>
    <row r="1102" spans="1:8" hidden="1" x14ac:dyDescent="0.25">
      <c r="A1102" t="s">
        <v>17</v>
      </c>
      <c r="B1102" s="2">
        <v>45076</v>
      </c>
      <c r="C1102">
        <v>2023</v>
      </c>
      <c r="D1102" s="23">
        <f t="shared" si="26"/>
        <v>150</v>
      </c>
      <c r="E1102" t="s">
        <v>6</v>
      </c>
      <c r="F1102">
        <f>(SingleBerryDW!F1102/SingleBerryFW!F1102)*100</f>
        <v>17</v>
      </c>
    </row>
    <row r="1103" spans="1:8" hidden="1" x14ac:dyDescent="0.25">
      <c r="A1103" t="s">
        <v>17</v>
      </c>
      <c r="B1103" s="2">
        <v>45083</v>
      </c>
      <c r="C1103">
        <v>2023</v>
      </c>
      <c r="D1103" s="23">
        <f t="shared" si="26"/>
        <v>157</v>
      </c>
      <c r="E1103" t="s">
        <v>6</v>
      </c>
      <c r="F1103">
        <f>(SingleBerryDW!F1103/SingleBerryFW!F1103)*100</f>
        <v>17.100000000000001</v>
      </c>
    </row>
    <row r="1104" spans="1:8" hidden="1" x14ac:dyDescent="0.25">
      <c r="A1104" t="s">
        <v>17</v>
      </c>
      <c r="B1104" s="2">
        <v>44952</v>
      </c>
      <c r="C1104">
        <v>2023</v>
      </c>
      <c r="D1104" s="23">
        <f t="shared" si="26"/>
        <v>26</v>
      </c>
      <c r="E1104" t="s">
        <v>6</v>
      </c>
      <c r="F1104">
        <f>(SingleBerryDW!F1104/SingleBerryFW!F1104)*100</f>
        <v>9.6</v>
      </c>
    </row>
    <row r="1105" spans="1:6" hidden="1" x14ac:dyDescent="0.25">
      <c r="A1105" t="s">
        <v>17</v>
      </c>
      <c r="B1105" s="2">
        <v>44974</v>
      </c>
      <c r="C1105">
        <v>2023</v>
      </c>
      <c r="D1105" s="23">
        <f t="shared" si="26"/>
        <v>48</v>
      </c>
      <c r="E1105" t="s">
        <v>6</v>
      </c>
      <c r="F1105">
        <f>(SingleBerryDW!F1105/SingleBerryFW!F1105)*100</f>
        <v>12.4</v>
      </c>
    </row>
    <row r="1106" spans="1:6" hidden="1" x14ac:dyDescent="0.25">
      <c r="A1106" t="s">
        <v>17</v>
      </c>
      <c r="B1106" s="2">
        <v>44984</v>
      </c>
      <c r="C1106">
        <v>2023</v>
      </c>
      <c r="D1106" s="23">
        <f t="shared" si="26"/>
        <v>58</v>
      </c>
      <c r="E1106" t="s">
        <v>6</v>
      </c>
      <c r="F1106">
        <f>(SingleBerryDW!F1106/SingleBerryFW!F1106)*100</f>
        <v>13.999999999999998</v>
      </c>
    </row>
    <row r="1107" spans="1:6" hidden="1" x14ac:dyDescent="0.25">
      <c r="A1107" t="s">
        <v>17</v>
      </c>
      <c r="B1107" s="2">
        <v>45000</v>
      </c>
      <c r="C1107">
        <v>2023</v>
      </c>
      <c r="D1107" s="23">
        <f t="shared" si="26"/>
        <v>74</v>
      </c>
      <c r="E1107" t="s">
        <v>6</v>
      </c>
      <c r="F1107">
        <f>(SingleBerryDW!F1107/SingleBerryFW!F1107)*100</f>
        <v>15.299999999999999</v>
      </c>
    </row>
    <row r="1108" spans="1:6" hidden="1" x14ac:dyDescent="0.25">
      <c r="A1108" t="s">
        <v>17</v>
      </c>
      <c r="B1108" s="2">
        <v>45015</v>
      </c>
      <c r="C1108">
        <v>2023</v>
      </c>
      <c r="D1108" s="23">
        <f t="shared" si="26"/>
        <v>89</v>
      </c>
      <c r="E1108" t="s">
        <v>6</v>
      </c>
      <c r="F1108">
        <f>(SingleBerryDW!F1108/SingleBerryFW!F1108)*100</f>
        <v>15.900000000000002</v>
      </c>
    </row>
    <row r="1109" spans="1:6" hidden="1" x14ac:dyDescent="0.25">
      <c r="A1109" t="s">
        <v>17</v>
      </c>
      <c r="B1109" s="2">
        <v>45029</v>
      </c>
      <c r="C1109">
        <v>2023</v>
      </c>
      <c r="D1109" s="23">
        <f t="shared" si="26"/>
        <v>103</v>
      </c>
      <c r="E1109" t="s">
        <v>6</v>
      </c>
      <c r="F1109">
        <f>(SingleBerryDW!F1109/SingleBerryFW!F1109)*100</f>
        <v>16.7</v>
      </c>
    </row>
    <row r="1110" spans="1:6" hidden="1" x14ac:dyDescent="0.25">
      <c r="A1110" t="s">
        <v>17</v>
      </c>
      <c r="B1110" s="2">
        <v>45041</v>
      </c>
      <c r="C1110">
        <v>2023</v>
      </c>
      <c r="D1110" s="23">
        <f t="shared" si="26"/>
        <v>115</v>
      </c>
      <c r="E1110" t="s">
        <v>6</v>
      </c>
      <c r="F1110">
        <f>(SingleBerryDW!F1110/SingleBerryFW!F1110)*100</f>
        <v>17.600000000000001</v>
      </c>
    </row>
    <row r="1111" spans="1:6" hidden="1" x14ac:dyDescent="0.25">
      <c r="A1111" t="s">
        <v>17</v>
      </c>
      <c r="B1111" s="2">
        <v>45049</v>
      </c>
      <c r="C1111">
        <v>2023</v>
      </c>
      <c r="D1111" s="23">
        <f t="shared" si="26"/>
        <v>123</v>
      </c>
      <c r="E1111" t="s">
        <v>6</v>
      </c>
      <c r="F1111">
        <f>(SingleBerryDW!F1111/SingleBerryFW!F1111)*100</f>
        <v>17.2</v>
      </c>
    </row>
    <row r="1112" spans="1:6" hidden="1" x14ac:dyDescent="0.25">
      <c r="A1112" t="s">
        <v>17</v>
      </c>
      <c r="B1112" s="2">
        <v>45062</v>
      </c>
      <c r="C1112">
        <v>2023</v>
      </c>
      <c r="D1112" s="23">
        <f t="shared" si="26"/>
        <v>136</v>
      </c>
      <c r="E1112" t="s">
        <v>6</v>
      </c>
      <c r="F1112">
        <f>(SingleBerryDW!F1112/SingleBerryFW!F1112)*100</f>
        <v>17.399999999999999</v>
      </c>
    </row>
    <row r="1113" spans="1:6" hidden="1" x14ac:dyDescent="0.25">
      <c r="A1113" t="s">
        <v>17</v>
      </c>
      <c r="B1113" s="2">
        <v>45077</v>
      </c>
      <c r="C1113">
        <v>2023</v>
      </c>
      <c r="D1113" s="23">
        <f t="shared" si="26"/>
        <v>151</v>
      </c>
      <c r="E1113" t="s">
        <v>6</v>
      </c>
      <c r="F1113">
        <f>(SingleBerryDW!F1113/SingleBerryFW!F1113)*100</f>
        <v>17.399999999999995</v>
      </c>
    </row>
    <row r="1114" spans="1:6" hidden="1" x14ac:dyDescent="0.25">
      <c r="A1114" t="s">
        <v>17</v>
      </c>
      <c r="B1114" s="2">
        <v>45083</v>
      </c>
      <c r="C1114">
        <v>2023</v>
      </c>
      <c r="D1114" s="23">
        <f t="shared" si="26"/>
        <v>157</v>
      </c>
      <c r="E1114" t="s">
        <v>6</v>
      </c>
      <c r="F1114">
        <f>(SingleBerryDW!F1114/SingleBerryFW!F1114)*100</f>
        <v>17.2</v>
      </c>
    </row>
    <row r="1115" spans="1:6" hidden="1" x14ac:dyDescent="0.25">
      <c r="A1115" t="s">
        <v>17</v>
      </c>
      <c r="B1115" s="2">
        <v>44952</v>
      </c>
      <c r="C1115">
        <v>2023</v>
      </c>
      <c r="D1115" s="23">
        <f t="shared" si="26"/>
        <v>26</v>
      </c>
      <c r="E1115" t="s">
        <v>6</v>
      </c>
      <c r="F1115">
        <f>(SingleBerryDW!F1115/SingleBerryFW!F1115)*100</f>
        <v>9.6999999999999993</v>
      </c>
    </row>
    <row r="1116" spans="1:6" hidden="1" x14ac:dyDescent="0.25">
      <c r="A1116" t="s">
        <v>17</v>
      </c>
      <c r="B1116" s="2">
        <v>44973</v>
      </c>
      <c r="C1116">
        <v>2023</v>
      </c>
      <c r="D1116" s="23">
        <f t="shared" si="26"/>
        <v>47</v>
      </c>
      <c r="E1116" t="s">
        <v>6</v>
      </c>
      <c r="F1116">
        <f>(SingleBerryDW!F1116/SingleBerryFW!F1116)*100</f>
        <v>12.699999999999998</v>
      </c>
    </row>
    <row r="1117" spans="1:6" hidden="1" x14ac:dyDescent="0.25">
      <c r="A1117" t="s">
        <v>17</v>
      </c>
      <c r="B1117" s="2">
        <v>44987</v>
      </c>
      <c r="C1117">
        <v>2023</v>
      </c>
      <c r="D1117" s="23">
        <f t="shared" si="26"/>
        <v>61</v>
      </c>
      <c r="E1117" t="s">
        <v>6</v>
      </c>
      <c r="F1117">
        <f>(SingleBerryDW!F1117/SingleBerryFW!F1117)*100</f>
        <v>14.399999999999999</v>
      </c>
    </row>
    <row r="1118" spans="1:6" hidden="1" x14ac:dyDescent="0.25">
      <c r="A1118" t="s">
        <v>17</v>
      </c>
      <c r="B1118" s="2">
        <v>45001</v>
      </c>
      <c r="C1118">
        <v>2023</v>
      </c>
      <c r="D1118" s="23">
        <f t="shared" si="26"/>
        <v>75</v>
      </c>
      <c r="E1118" t="s">
        <v>6</v>
      </c>
      <c r="F1118">
        <f>(SingleBerryDW!F1118/SingleBerryFW!F1118)*100</f>
        <v>16.100000000000001</v>
      </c>
    </row>
    <row r="1119" spans="1:6" hidden="1" x14ac:dyDescent="0.25">
      <c r="A1119" t="s">
        <v>17</v>
      </c>
      <c r="B1119" s="2">
        <v>45014</v>
      </c>
      <c r="C1119">
        <v>2023</v>
      </c>
      <c r="D1119" s="23">
        <f t="shared" si="26"/>
        <v>88</v>
      </c>
      <c r="E1119" t="s">
        <v>6</v>
      </c>
      <c r="F1119">
        <f>(SingleBerryDW!F1119/SingleBerryFW!F1119)*100</f>
        <v>17</v>
      </c>
    </row>
    <row r="1120" spans="1:6" hidden="1" x14ac:dyDescent="0.25">
      <c r="A1120" t="s">
        <v>17</v>
      </c>
      <c r="B1120" s="2">
        <v>45029</v>
      </c>
      <c r="C1120">
        <v>2023</v>
      </c>
      <c r="D1120" s="23">
        <f t="shared" si="26"/>
        <v>103</v>
      </c>
      <c r="E1120" t="s">
        <v>6</v>
      </c>
      <c r="F1120">
        <f>(SingleBerryDW!F1120/SingleBerryFW!F1120)*100</f>
        <v>17.600000000000001</v>
      </c>
    </row>
    <row r="1121" spans="1:6" hidden="1" x14ac:dyDescent="0.25">
      <c r="A1121" t="s">
        <v>17</v>
      </c>
      <c r="B1121" s="2">
        <v>45041</v>
      </c>
      <c r="C1121">
        <v>2023</v>
      </c>
      <c r="D1121" s="23">
        <f t="shared" si="26"/>
        <v>115</v>
      </c>
      <c r="E1121" t="s">
        <v>6</v>
      </c>
      <c r="F1121">
        <f>(SingleBerryDW!F1121/SingleBerryFW!F1121)*100</f>
        <v>18.600000000000001</v>
      </c>
    </row>
    <row r="1122" spans="1:6" hidden="1" x14ac:dyDescent="0.25">
      <c r="A1122" t="s">
        <v>17</v>
      </c>
      <c r="B1122" s="2">
        <v>45049</v>
      </c>
      <c r="C1122">
        <v>2023</v>
      </c>
      <c r="D1122" s="23">
        <f t="shared" si="26"/>
        <v>123</v>
      </c>
      <c r="E1122" t="s">
        <v>6</v>
      </c>
      <c r="F1122">
        <f>(SingleBerryDW!F1122/SingleBerryFW!F1122)*100</f>
        <v>18.699999999999996</v>
      </c>
    </row>
    <row r="1123" spans="1:6" hidden="1" x14ac:dyDescent="0.25">
      <c r="A1123" t="s">
        <v>17</v>
      </c>
      <c r="B1123" s="2">
        <v>45062</v>
      </c>
      <c r="C1123">
        <v>2023</v>
      </c>
      <c r="D1123" s="23">
        <f t="shared" si="26"/>
        <v>136</v>
      </c>
      <c r="E1123" t="s">
        <v>6</v>
      </c>
      <c r="F1123">
        <f>(SingleBerryDW!F1123/SingleBerryFW!F1123)*100</f>
        <v>18.2</v>
      </c>
    </row>
    <row r="1124" spans="1:6" hidden="1" x14ac:dyDescent="0.25">
      <c r="A1124" t="s">
        <v>17</v>
      </c>
      <c r="B1124" s="2">
        <v>45076</v>
      </c>
      <c r="C1124">
        <v>2023</v>
      </c>
      <c r="D1124" s="23">
        <f t="shared" si="26"/>
        <v>150</v>
      </c>
      <c r="E1124" t="s">
        <v>6</v>
      </c>
      <c r="F1124">
        <f>(SingleBerryDW!F1124/SingleBerryFW!F1124)*100</f>
        <v>18.7</v>
      </c>
    </row>
    <row r="1125" spans="1:6" hidden="1" x14ac:dyDescent="0.25">
      <c r="A1125" t="s">
        <v>17</v>
      </c>
      <c r="B1125" s="2">
        <v>45083</v>
      </c>
      <c r="C1125">
        <v>2023</v>
      </c>
      <c r="D1125" s="23">
        <f t="shared" si="26"/>
        <v>157</v>
      </c>
      <c r="E1125" t="s">
        <v>6</v>
      </c>
      <c r="F1125">
        <f>(SingleBerryDW!F1125/SingleBerryFW!F1125)*100</f>
        <v>18.899999999999999</v>
      </c>
    </row>
    <row r="1126" spans="1:6" hidden="1" x14ac:dyDescent="0.25">
      <c r="A1126" t="s">
        <v>17</v>
      </c>
      <c r="B1126" s="2">
        <v>44950</v>
      </c>
      <c r="C1126">
        <v>2023</v>
      </c>
      <c r="D1126" s="23">
        <f t="shared" si="26"/>
        <v>24</v>
      </c>
      <c r="E1126" t="s">
        <v>6</v>
      </c>
      <c r="F1126">
        <f>(SingleBerryDW!F1126/SingleBerryFW!F1126)*100</f>
        <v>9.0000000000000018</v>
      </c>
    </row>
    <row r="1127" spans="1:6" hidden="1" x14ac:dyDescent="0.25">
      <c r="A1127" t="s">
        <v>17</v>
      </c>
      <c r="B1127" s="2">
        <v>44974</v>
      </c>
      <c r="C1127">
        <v>2023</v>
      </c>
      <c r="D1127" s="23">
        <f t="shared" si="26"/>
        <v>48</v>
      </c>
      <c r="E1127" t="s">
        <v>6</v>
      </c>
      <c r="F1127">
        <f>(SingleBerryDW!F1127/SingleBerryFW!F1127)*100</f>
        <v>11.300000000000002</v>
      </c>
    </row>
    <row r="1128" spans="1:6" hidden="1" x14ac:dyDescent="0.25">
      <c r="A1128" t="s">
        <v>17</v>
      </c>
      <c r="B1128" s="2">
        <v>44987</v>
      </c>
      <c r="C1128">
        <v>2023</v>
      </c>
      <c r="D1128" s="23">
        <f t="shared" si="26"/>
        <v>61</v>
      </c>
      <c r="E1128" t="s">
        <v>6</v>
      </c>
      <c r="F1128">
        <f>(SingleBerryDW!F1128/SingleBerryFW!F1128)*100</f>
        <v>13.5</v>
      </c>
    </row>
    <row r="1129" spans="1:6" hidden="1" x14ac:dyDescent="0.25">
      <c r="A1129" t="s">
        <v>17</v>
      </c>
      <c r="B1129" s="2">
        <v>45001</v>
      </c>
      <c r="C1129">
        <v>2023</v>
      </c>
      <c r="D1129" s="23">
        <f t="shared" si="26"/>
        <v>75</v>
      </c>
      <c r="E1129" t="s">
        <v>6</v>
      </c>
      <c r="F1129">
        <f>(SingleBerryDW!F1129/SingleBerryFW!F1129)*100</f>
        <v>15.299999999999999</v>
      </c>
    </row>
    <row r="1130" spans="1:6" hidden="1" x14ac:dyDescent="0.25">
      <c r="A1130" t="s">
        <v>17</v>
      </c>
      <c r="B1130" s="2">
        <v>45014</v>
      </c>
      <c r="C1130">
        <v>2023</v>
      </c>
      <c r="D1130" s="23">
        <f t="shared" si="26"/>
        <v>88</v>
      </c>
      <c r="E1130" t="s">
        <v>6</v>
      </c>
      <c r="F1130">
        <f>(SingleBerryDW!F1130/SingleBerryFW!F1130)*100</f>
        <v>16</v>
      </c>
    </row>
    <row r="1131" spans="1:6" hidden="1" x14ac:dyDescent="0.25">
      <c r="A1131" t="s">
        <v>17</v>
      </c>
      <c r="B1131" s="2">
        <v>45031</v>
      </c>
      <c r="C1131">
        <v>2023</v>
      </c>
      <c r="D1131" s="23">
        <f t="shared" si="26"/>
        <v>105</v>
      </c>
      <c r="E1131" t="s">
        <v>6</v>
      </c>
      <c r="F1131">
        <f>(SingleBerryDW!F1131/SingleBerryFW!F1131)*100</f>
        <v>16.7</v>
      </c>
    </row>
    <row r="1132" spans="1:6" hidden="1" x14ac:dyDescent="0.25">
      <c r="A1132" t="s">
        <v>17</v>
      </c>
      <c r="B1132" s="2">
        <v>45041</v>
      </c>
      <c r="C1132">
        <v>2023</v>
      </c>
      <c r="D1132" s="23">
        <f t="shared" si="26"/>
        <v>115</v>
      </c>
      <c r="E1132" t="s">
        <v>6</v>
      </c>
      <c r="F1132">
        <f>(SingleBerryDW!F1132/SingleBerryFW!F1132)*100</f>
        <v>17.399999999999999</v>
      </c>
    </row>
    <row r="1133" spans="1:6" hidden="1" x14ac:dyDescent="0.25">
      <c r="A1133" t="s">
        <v>17</v>
      </c>
      <c r="B1133" s="2">
        <v>45049</v>
      </c>
      <c r="C1133">
        <v>2023</v>
      </c>
      <c r="D1133" s="23">
        <f t="shared" si="26"/>
        <v>123</v>
      </c>
      <c r="E1133" t="s">
        <v>6</v>
      </c>
      <c r="F1133">
        <f>(SingleBerryDW!F1133/SingleBerryFW!F1133)*100</f>
        <v>17.5</v>
      </c>
    </row>
    <row r="1134" spans="1:6" hidden="1" x14ac:dyDescent="0.25">
      <c r="A1134" t="s">
        <v>17</v>
      </c>
      <c r="B1134" s="2">
        <v>45062</v>
      </c>
      <c r="C1134">
        <v>2023</v>
      </c>
      <c r="D1134" s="23">
        <f t="shared" si="26"/>
        <v>136</v>
      </c>
      <c r="E1134" t="s">
        <v>6</v>
      </c>
      <c r="F1134">
        <f>(SingleBerryDW!F1134/SingleBerryFW!F1134)*100</f>
        <v>17.8</v>
      </c>
    </row>
    <row r="1135" spans="1:6" hidden="1" x14ac:dyDescent="0.25">
      <c r="A1135" t="s">
        <v>17</v>
      </c>
      <c r="B1135" s="2">
        <v>45077</v>
      </c>
      <c r="C1135">
        <v>2023</v>
      </c>
      <c r="D1135" s="23">
        <f t="shared" si="26"/>
        <v>151</v>
      </c>
      <c r="E1135" t="s">
        <v>6</v>
      </c>
      <c r="F1135">
        <f>(SingleBerryDW!F1135/SingleBerryFW!F1135)*100</f>
        <v>17.8</v>
      </c>
    </row>
    <row r="1136" spans="1:6" hidden="1" x14ac:dyDescent="0.25">
      <c r="A1136" t="s">
        <v>17</v>
      </c>
      <c r="B1136" s="2">
        <v>45083</v>
      </c>
      <c r="C1136">
        <v>2023</v>
      </c>
      <c r="D1136" s="23">
        <f t="shared" si="26"/>
        <v>157</v>
      </c>
      <c r="E1136" t="s">
        <v>6</v>
      </c>
      <c r="F1136">
        <f>(SingleBerryDW!F1136/SingleBerryFW!F1136)*100</f>
        <v>17.899999999999999</v>
      </c>
    </row>
    <row r="1137" spans="1:8" hidden="1" x14ac:dyDescent="0.25">
      <c r="A1137" t="s">
        <v>17</v>
      </c>
      <c r="B1137" s="2">
        <v>44952</v>
      </c>
      <c r="C1137">
        <v>2023</v>
      </c>
      <c r="D1137" s="23">
        <f t="shared" si="26"/>
        <v>26</v>
      </c>
      <c r="E1137" t="s">
        <v>6</v>
      </c>
      <c r="F1137">
        <f>(SingleBerryDW!F1137/SingleBerryFW!F1137)*100</f>
        <v>8.2999999999999989</v>
      </c>
    </row>
    <row r="1138" spans="1:8" hidden="1" x14ac:dyDescent="0.25">
      <c r="A1138" t="s">
        <v>17</v>
      </c>
      <c r="B1138" s="2">
        <v>44974</v>
      </c>
      <c r="C1138">
        <v>2023</v>
      </c>
      <c r="D1138" s="23">
        <f t="shared" si="26"/>
        <v>48</v>
      </c>
      <c r="E1138" t="s">
        <v>6</v>
      </c>
      <c r="F1138">
        <f>(SingleBerryDW!F1138/SingleBerryFW!F1138)*100</f>
        <v>10.5</v>
      </c>
    </row>
    <row r="1139" spans="1:8" hidden="1" x14ac:dyDescent="0.25">
      <c r="A1139" t="s">
        <v>17</v>
      </c>
      <c r="B1139" s="2">
        <v>44984</v>
      </c>
      <c r="C1139">
        <v>2023</v>
      </c>
      <c r="D1139" s="23">
        <f t="shared" si="26"/>
        <v>58</v>
      </c>
      <c r="E1139" t="s">
        <v>6</v>
      </c>
      <c r="F1139">
        <f>(SingleBerryDW!F1139/SingleBerryFW!F1139)*100</f>
        <v>12.4</v>
      </c>
    </row>
    <row r="1140" spans="1:8" hidden="1" x14ac:dyDescent="0.25">
      <c r="A1140" t="s">
        <v>17</v>
      </c>
      <c r="B1140" s="2">
        <v>45000</v>
      </c>
      <c r="C1140">
        <v>2023</v>
      </c>
      <c r="D1140" s="23">
        <f t="shared" si="26"/>
        <v>74</v>
      </c>
      <c r="E1140" t="s">
        <v>6</v>
      </c>
      <c r="F1140">
        <f>(SingleBerryDW!F1140/SingleBerryFW!F1140)*100</f>
        <v>14.299999999999999</v>
      </c>
    </row>
    <row r="1141" spans="1:8" hidden="1" x14ac:dyDescent="0.25">
      <c r="A1141" t="s">
        <v>17</v>
      </c>
      <c r="B1141" s="2">
        <v>45015</v>
      </c>
      <c r="C1141">
        <v>2023</v>
      </c>
      <c r="D1141" s="23">
        <f t="shared" si="26"/>
        <v>89</v>
      </c>
      <c r="E1141" t="s">
        <v>6</v>
      </c>
      <c r="F1141">
        <f>(SingleBerryDW!F1141/SingleBerryFW!F1141)*100</f>
        <v>15.000000000000002</v>
      </c>
    </row>
    <row r="1142" spans="1:8" hidden="1" x14ac:dyDescent="0.25">
      <c r="A1142" t="s">
        <v>17</v>
      </c>
      <c r="B1142" s="2">
        <v>45029</v>
      </c>
      <c r="C1142">
        <v>2023</v>
      </c>
      <c r="D1142" s="23">
        <f t="shared" si="26"/>
        <v>103</v>
      </c>
      <c r="E1142" t="s">
        <v>6</v>
      </c>
      <c r="F1142">
        <f>(SingleBerryDW!F1142/SingleBerryFW!F1142)*100</f>
        <v>15.5</v>
      </c>
    </row>
    <row r="1143" spans="1:8" hidden="1" x14ac:dyDescent="0.25">
      <c r="A1143" t="s">
        <v>17</v>
      </c>
      <c r="B1143" s="2">
        <v>45041</v>
      </c>
      <c r="C1143">
        <v>2023</v>
      </c>
      <c r="D1143" s="23">
        <f t="shared" si="26"/>
        <v>115</v>
      </c>
      <c r="E1143" t="s">
        <v>6</v>
      </c>
      <c r="F1143">
        <f>(SingleBerryDW!F1143/SingleBerryFW!F1143)*100</f>
        <v>16</v>
      </c>
    </row>
    <row r="1144" spans="1:8" hidden="1" x14ac:dyDescent="0.25">
      <c r="A1144" t="s">
        <v>17</v>
      </c>
      <c r="B1144" s="2">
        <v>45049</v>
      </c>
      <c r="C1144">
        <v>2023</v>
      </c>
      <c r="D1144" s="23">
        <f t="shared" si="26"/>
        <v>123</v>
      </c>
      <c r="E1144" t="s">
        <v>6</v>
      </c>
      <c r="F1144">
        <f>(SingleBerryDW!F1144/SingleBerryFW!F1144)*100</f>
        <v>15.6</v>
      </c>
      <c r="G1144">
        <f>Calculations!F9</f>
        <v>16.894182165332779</v>
      </c>
      <c r="H1144" t="s">
        <v>27</v>
      </c>
    </row>
    <row r="1145" spans="1:8" hidden="1" x14ac:dyDescent="0.25">
      <c r="A1145" t="s">
        <v>17</v>
      </c>
      <c r="B1145" s="2">
        <v>45062</v>
      </c>
      <c r="C1145">
        <v>2023</v>
      </c>
      <c r="D1145" s="23">
        <f t="shared" si="26"/>
        <v>136</v>
      </c>
      <c r="E1145" t="s">
        <v>6</v>
      </c>
      <c r="F1145">
        <f>(SingleBerryDW!F1145/SingleBerryFW!F1145)*100</f>
        <v>15.4</v>
      </c>
    </row>
    <row r="1146" spans="1:8" hidden="1" x14ac:dyDescent="0.25">
      <c r="A1146" t="s">
        <v>17</v>
      </c>
      <c r="B1146" s="2">
        <v>45076</v>
      </c>
      <c r="C1146">
        <v>2023</v>
      </c>
      <c r="D1146" s="23">
        <f t="shared" si="26"/>
        <v>150</v>
      </c>
      <c r="E1146" t="s">
        <v>6</v>
      </c>
      <c r="F1146">
        <f>(SingleBerryDW!F1146/SingleBerryFW!F1146)*100</f>
        <v>16</v>
      </c>
    </row>
    <row r="1147" spans="1:8" hidden="1" x14ac:dyDescent="0.25">
      <c r="A1147" t="s">
        <v>17</v>
      </c>
      <c r="B1147" s="2">
        <v>45083</v>
      </c>
      <c r="C1147">
        <v>2023</v>
      </c>
      <c r="D1147" s="23">
        <f t="shared" si="26"/>
        <v>157</v>
      </c>
      <c r="E1147" t="s">
        <v>6</v>
      </c>
      <c r="F1147">
        <f>(SingleBerryDW!F1147/SingleBerryFW!F1147)*100</f>
        <v>17</v>
      </c>
    </row>
    <row r="1148" spans="1:8" hidden="1" x14ac:dyDescent="0.25">
      <c r="A1148" t="s">
        <v>22</v>
      </c>
      <c r="B1148" s="2">
        <v>44949</v>
      </c>
      <c r="C1148">
        <v>2023</v>
      </c>
      <c r="D1148">
        <f>B1148-DATE(YEAR(B1148),1,0)</f>
        <v>23</v>
      </c>
      <c r="E1148" t="s">
        <v>9</v>
      </c>
      <c r="F1148">
        <f>(SingleBerryDW!F1148/SingleBerryFW!F1148)*100</f>
        <v>9.4</v>
      </c>
    </row>
    <row r="1149" spans="1:8" hidden="1" x14ac:dyDescent="0.25">
      <c r="A1149" t="s">
        <v>22</v>
      </c>
      <c r="B1149" s="2">
        <v>44971</v>
      </c>
      <c r="C1149">
        <v>2023</v>
      </c>
      <c r="D1149">
        <f t="shared" ref="D1149:D1158" si="27">B1149-DATE(YEAR(B1149),1,0)</f>
        <v>45</v>
      </c>
      <c r="E1149" t="s">
        <v>9</v>
      </c>
      <c r="F1149">
        <f>(SingleBerryDW!F1149/SingleBerryFW!F1149)*100</f>
        <v>12.8</v>
      </c>
    </row>
    <row r="1150" spans="1:8" hidden="1" x14ac:dyDescent="0.25">
      <c r="A1150" t="s">
        <v>22</v>
      </c>
      <c r="B1150" s="2">
        <v>44987</v>
      </c>
      <c r="C1150">
        <v>2023</v>
      </c>
      <c r="D1150">
        <f t="shared" si="27"/>
        <v>61</v>
      </c>
      <c r="E1150" t="s">
        <v>9</v>
      </c>
      <c r="F1150">
        <f>(SingleBerryDW!F1150/SingleBerryFW!F1150)*100</f>
        <v>15.4</v>
      </c>
    </row>
    <row r="1151" spans="1:8" hidden="1" x14ac:dyDescent="0.25">
      <c r="A1151" t="s">
        <v>22</v>
      </c>
      <c r="B1151" s="2">
        <v>44998</v>
      </c>
      <c r="C1151">
        <v>2023</v>
      </c>
      <c r="D1151">
        <f t="shared" si="27"/>
        <v>72</v>
      </c>
      <c r="E1151" t="s">
        <v>9</v>
      </c>
      <c r="F1151">
        <f>(SingleBerryDW!F1151/SingleBerryFW!F1151)*100</f>
        <v>16.2</v>
      </c>
    </row>
    <row r="1152" spans="1:8" hidden="1" x14ac:dyDescent="0.25">
      <c r="A1152" t="s">
        <v>22</v>
      </c>
      <c r="B1152" s="2">
        <v>45014</v>
      </c>
      <c r="C1152">
        <v>2023</v>
      </c>
      <c r="D1152">
        <f t="shared" si="27"/>
        <v>88</v>
      </c>
      <c r="E1152" t="s">
        <v>9</v>
      </c>
      <c r="F1152">
        <f>(SingleBerryDW!F1152/SingleBerryFW!F1152)*100</f>
        <v>17.200000000000003</v>
      </c>
    </row>
    <row r="1153" spans="1:8" hidden="1" x14ac:dyDescent="0.25">
      <c r="A1153" t="s">
        <v>22</v>
      </c>
      <c r="B1153" s="2">
        <v>45027</v>
      </c>
      <c r="C1153">
        <v>2023</v>
      </c>
      <c r="D1153">
        <f t="shared" si="27"/>
        <v>101</v>
      </c>
      <c r="E1153" t="s">
        <v>9</v>
      </c>
      <c r="F1153">
        <f>(SingleBerryDW!F1153/SingleBerryFW!F1153)*100</f>
        <v>18</v>
      </c>
    </row>
    <row r="1154" spans="1:8" hidden="1" x14ac:dyDescent="0.25">
      <c r="A1154" t="s">
        <v>22</v>
      </c>
      <c r="B1154" s="2">
        <v>45040</v>
      </c>
      <c r="C1154">
        <v>2023</v>
      </c>
      <c r="D1154">
        <f t="shared" si="27"/>
        <v>114</v>
      </c>
      <c r="E1154" t="s">
        <v>9</v>
      </c>
      <c r="F1154">
        <f>(SingleBerryDW!F1154/SingleBerryFW!F1154)*100</f>
        <v>18.399999999999999</v>
      </c>
    </row>
    <row r="1155" spans="1:8" hidden="1" x14ac:dyDescent="0.25">
      <c r="A1155" t="s">
        <v>22</v>
      </c>
      <c r="B1155" s="2">
        <v>45047</v>
      </c>
      <c r="C1155">
        <v>2023</v>
      </c>
      <c r="D1155">
        <f t="shared" si="27"/>
        <v>121</v>
      </c>
      <c r="E1155" t="s">
        <v>9</v>
      </c>
      <c r="F1155">
        <f>(SingleBerryDW!F1155/SingleBerryFW!F1155)*100</f>
        <v>18.500000000000004</v>
      </c>
    </row>
    <row r="1156" spans="1:8" hidden="1" x14ac:dyDescent="0.25">
      <c r="A1156" t="s">
        <v>22</v>
      </c>
      <c r="B1156" s="2">
        <v>45062</v>
      </c>
      <c r="C1156">
        <v>2023</v>
      </c>
      <c r="D1156">
        <f t="shared" si="27"/>
        <v>136</v>
      </c>
      <c r="E1156" t="s">
        <v>9</v>
      </c>
      <c r="F1156">
        <f>(SingleBerryDW!F1156/SingleBerryFW!F1156)*100</f>
        <v>18.800000000000004</v>
      </c>
      <c r="G1156">
        <f>Calculations!F14</f>
        <v>18.492985857039951</v>
      </c>
      <c r="H1156" t="s">
        <v>27</v>
      </c>
    </row>
    <row r="1157" spans="1:8" hidden="1" x14ac:dyDescent="0.25">
      <c r="A1157" t="s">
        <v>22</v>
      </c>
      <c r="B1157" s="2">
        <v>45076</v>
      </c>
      <c r="C1157">
        <v>2023</v>
      </c>
      <c r="D1157">
        <f t="shared" si="27"/>
        <v>150</v>
      </c>
      <c r="E1157" t="s">
        <v>9</v>
      </c>
      <c r="F1157">
        <f>(SingleBerryDW!F1157/SingleBerryFW!F1157)*100</f>
        <v>19.300000000000004</v>
      </c>
    </row>
    <row r="1158" spans="1:8" hidden="1" x14ac:dyDescent="0.25">
      <c r="A1158" t="s">
        <v>22</v>
      </c>
      <c r="B1158" s="2">
        <v>45083</v>
      </c>
      <c r="C1158">
        <v>2023</v>
      </c>
      <c r="D1158">
        <f t="shared" si="27"/>
        <v>157</v>
      </c>
      <c r="E1158" t="s">
        <v>9</v>
      </c>
      <c r="F1158">
        <f>(SingleBerryDW!F1158/SingleBerryFW!F1158)*100</f>
        <v>19.300000000000004</v>
      </c>
    </row>
    <row r="1159" spans="1:8" hidden="1" x14ac:dyDescent="0.25">
      <c r="A1159" t="s">
        <v>18</v>
      </c>
      <c r="B1159" s="2">
        <v>45316</v>
      </c>
      <c r="C1159">
        <v>2024</v>
      </c>
      <c r="D1159">
        <f>B1159-DATE(YEAR(B1159),1,0)</f>
        <v>25</v>
      </c>
      <c r="E1159" t="s">
        <v>6</v>
      </c>
      <c r="F1159">
        <f>(SingleBerryDW!F1159/SingleBerryFW!F1159)*100</f>
        <v>9</v>
      </c>
    </row>
    <row r="1160" spans="1:8" hidden="1" x14ac:dyDescent="0.25">
      <c r="A1160" t="s">
        <v>18</v>
      </c>
      <c r="B1160" s="2">
        <v>45337</v>
      </c>
      <c r="C1160">
        <v>2024</v>
      </c>
      <c r="D1160">
        <f t="shared" ref="D1160:D1213" si="28">B1160-DATE(YEAR(B1160),1,0)</f>
        <v>46</v>
      </c>
      <c r="E1160" t="s">
        <v>6</v>
      </c>
      <c r="F1160">
        <f>(SingleBerryDW!F1160/SingleBerryFW!F1160)*100</f>
        <v>12.000000000000002</v>
      </c>
    </row>
    <row r="1161" spans="1:8" hidden="1" x14ac:dyDescent="0.25">
      <c r="A1161" t="s">
        <v>18</v>
      </c>
      <c r="B1161" s="2">
        <v>45350</v>
      </c>
      <c r="C1161">
        <v>2024</v>
      </c>
      <c r="D1161">
        <f t="shared" si="28"/>
        <v>59</v>
      </c>
      <c r="E1161" t="s">
        <v>6</v>
      </c>
      <c r="F1161">
        <f>(SingleBerryDW!F1161/SingleBerryFW!F1161)*100</f>
        <v>13.5</v>
      </c>
    </row>
    <row r="1162" spans="1:8" hidden="1" x14ac:dyDescent="0.25">
      <c r="A1162" t="s">
        <v>18</v>
      </c>
      <c r="B1162" s="2">
        <v>45364</v>
      </c>
      <c r="C1162">
        <v>2024</v>
      </c>
      <c r="D1162">
        <f t="shared" si="28"/>
        <v>73</v>
      </c>
      <c r="E1162" t="s">
        <v>6</v>
      </c>
      <c r="F1162">
        <f>(SingleBerryDW!F1162/SingleBerryFW!F1162)*100</f>
        <v>14.6</v>
      </c>
    </row>
    <row r="1163" spans="1:8" hidden="1" x14ac:dyDescent="0.25">
      <c r="A1163" t="s">
        <v>18</v>
      </c>
      <c r="B1163" s="2">
        <v>45378</v>
      </c>
      <c r="C1163">
        <v>2024</v>
      </c>
      <c r="D1163">
        <f t="shared" si="28"/>
        <v>87</v>
      </c>
      <c r="E1163" t="s">
        <v>6</v>
      </c>
      <c r="F1163">
        <f>(SingleBerryDW!F1163/SingleBerryFW!F1163)*100</f>
        <v>15.300000000000002</v>
      </c>
    </row>
    <row r="1164" spans="1:8" hidden="1" x14ac:dyDescent="0.25">
      <c r="A1164" t="s">
        <v>18</v>
      </c>
      <c r="B1164" s="2">
        <v>45390</v>
      </c>
      <c r="C1164">
        <v>2024</v>
      </c>
      <c r="D1164">
        <f t="shared" si="28"/>
        <v>99</v>
      </c>
      <c r="E1164" t="s">
        <v>6</v>
      </c>
      <c r="F1164">
        <f>(SingleBerryDW!F1164/SingleBerryFW!F1164)*100</f>
        <v>15.5</v>
      </c>
    </row>
    <row r="1165" spans="1:8" s="7" customFormat="1" hidden="1" x14ac:dyDescent="0.25">
      <c r="A1165" s="7" t="s">
        <v>18</v>
      </c>
      <c r="B1165" s="6">
        <v>45404</v>
      </c>
      <c r="C1165" s="7">
        <v>2024</v>
      </c>
      <c r="D1165">
        <f t="shared" si="28"/>
        <v>113</v>
      </c>
      <c r="E1165" s="7" t="s">
        <v>6</v>
      </c>
      <c r="F1165" s="7">
        <f>(SingleBerryDW!F1165/SingleBerryFW!F1165)*100</f>
        <v>16.399999999999999</v>
      </c>
    </row>
    <row r="1166" spans="1:8" hidden="1" x14ac:dyDescent="0.25">
      <c r="A1166" t="s">
        <v>18</v>
      </c>
      <c r="B1166" s="2">
        <v>45414</v>
      </c>
      <c r="C1166">
        <v>2024</v>
      </c>
      <c r="D1166">
        <f t="shared" si="28"/>
        <v>123</v>
      </c>
      <c r="E1166" t="s">
        <v>6</v>
      </c>
      <c r="F1166">
        <f>(SingleBerryDW!F1166/SingleBerryFW!F1166)*100</f>
        <v>16.8</v>
      </c>
    </row>
    <row r="1167" spans="1:8" hidden="1" x14ac:dyDescent="0.25">
      <c r="A1167" t="s">
        <v>18</v>
      </c>
      <c r="B1167" s="2">
        <v>45425</v>
      </c>
      <c r="C1167">
        <v>2024</v>
      </c>
      <c r="D1167">
        <f t="shared" si="28"/>
        <v>134</v>
      </c>
      <c r="E1167" t="s">
        <v>6</v>
      </c>
      <c r="F1167">
        <f>(SingleBerryDW!F1167/SingleBerryFW!F1167)*100</f>
        <v>17.200000000000003</v>
      </c>
    </row>
    <row r="1168" spans="1:8" hidden="1" x14ac:dyDescent="0.25">
      <c r="A1168" t="s">
        <v>18</v>
      </c>
      <c r="B1168" s="2">
        <v>45439</v>
      </c>
      <c r="C1168">
        <v>2024</v>
      </c>
      <c r="D1168">
        <f t="shared" si="28"/>
        <v>148</v>
      </c>
      <c r="E1168" t="s">
        <v>6</v>
      </c>
      <c r="F1168">
        <f>(SingleBerryDW!F1168/SingleBerryFW!F1168)*100</f>
        <v>15.1</v>
      </c>
    </row>
    <row r="1169" spans="1:6" hidden="1" x14ac:dyDescent="0.25">
      <c r="A1169" t="s">
        <v>18</v>
      </c>
      <c r="B1169" s="2">
        <v>45454</v>
      </c>
      <c r="C1169">
        <v>2024</v>
      </c>
      <c r="D1169">
        <f t="shared" si="28"/>
        <v>163</v>
      </c>
      <c r="E1169" t="s">
        <v>6</v>
      </c>
      <c r="F1169">
        <f>(SingleBerryDW!F1169/SingleBerryFW!F1169)*100</f>
        <v>17.100000000000001</v>
      </c>
    </row>
    <row r="1170" spans="1:6" hidden="1" x14ac:dyDescent="0.25">
      <c r="A1170" t="s">
        <v>18</v>
      </c>
      <c r="B1170" s="2">
        <v>45314</v>
      </c>
      <c r="C1170">
        <v>2024</v>
      </c>
      <c r="D1170">
        <f t="shared" si="28"/>
        <v>23</v>
      </c>
      <c r="E1170" t="s">
        <v>6</v>
      </c>
      <c r="F1170">
        <f>(SingleBerryDW!F1170/SingleBerryFW!F1170)*100</f>
        <v>8.8000000000000025</v>
      </c>
    </row>
    <row r="1171" spans="1:6" hidden="1" x14ac:dyDescent="0.25">
      <c r="A1171" t="s">
        <v>18</v>
      </c>
      <c r="B1171" s="2">
        <v>45337</v>
      </c>
      <c r="C1171">
        <v>2024</v>
      </c>
      <c r="D1171">
        <f t="shared" si="28"/>
        <v>46</v>
      </c>
      <c r="E1171" t="s">
        <v>6</v>
      </c>
      <c r="F1171">
        <f>(SingleBerryDW!F1171/SingleBerryFW!F1171)*100</f>
        <v>12.699999999999998</v>
      </c>
    </row>
    <row r="1172" spans="1:6" hidden="1" x14ac:dyDescent="0.25">
      <c r="A1172" t="s">
        <v>18</v>
      </c>
      <c r="B1172" s="2">
        <v>45348</v>
      </c>
      <c r="C1172">
        <v>2024</v>
      </c>
      <c r="D1172">
        <f t="shared" si="28"/>
        <v>57</v>
      </c>
      <c r="E1172" t="s">
        <v>6</v>
      </c>
      <c r="F1172">
        <f>(SingleBerryDW!F1172/SingleBerryFW!F1172)*100</f>
        <v>13.600000000000001</v>
      </c>
    </row>
    <row r="1173" spans="1:6" hidden="1" x14ac:dyDescent="0.25">
      <c r="A1173" t="s">
        <v>18</v>
      </c>
      <c r="B1173" s="2">
        <v>45365</v>
      </c>
      <c r="C1173">
        <v>2024</v>
      </c>
      <c r="D1173">
        <f t="shared" si="28"/>
        <v>74</v>
      </c>
      <c r="E1173" t="s">
        <v>6</v>
      </c>
      <c r="F1173">
        <f>(SingleBerryDW!F1173/SingleBerryFW!F1173)*100</f>
        <v>15.300000000000002</v>
      </c>
    </row>
    <row r="1174" spans="1:6" hidden="1" x14ac:dyDescent="0.25">
      <c r="A1174" t="s">
        <v>18</v>
      </c>
      <c r="B1174" s="2">
        <v>45379</v>
      </c>
      <c r="C1174">
        <v>2024</v>
      </c>
      <c r="D1174">
        <f t="shared" si="28"/>
        <v>88</v>
      </c>
      <c r="E1174" t="s">
        <v>6</v>
      </c>
      <c r="F1174">
        <f>(SingleBerryDW!F1174/SingleBerryFW!F1174)*100</f>
        <v>16.600000000000001</v>
      </c>
    </row>
    <row r="1175" spans="1:6" hidden="1" x14ac:dyDescent="0.25">
      <c r="A1175" t="s">
        <v>18</v>
      </c>
      <c r="B1175" s="2">
        <v>45393</v>
      </c>
      <c r="C1175">
        <v>2024</v>
      </c>
      <c r="D1175">
        <f t="shared" si="28"/>
        <v>102</v>
      </c>
      <c r="E1175" t="s">
        <v>6</v>
      </c>
      <c r="F1175">
        <f>(SingleBerryDW!F1175/SingleBerryFW!F1175)*100</f>
        <v>17</v>
      </c>
    </row>
    <row r="1176" spans="1:6" s="7" customFormat="1" hidden="1" x14ac:dyDescent="0.25">
      <c r="A1176" s="7" t="s">
        <v>18</v>
      </c>
      <c r="B1176" s="6">
        <v>45407</v>
      </c>
      <c r="C1176" s="7">
        <v>2024</v>
      </c>
      <c r="D1176">
        <f t="shared" si="28"/>
        <v>116</v>
      </c>
      <c r="E1176" s="7" t="s">
        <v>6</v>
      </c>
      <c r="F1176" s="7">
        <f>(SingleBerryDW!F1176/SingleBerryFW!F1176)*100</f>
        <v>17.399999999999999</v>
      </c>
    </row>
    <row r="1177" spans="1:6" hidden="1" x14ac:dyDescent="0.25">
      <c r="A1177" t="s">
        <v>18</v>
      </c>
      <c r="B1177" s="2">
        <v>45414</v>
      </c>
      <c r="C1177">
        <v>2024</v>
      </c>
      <c r="D1177">
        <f t="shared" si="28"/>
        <v>123</v>
      </c>
      <c r="E1177" t="s">
        <v>6</v>
      </c>
      <c r="F1177">
        <f>(SingleBerryDW!F1177/SingleBerryFW!F1177)*100</f>
        <v>17.600000000000001</v>
      </c>
    </row>
    <row r="1178" spans="1:6" hidden="1" x14ac:dyDescent="0.25">
      <c r="A1178" t="s">
        <v>18</v>
      </c>
      <c r="B1178" s="2">
        <v>45425</v>
      </c>
      <c r="C1178">
        <v>2024</v>
      </c>
      <c r="D1178">
        <f t="shared" si="28"/>
        <v>134</v>
      </c>
      <c r="E1178" t="s">
        <v>6</v>
      </c>
      <c r="F1178">
        <f>(SingleBerryDW!F1178/SingleBerryFW!F1178)*100</f>
        <v>18.399999999999999</v>
      </c>
    </row>
    <row r="1179" spans="1:6" hidden="1" x14ac:dyDescent="0.25">
      <c r="A1179" t="s">
        <v>18</v>
      </c>
      <c r="B1179" s="2">
        <v>45441</v>
      </c>
      <c r="C1179">
        <v>2024</v>
      </c>
      <c r="D1179">
        <f t="shared" si="28"/>
        <v>150</v>
      </c>
      <c r="E1179" t="s">
        <v>6</v>
      </c>
      <c r="F1179">
        <f>(SingleBerryDW!F1179/SingleBerryFW!F1179)*100</f>
        <v>18.099999999999998</v>
      </c>
    </row>
    <row r="1180" spans="1:6" hidden="1" x14ac:dyDescent="0.25">
      <c r="A1180" t="s">
        <v>18</v>
      </c>
      <c r="B1180" s="2">
        <v>45453</v>
      </c>
      <c r="C1180">
        <v>2024</v>
      </c>
      <c r="D1180">
        <f t="shared" si="28"/>
        <v>162</v>
      </c>
      <c r="E1180" t="s">
        <v>6</v>
      </c>
      <c r="F1180">
        <f>(SingleBerryDW!F1180/SingleBerryFW!F1180)*100</f>
        <v>17.899999999999995</v>
      </c>
    </row>
    <row r="1181" spans="1:6" hidden="1" x14ac:dyDescent="0.25">
      <c r="A1181" t="s">
        <v>18</v>
      </c>
      <c r="B1181" s="2">
        <v>45314</v>
      </c>
      <c r="C1181">
        <v>2024</v>
      </c>
      <c r="D1181">
        <f t="shared" si="28"/>
        <v>23</v>
      </c>
      <c r="E1181" t="s">
        <v>6</v>
      </c>
      <c r="F1181">
        <f>(SingleBerryDW!F1181/SingleBerryFW!F1181)*100</f>
        <v>8.3000000000000007</v>
      </c>
    </row>
    <row r="1182" spans="1:6" hidden="1" x14ac:dyDescent="0.25">
      <c r="A1182" t="s">
        <v>18</v>
      </c>
      <c r="B1182" s="2">
        <v>45336</v>
      </c>
      <c r="C1182">
        <v>2024</v>
      </c>
      <c r="D1182">
        <f t="shared" si="28"/>
        <v>45</v>
      </c>
      <c r="E1182" t="s">
        <v>6</v>
      </c>
      <c r="F1182">
        <f>(SingleBerryDW!F1182/SingleBerryFW!F1182)*100</f>
        <v>11.9</v>
      </c>
    </row>
    <row r="1183" spans="1:6" hidden="1" x14ac:dyDescent="0.25">
      <c r="A1183" t="s">
        <v>18</v>
      </c>
      <c r="B1183" s="2">
        <v>45348</v>
      </c>
      <c r="C1183">
        <v>2024</v>
      </c>
      <c r="D1183">
        <f t="shared" si="28"/>
        <v>57</v>
      </c>
      <c r="E1183" t="s">
        <v>6</v>
      </c>
      <c r="F1183">
        <f>(SingleBerryDW!F1183/SingleBerryFW!F1183)*100</f>
        <v>13.5</v>
      </c>
    </row>
    <row r="1184" spans="1:6" hidden="1" x14ac:dyDescent="0.25">
      <c r="A1184" t="s">
        <v>18</v>
      </c>
      <c r="B1184" s="2">
        <v>45365</v>
      </c>
      <c r="C1184">
        <v>2024</v>
      </c>
      <c r="D1184">
        <f t="shared" si="28"/>
        <v>74</v>
      </c>
      <c r="E1184" t="s">
        <v>6</v>
      </c>
      <c r="F1184">
        <f>(SingleBerryDW!F1184/SingleBerryFW!F1184)*100</f>
        <v>15.2</v>
      </c>
    </row>
    <row r="1185" spans="1:6" hidden="1" x14ac:dyDescent="0.25">
      <c r="A1185" t="s">
        <v>18</v>
      </c>
      <c r="B1185" s="2">
        <v>45379</v>
      </c>
      <c r="C1185">
        <v>2024</v>
      </c>
      <c r="D1185">
        <f t="shared" si="28"/>
        <v>88</v>
      </c>
      <c r="E1185" t="s">
        <v>6</v>
      </c>
      <c r="F1185">
        <f>(SingleBerryDW!F1185/SingleBerryFW!F1185)*100</f>
        <v>16.400000000000002</v>
      </c>
    </row>
    <row r="1186" spans="1:6" hidden="1" x14ac:dyDescent="0.25">
      <c r="A1186" t="s">
        <v>18</v>
      </c>
      <c r="B1186" s="2">
        <v>45390</v>
      </c>
      <c r="C1186">
        <v>2024</v>
      </c>
      <c r="D1186">
        <f t="shared" si="28"/>
        <v>99</v>
      </c>
      <c r="E1186" t="s">
        <v>6</v>
      </c>
      <c r="F1186">
        <f>(SingleBerryDW!F1186/SingleBerryFW!F1186)*100</f>
        <v>16.8</v>
      </c>
    </row>
    <row r="1187" spans="1:6" s="7" customFormat="1" hidden="1" x14ac:dyDescent="0.25">
      <c r="A1187" s="7" t="s">
        <v>18</v>
      </c>
      <c r="B1187" s="6">
        <v>45404</v>
      </c>
      <c r="C1187" s="7">
        <v>2024</v>
      </c>
      <c r="D1187">
        <f t="shared" si="28"/>
        <v>113</v>
      </c>
      <c r="E1187" s="7" t="s">
        <v>6</v>
      </c>
      <c r="F1187" s="7">
        <f>(SingleBerryDW!F1187/SingleBerryFW!F1187)*100</f>
        <v>17.2</v>
      </c>
    </row>
    <row r="1188" spans="1:6" hidden="1" x14ac:dyDescent="0.25">
      <c r="A1188" t="s">
        <v>18</v>
      </c>
      <c r="B1188" s="2">
        <v>45413</v>
      </c>
      <c r="C1188">
        <v>2024</v>
      </c>
      <c r="D1188">
        <f t="shared" si="28"/>
        <v>122</v>
      </c>
      <c r="E1188" t="s">
        <v>6</v>
      </c>
      <c r="F1188">
        <f>(SingleBerryDW!F1188/SingleBerryFW!F1188)*100</f>
        <v>17.699999999999996</v>
      </c>
    </row>
    <row r="1189" spans="1:6" hidden="1" x14ac:dyDescent="0.25">
      <c r="A1189" t="s">
        <v>18</v>
      </c>
      <c r="B1189" s="2">
        <v>45425</v>
      </c>
      <c r="C1189">
        <v>2024</v>
      </c>
      <c r="D1189">
        <f t="shared" si="28"/>
        <v>134</v>
      </c>
      <c r="E1189" t="s">
        <v>6</v>
      </c>
      <c r="F1189">
        <f>(SingleBerryDW!F1189/SingleBerryFW!F1189)*100</f>
        <v>18.399999999999999</v>
      </c>
    </row>
    <row r="1190" spans="1:6" hidden="1" x14ac:dyDescent="0.25">
      <c r="A1190" t="s">
        <v>18</v>
      </c>
      <c r="B1190" s="2">
        <v>45441</v>
      </c>
      <c r="C1190">
        <v>2024</v>
      </c>
      <c r="D1190">
        <f t="shared" si="28"/>
        <v>150</v>
      </c>
      <c r="E1190" t="s">
        <v>6</v>
      </c>
      <c r="F1190">
        <f>(SingleBerryDW!F1190/SingleBerryFW!F1190)*100</f>
        <v>17.899999999999995</v>
      </c>
    </row>
    <row r="1191" spans="1:6" hidden="1" x14ac:dyDescent="0.25">
      <c r="A1191" t="s">
        <v>18</v>
      </c>
      <c r="B1191" s="2">
        <v>45453</v>
      </c>
      <c r="C1191">
        <v>2024</v>
      </c>
      <c r="D1191">
        <f t="shared" si="28"/>
        <v>162</v>
      </c>
      <c r="E1191" t="s">
        <v>6</v>
      </c>
      <c r="F1191">
        <f>(SingleBerryDW!F1191/SingleBerryFW!F1191)*100</f>
        <v>18</v>
      </c>
    </row>
    <row r="1192" spans="1:6" hidden="1" x14ac:dyDescent="0.25">
      <c r="A1192" t="s">
        <v>18</v>
      </c>
      <c r="B1192" s="2">
        <v>45316</v>
      </c>
      <c r="C1192">
        <v>2024</v>
      </c>
      <c r="D1192">
        <f t="shared" si="28"/>
        <v>25</v>
      </c>
      <c r="E1192" t="s">
        <v>6</v>
      </c>
      <c r="F1192">
        <f>(SingleBerryDW!F1192/SingleBerryFW!F1192)*100</f>
        <v>8.3000000000000025</v>
      </c>
    </row>
    <row r="1193" spans="1:6" hidden="1" x14ac:dyDescent="0.25">
      <c r="A1193" t="s">
        <v>18</v>
      </c>
      <c r="B1193" s="2">
        <v>45337</v>
      </c>
      <c r="C1193">
        <v>2024</v>
      </c>
      <c r="D1193">
        <f t="shared" si="28"/>
        <v>46</v>
      </c>
      <c r="E1193" t="s">
        <v>6</v>
      </c>
      <c r="F1193">
        <f>(SingleBerryDW!F1193/SingleBerryFW!F1193)*100</f>
        <v>11.700000000000001</v>
      </c>
    </row>
    <row r="1194" spans="1:6" hidden="1" x14ac:dyDescent="0.25">
      <c r="A1194" t="s">
        <v>18</v>
      </c>
      <c r="B1194" s="2">
        <v>45350</v>
      </c>
      <c r="C1194">
        <v>2024</v>
      </c>
      <c r="D1194">
        <f t="shared" si="28"/>
        <v>59</v>
      </c>
      <c r="E1194" t="s">
        <v>6</v>
      </c>
      <c r="F1194">
        <f>(SingleBerryDW!F1194/SingleBerryFW!F1194)*100</f>
        <v>13.600000000000001</v>
      </c>
    </row>
    <row r="1195" spans="1:6" hidden="1" x14ac:dyDescent="0.25">
      <c r="A1195" t="s">
        <v>18</v>
      </c>
      <c r="B1195" s="2">
        <v>45364</v>
      </c>
      <c r="C1195">
        <v>2024</v>
      </c>
      <c r="D1195">
        <f t="shared" si="28"/>
        <v>73</v>
      </c>
      <c r="E1195" t="s">
        <v>6</v>
      </c>
      <c r="F1195">
        <f>(SingleBerryDW!F1195/SingleBerryFW!F1195)*100</f>
        <v>15.000000000000002</v>
      </c>
    </row>
    <row r="1196" spans="1:6" hidden="1" x14ac:dyDescent="0.25">
      <c r="A1196" t="s">
        <v>18</v>
      </c>
      <c r="B1196" s="2">
        <v>45378</v>
      </c>
      <c r="C1196">
        <v>2024</v>
      </c>
      <c r="D1196">
        <f t="shared" si="28"/>
        <v>87</v>
      </c>
      <c r="E1196" t="s">
        <v>6</v>
      </c>
      <c r="F1196">
        <f>(SingleBerryDW!F1196/SingleBerryFW!F1196)*100</f>
        <v>15.9</v>
      </c>
    </row>
    <row r="1197" spans="1:6" hidden="1" x14ac:dyDescent="0.25">
      <c r="A1197" t="s">
        <v>18</v>
      </c>
      <c r="B1197" s="2">
        <v>45393</v>
      </c>
      <c r="C1197">
        <v>2024</v>
      </c>
      <c r="D1197">
        <f t="shared" si="28"/>
        <v>102</v>
      </c>
      <c r="E1197" t="s">
        <v>6</v>
      </c>
      <c r="F1197">
        <f>(SingleBerryDW!F1197/SingleBerryFW!F1197)*100</f>
        <v>16.3</v>
      </c>
    </row>
    <row r="1198" spans="1:6" s="7" customFormat="1" hidden="1" x14ac:dyDescent="0.25">
      <c r="A1198" s="7" t="s">
        <v>18</v>
      </c>
      <c r="B1198" s="6">
        <v>45404</v>
      </c>
      <c r="C1198" s="7">
        <v>2024</v>
      </c>
      <c r="D1198">
        <f t="shared" si="28"/>
        <v>113</v>
      </c>
      <c r="E1198" s="7" t="s">
        <v>6</v>
      </c>
      <c r="F1198" s="7">
        <f>(SingleBerryDW!F1198/SingleBerryFW!F1198)*100</f>
        <v>16.2</v>
      </c>
    </row>
    <row r="1199" spans="1:6" hidden="1" x14ac:dyDescent="0.25">
      <c r="A1199" t="s">
        <v>18</v>
      </c>
      <c r="B1199" s="2">
        <v>45414</v>
      </c>
      <c r="C1199">
        <v>2024</v>
      </c>
      <c r="D1199">
        <f t="shared" si="28"/>
        <v>123</v>
      </c>
      <c r="E1199" t="s">
        <v>6</v>
      </c>
      <c r="F1199">
        <f>(SingleBerryDW!F1199/SingleBerryFW!F1199)*100</f>
        <v>17.099999999999998</v>
      </c>
    </row>
    <row r="1200" spans="1:6" hidden="1" x14ac:dyDescent="0.25">
      <c r="A1200" t="s">
        <v>18</v>
      </c>
      <c r="B1200" s="2">
        <v>45425</v>
      </c>
      <c r="C1200">
        <v>2024</v>
      </c>
      <c r="D1200">
        <f t="shared" si="28"/>
        <v>134</v>
      </c>
      <c r="E1200" t="s">
        <v>6</v>
      </c>
      <c r="F1200">
        <f>(SingleBerryDW!F1200/SingleBerryFW!F1200)*100</f>
        <v>17.3</v>
      </c>
    </row>
    <row r="1201" spans="1:8" hidden="1" x14ac:dyDescent="0.25">
      <c r="A1201" t="s">
        <v>18</v>
      </c>
      <c r="B1201" s="2">
        <v>45441</v>
      </c>
      <c r="C1201">
        <v>2024</v>
      </c>
      <c r="D1201">
        <f t="shared" si="28"/>
        <v>150</v>
      </c>
      <c r="E1201" t="s">
        <v>6</v>
      </c>
      <c r="F1201">
        <f>(SingleBerryDW!F1201/SingleBerryFW!F1201)*100</f>
        <v>17.7</v>
      </c>
    </row>
    <row r="1202" spans="1:8" hidden="1" x14ac:dyDescent="0.25">
      <c r="A1202" t="s">
        <v>18</v>
      </c>
      <c r="B1202" s="2">
        <v>45453</v>
      </c>
      <c r="C1202">
        <v>2024</v>
      </c>
      <c r="D1202">
        <f t="shared" si="28"/>
        <v>162</v>
      </c>
      <c r="E1202" t="s">
        <v>6</v>
      </c>
      <c r="F1202">
        <f>(SingleBerryDW!F1202/SingleBerryFW!F1202)*100</f>
        <v>17.8</v>
      </c>
    </row>
    <row r="1203" spans="1:8" hidden="1" x14ac:dyDescent="0.25">
      <c r="A1203" t="s">
        <v>18</v>
      </c>
      <c r="B1203" s="2">
        <v>45316</v>
      </c>
      <c r="C1203">
        <v>2024</v>
      </c>
      <c r="D1203">
        <f t="shared" si="28"/>
        <v>25</v>
      </c>
      <c r="E1203" t="s">
        <v>6</v>
      </c>
      <c r="F1203">
        <f>(SingleBerryDW!F1203/SingleBerryFW!F1203)*100</f>
        <v>8.6999999999999975</v>
      </c>
    </row>
    <row r="1204" spans="1:8" hidden="1" x14ac:dyDescent="0.25">
      <c r="A1204" t="s">
        <v>18</v>
      </c>
      <c r="B1204" s="2">
        <v>45337</v>
      </c>
      <c r="C1204">
        <v>2024</v>
      </c>
      <c r="D1204">
        <f t="shared" si="28"/>
        <v>46</v>
      </c>
      <c r="E1204" t="s">
        <v>6</v>
      </c>
      <c r="F1204">
        <f>(SingleBerryDW!F1204/SingleBerryFW!F1204)*100</f>
        <v>12.1</v>
      </c>
    </row>
    <row r="1205" spans="1:8" hidden="1" x14ac:dyDescent="0.25">
      <c r="A1205" t="s">
        <v>18</v>
      </c>
      <c r="B1205" s="2">
        <v>45350</v>
      </c>
      <c r="C1205">
        <v>2024</v>
      </c>
      <c r="D1205">
        <f t="shared" si="28"/>
        <v>59</v>
      </c>
      <c r="E1205" t="s">
        <v>6</v>
      </c>
      <c r="F1205">
        <f>(SingleBerryDW!F1205/SingleBerryFW!F1205)*100</f>
        <v>13.5</v>
      </c>
    </row>
    <row r="1206" spans="1:8" hidden="1" x14ac:dyDescent="0.25">
      <c r="A1206" t="s">
        <v>18</v>
      </c>
      <c r="B1206" s="2">
        <v>45364</v>
      </c>
      <c r="C1206">
        <v>2024</v>
      </c>
      <c r="D1206">
        <f t="shared" si="28"/>
        <v>73</v>
      </c>
      <c r="E1206" t="s">
        <v>6</v>
      </c>
      <c r="F1206">
        <f>(SingleBerryDW!F1206/SingleBerryFW!F1206)*100</f>
        <v>14.7</v>
      </c>
    </row>
    <row r="1207" spans="1:8" hidden="1" x14ac:dyDescent="0.25">
      <c r="A1207" t="s">
        <v>18</v>
      </c>
      <c r="B1207" s="2">
        <v>45378</v>
      </c>
      <c r="C1207">
        <v>2024</v>
      </c>
      <c r="D1207">
        <f t="shared" si="28"/>
        <v>87</v>
      </c>
      <c r="E1207" t="s">
        <v>6</v>
      </c>
      <c r="F1207">
        <f>(SingleBerryDW!F1207/SingleBerryFW!F1207)*100</f>
        <v>15.7</v>
      </c>
    </row>
    <row r="1208" spans="1:8" hidden="1" x14ac:dyDescent="0.25">
      <c r="A1208" t="s">
        <v>18</v>
      </c>
      <c r="B1208" s="2">
        <v>45390</v>
      </c>
      <c r="C1208">
        <v>2024</v>
      </c>
      <c r="D1208">
        <f t="shared" si="28"/>
        <v>99</v>
      </c>
      <c r="E1208" t="s">
        <v>6</v>
      </c>
      <c r="F1208">
        <f>(SingleBerryDW!F1208/SingleBerryFW!F1208)*100</f>
        <v>16.499999999999996</v>
      </c>
    </row>
    <row r="1209" spans="1:8" s="7" customFormat="1" hidden="1" x14ac:dyDescent="0.25">
      <c r="A1209" s="7" t="s">
        <v>18</v>
      </c>
      <c r="B1209" s="6">
        <v>45407</v>
      </c>
      <c r="C1209" s="7">
        <v>2024</v>
      </c>
      <c r="D1209">
        <f t="shared" si="28"/>
        <v>116</v>
      </c>
      <c r="E1209" s="7" t="s">
        <v>6</v>
      </c>
      <c r="F1209" s="7">
        <f>(SingleBerryDW!F1209/SingleBerryFW!F1209)*100</f>
        <v>16.5</v>
      </c>
      <c r="G1209" s="7">
        <f>Calculations!F10</f>
        <v>16.936813077853831</v>
      </c>
      <c r="H1209" s="7" t="s">
        <v>27</v>
      </c>
    </row>
    <row r="1210" spans="1:8" hidden="1" x14ac:dyDescent="0.25">
      <c r="A1210" t="s">
        <v>18</v>
      </c>
      <c r="B1210" s="2">
        <v>45413</v>
      </c>
      <c r="C1210">
        <v>2024</v>
      </c>
      <c r="D1210">
        <f t="shared" si="28"/>
        <v>122</v>
      </c>
      <c r="E1210" t="s">
        <v>6</v>
      </c>
      <c r="F1210">
        <f>(SingleBerryDW!F1210/SingleBerryFW!F1210)*100</f>
        <v>16.8</v>
      </c>
    </row>
    <row r="1211" spans="1:8" hidden="1" x14ac:dyDescent="0.25">
      <c r="A1211" t="s">
        <v>18</v>
      </c>
      <c r="B1211" s="2">
        <v>45425</v>
      </c>
      <c r="C1211">
        <v>2024</v>
      </c>
      <c r="D1211">
        <f t="shared" si="28"/>
        <v>134</v>
      </c>
      <c r="E1211" t="s">
        <v>6</v>
      </c>
      <c r="F1211">
        <f>(SingleBerryDW!F1211/SingleBerryFW!F1211)*100</f>
        <v>17.8</v>
      </c>
    </row>
    <row r="1212" spans="1:8" hidden="1" x14ac:dyDescent="0.25">
      <c r="A1212" t="s">
        <v>18</v>
      </c>
      <c r="B1212" s="2">
        <v>45439</v>
      </c>
      <c r="C1212">
        <v>2024</v>
      </c>
      <c r="D1212">
        <f t="shared" si="28"/>
        <v>148</v>
      </c>
      <c r="E1212" t="s">
        <v>6</v>
      </c>
      <c r="F1212">
        <f>(SingleBerryDW!F1212/SingleBerryFW!F1212)*100</f>
        <v>15</v>
      </c>
    </row>
    <row r="1213" spans="1:8" hidden="1" x14ac:dyDescent="0.25">
      <c r="A1213" t="s">
        <v>18</v>
      </c>
      <c r="B1213" s="2">
        <v>45454</v>
      </c>
      <c r="C1213">
        <v>2024</v>
      </c>
      <c r="D1213">
        <f t="shared" si="28"/>
        <v>163</v>
      </c>
      <c r="E1213" t="s">
        <v>6</v>
      </c>
      <c r="F1213">
        <f>(SingleBerryDW!F1213/SingleBerryFW!F1213)*100</f>
        <v>17.5</v>
      </c>
    </row>
    <row r="1214" spans="1:8" hidden="1" x14ac:dyDescent="0.25">
      <c r="A1214" t="s">
        <v>23</v>
      </c>
      <c r="B1214" s="2">
        <v>45315</v>
      </c>
      <c r="C1214">
        <v>2024</v>
      </c>
      <c r="D1214">
        <f>B1214-DATE(YEAR(B1214),1,0)</f>
        <v>24</v>
      </c>
      <c r="E1214" t="s">
        <v>9</v>
      </c>
      <c r="F1214">
        <f>(SingleBerryDW!F1214/SingleBerryFW!F1214)*100</f>
        <v>9.9</v>
      </c>
    </row>
    <row r="1215" spans="1:8" hidden="1" x14ac:dyDescent="0.25">
      <c r="A1215" t="s">
        <v>23</v>
      </c>
      <c r="B1215" s="2">
        <v>45335</v>
      </c>
      <c r="C1215">
        <v>2024</v>
      </c>
      <c r="D1215">
        <f t="shared" ref="D1215:D1224" si="29">B1215-DATE(YEAR(B1215),1,0)</f>
        <v>44</v>
      </c>
      <c r="E1215" t="s">
        <v>9</v>
      </c>
      <c r="F1215">
        <f>(SingleBerryDW!F1215/SingleBerryFW!F1215)*100</f>
        <v>13.100000000000001</v>
      </c>
    </row>
    <row r="1216" spans="1:8" hidden="1" x14ac:dyDescent="0.25">
      <c r="A1216" t="s">
        <v>23</v>
      </c>
      <c r="B1216" s="2">
        <v>45349</v>
      </c>
      <c r="C1216">
        <v>2024</v>
      </c>
      <c r="D1216">
        <f t="shared" si="29"/>
        <v>58</v>
      </c>
      <c r="E1216" t="s">
        <v>9</v>
      </c>
      <c r="F1216">
        <f>(SingleBerryDW!F1216/SingleBerryFW!F1216)*100</f>
        <v>14.900000000000002</v>
      </c>
    </row>
    <row r="1217" spans="1:13" hidden="1" x14ac:dyDescent="0.25">
      <c r="A1217" t="s">
        <v>23</v>
      </c>
      <c r="B1217" s="2">
        <v>45363</v>
      </c>
      <c r="C1217">
        <v>2024</v>
      </c>
      <c r="D1217">
        <f t="shared" si="29"/>
        <v>72</v>
      </c>
      <c r="E1217" t="s">
        <v>9</v>
      </c>
      <c r="F1217">
        <f>(SingleBerryDW!F1217/SingleBerryFW!F1217)*100</f>
        <v>16</v>
      </c>
    </row>
    <row r="1218" spans="1:13" hidden="1" x14ac:dyDescent="0.25">
      <c r="A1218" t="s">
        <v>23</v>
      </c>
      <c r="B1218" s="2">
        <v>45378</v>
      </c>
      <c r="C1218">
        <v>2024</v>
      </c>
      <c r="D1218">
        <f t="shared" si="29"/>
        <v>87</v>
      </c>
      <c r="E1218" t="s">
        <v>9</v>
      </c>
      <c r="F1218">
        <f>(SingleBerryDW!F1218/SingleBerryFW!F1218)*100</f>
        <v>16.7</v>
      </c>
    </row>
    <row r="1219" spans="1:13" hidden="1" x14ac:dyDescent="0.25">
      <c r="A1219" t="s">
        <v>23</v>
      </c>
      <c r="B1219" s="2">
        <v>45390</v>
      </c>
      <c r="C1219">
        <v>2024</v>
      </c>
      <c r="D1219">
        <f t="shared" si="29"/>
        <v>99</v>
      </c>
      <c r="E1219" t="s">
        <v>9</v>
      </c>
      <c r="F1219">
        <f>(SingleBerryDW!F1219/SingleBerryFW!F1219)*100</f>
        <v>17</v>
      </c>
    </row>
    <row r="1220" spans="1:13" hidden="1" x14ac:dyDescent="0.25">
      <c r="A1220" t="s">
        <v>23</v>
      </c>
      <c r="B1220" s="2">
        <v>45406</v>
      </c>
      <c r="C1220">
        <v>2024</v>
      </c>
      <c r="D1220">
        <f t="shared" si="29"/>
        <v>115</v>
      </c>
      <c r="E1220" t="s">
        <v>9</v>
      </c>
      <c r="F1220">
        <f>(SingleBerryDW!F1220/SingleBerryFW!F1220)*100</f>
        <v>17.3</v>
      </c>
      <c r="G1220">
        <f>Calculations!F15</f>
        <v>17.519292916252549</v>
      </c>
      <c r="H1220" t="s">
        <v>27</v>
      </c>
    </row>
    <row r="1221" spans="1:13" hidden="1" x14ac:dyDescent="0.25">
      <c r="A1221" t="s">
        <v>23</v>
      </c>
      <c r="B1221" s="2">
        <v>45412</v>
      </c>
      <c r="C1221">
        <v>2024</v>
      </c>
      <c r="D1221">
        <f t="shared" si="29"/>
        <v>121</v>
      </c>
      <c r="E1221" t="s">
        <v>9</v>
      </c>
      <c r="F1221">
        <f>(SingleBerryDW!F1221/SingleBerryFW!F1221)*100</f>
        <v>17.7</v>
      </c>
    </row>
    <row r="1222" spans="1:13" hidden="1" x14ac:dyDescent="0.25">
      <c r="A1222" t="s">
        <v>23</v>
      </c>
      <c r="B1222" s="2">
        <v>45427</v>
      </c>
      <c r="C1222">
        <v>2024</v>
      </c>
      <c r="D1222">
        <f t="shared" si="29"/>
        <v>136</v>
      </c>
      <c r="E1222" t="s">
        <v>9</v>
      </c>
      <c r="F1222">
        <f>(SingleBerryDW!F1222/SingleBerryFW!F1222)*100</f>
        <v>17.899999999999995</v>
      </c>
    </row>
    <row r="1223" spans="1:13" hidden="1" x14ac:dyDescent="0.25">
      <c r="A1223" t="s">
        <v>23</v>
      </c>
      <c r="B1223" s="2">
        <v>45441</v>
      </c>
      <c r="C1223">
        <v>2024</v>
      </c>
      <c r="D1223">
        <f t="shared" si="29"/>
        <v>150</v>
      </c>
      <c r="E1223" t="s">
        <v>9</v>
      </c>
      <c r="F1223">
        <f>(SingleBerryDW!F1223/SingleBerryFW!F1223)*100</f>
        <v>17.8</v>
      </c>
    </row>
    <row r="1224" spans="1:13" hidden="1" x14ac:dyDescent="0.25">
      <c r="A1224" t="s">
        <v>23</v>
      </c>
      <c r="B1224" s="2">
        <v>45454</v>
      </c>
      <c r="C1224">
        <v>2024</v>
      </c>
      <c r="D1224">
        <f t="shared" si="29"/>
        <v>163</v>
      </c>
      <c r="E1224" t="s">
        <v>9</v>
      </c>
      <c r="F1224">
        <f>(SingleBerryDW!F1224/SingleBerryFW!F1224)*100</f>
        <v>17.899999999999999</v>
      </c>
    </row>
    <row r="1225" spans="1:13" hidden="1" x14ac:dyDescent="0.25">
      <c r="B1225" s="2"/>
    </row>
    <row r="1226" spans="1:13" hidden="1" x14ac:dyDescent="0.25">
      <c r="B1226" s="2"/>
    </row>
    <row r="1227" spans="1:13" hidden="1" x14ac:dyDescent="0.25">
      <c r="B1227" s="2"/>
    </row>
    <row r="1228" spans="1:13" hidden="1" x14ac:dyDescent="0.25">
      <c r="B1228" s="2"/>
    </row>
    <row r="1229" spans="1:13" s="9" customFormat="1" x14ac:dyDescent="0.25">
      <c r="A1229" s="9" t="s">
        <v>33</v>
      </c>
      <c r="B1229" s="10">
        <v>43851</v>
      </c>
      <c r="C1229" s="9">
        <f>YEAR(B1229)</f>
        <v>2020</v>
      </c>
      <c r="D1229" s="11">
        <f t="shared" ref="D1229:D1292" si="30">B1229-DATE(YEAR(B1229),1,0)</f>
        <v>21</v>
      </c>
      <c r="E1229" s="9" t="s">
        <v>38</v>
      </c>
      <c r="F1229">
        <v>9.8000000000000007</v>
      </c>
      <c r="I1229" s="4"/>
      <c r="M1229" s="10"/>
    </row>
    <row r="1230" spans="1:13" x14ac:dyDescent="0.25">
      <c r="A1230" s="9" t="s">
        <v>33</v>
      </c>
      <c r="B1230" s="2">
        <v>43851</v>
      </c>
      <c r="C1230" s="9">
        <f t="shared" ref="C1230:C1293" si="31">YEAR(B1230)</f>
        <v>2020</v>
      </c>
      <c r="D1230" s="11">
        <f t="shared" si="30"/>
        <v>21</v>
      </c>
      <c r="E1230" s="9" t="s">
        <v>38</v>
      </c>
      <c r="F1230">
        <v>9.4</v>
      </c>
      <c r="I1230" s="4"/>
      <c r="M1230" s="2"/>
    </row>
    <row r="1231" spans="1:13" x14ac:dyDescent="0.25">
      <c r="A1231" s="9" t="s">
        <v>33</v>
      </c>
      <c r="B1231" s="2">
        <v>43879</v>
      </c>
      <c r="C1231" s="9">
        <f t="shared" si="31"/>
        <v>2020</v>
      </c>
      <c r="D1231" s="11">
        <f t="shared" si="30"/>
        <v>49</v>
      </c>
      <c r="E1231" s="9" t="s">
        <v>38</v>
      </c>
      <c r="F1231">
        <v>14.4</v>
      </c>
      <c r="I1231" s="4"/>
      <c r="M1231" s="2"/>
    </row>
    <row r="1232" spans="1:13" x14ac:dyDescent="0.25">
      <c r="A1232" s="9" t="s">
        <v>33</v>
      </c>
      <c r="B1232" s="2">
        <v>43879</v>
      </c>
      <c r="C1232" s="9">
        <f t="shared" si="31"/>
        <v>2020</v>
      </c>
      <c r="D1232" s="11">
        <f t="shared" si="30"/>
        <v>49</v>
      </c>
      <c r="E1232" s="9" t="s">
        <v>38</v>
      </c>
      <c r="F1232">
        <v>13.5</v>
      </c>
      <c r="I1232" s="4"/>
      <c r="M1232" s="2"/>
    </row>
    <row r="1233" spans="1:13" x14ac:dyDescent="0.25">
      <c r="A1233" s="9" t="s">
        <v>33</v>
      </c>
      <c r="B1233" s="2">
        <v>43893</v>
      </c>
      <c r="C1233" s="9">
        <f t="shared" si="31"/>
        <v>2020</v>
      </c>
      <c r="D1233" s="11">
        <f t="shared" si="30"/>
        <v>63</v>
      </c>
      <c r="E1233" s="9" t="s">
        <v>38</v>
      </c>
      <c r="F1233">
        <v>15.8</v>
      </c>
      <c r="I1233" s="4"/>
      <c r="M1233" s="2"/>
    </row>
    <row r="1234" spans="1:13" x14ac:dyDescent="0.25">
      <c r="A1234" s="9" t="s">
        <v>33</v>
      </c>
      <c r="B1234" s="2">
        <v>43893</v>
      </c>
      <c r="C1234" s="9">
        <f t="shared" si="31"/>
        <v>2020</v>
      </c>
      <c r="D1234" s="11">
        <f t="shared" si="30"/>
        <v>63</v>
      </c>
      <c r="E1234" s="9" t="s">
        <v>38</v>
      </c>
      <c r="F1234">
        <v>14.5</v>
      </c>
      <c r="I1234" s="4"/>
      <c r="M1234" s="2"/>
    </row>
    <row r="1235" spans="1:13" x14ac:dyDescent="0.25">
      <c r="A1235" s="9" t="s">
        <v>33</v>
      </c>
      <c r="B1235" s="2">
        <v>43906</v>
      </c>
      <c r="C1235" s="9">
        <f t="shared" si="31"/>
        <v>2020</v>
      </c>
      <c r="D1235" s="11">
        <f t="shared" si="30"/>
        <v>76</v>
      </c>
      <c r="E1235" s="9" t="s">
        <v>38</v>
      </c>
      <c r="F1235">
        <v>17</v>
      </c>
      <c r="I1235" s="4"/>
      <c r="M1235" s="2"/>
    </row>
    <row r="1236" spans="1:13" x14ac:dyDescent="0.25">
      <c r="A1236" s="9" t="s">
        <v>33</v>
      </c>
      <c r="B1236" s="2">
        <v>43906</v>
      </c>
      <c r="C1236" s="9">
        <f t="shared" si="31"/>
        <v>2020</v>
      </c>
      <c r="D1236" s="11">
        <f t="shared" si="30"/>
        <v>76</v>
      </c>
      <c r="E1236" s="9" t="s">
        <v>38</v>
      </c>
      <c r="F1236">
        <v>15.4</v>
      </c>
      <c r="I1236" s="4"/>
      <c r="M1236" s="2"/>
    </row>
    <row r="1237" spans="1:13" x14ac:dyDescent="0.25">
      <c r="A1237" s="9" t="s">
        <v>33</v>
      </c>
      <c r="B1237" s="2">
        <v>43951</v>
      </c>
      <c r="C1237" s="9">
        <f t="shared" si="31"/>
        <v>2020</v>
      </c>
      <c r="D1237" s="11">
        <f t="shared" si="30"/>
        <v>121</v>
      </c>
      <c r="E1237" s="9" t="s">
        <v>38</v>
      </c>
      <c r="F1237">
        <v>18.8</v>
      </c>
      <c r="I1237" s="4"/>
      <c r="M1237" s="2"/>
    </row>
    <row r="1238" spans="1:13" x14ac:dyDescent="0.25">
      <c r="A1238" s="9" t="s">
        <v>33</v>
      </c>
      <c r="B1238" s="2">
        <v>43951</v>
      </c>
      <c r="C1238" s="9">
        <f t="shared" si="31"/>
        <v>2020</v>
      </c>
      <c r="D1238" s="11">
        <f t="shared" si="30"/>
        <v>121</v>
      </c>
      <c r="E1238" s="9" t="s">
        <v>38</v>
      </c>
      <c r="F1238">
        <v>17.8</v>
      </c>
      <c r="G1238" s="7">
        <f>Calculations!F16</f>
        <v>18.247761330390631</v>
      </c>
      <c r="H1238" t="s">
        <v>27</v>
      </c>
      <c r="I1238" s="4"/>
      <c r="M1238" s="2"/>
    </row>
    <row r="1239" spans="1:13" x14ac:dyDescent="0.25">
      <c r="A1239" s="9" t="s">
        <v>33</v>
      </c>
      <c r="B1239" s="2">
        <v>43963</v>
      </c>
      <c r="C1239" s="9">
        <f t="shared" si="31"/>
        <v>2020</v>
      </c>
      <c r="D1239" s="11">
        <f t="shared" si="30"/>
        <v>133</v>
      </c>
      <c r="E1239" s="9" t="s">
        <v>38</v>
      </c>
      <c r="F1239">
        <v>19.3</v>
      </c>
      <c r="I1239" s="4"/>
      <c r="M1239" s="2"/>
    </row>
    <row r="1240" spans="1:13" x14ac:dyDescent="0.25">
      <c r="A1240" s="9" t="s">
        <v>33</v>
      </c>
      <c r="B1240" s="2">
        <v>43963</v>
      </c>
      <c r="C1240" s="9">
        <f t="shared" si="31"/>
        <v>2020</v>
      </c>
      <c r="D1240" s="11">
        <f t="shared" si="30"/>
        <v>133</v>
      </c>
      <c r="E1240" s="9" t="s">
        <v>38</v>
      </c>
      <c r="F1240">
        <v>18</v>
      </c>
      <c r="I1240" s="4"/>
      <c r="M1240" s="2"/>
    </row>
    <row r="1241" spans="1:13" x14ac:dyDescent="0.25">
      <c r="A1241" s="9" t="s">
        <v>33</v>
      </c>
      <c r="B1241" s="2">
        <v>43976</v>
      </c>
      <c r="C1241" s="9">
        <f t="shared" si="31"/>
        <v>2020</v>
      </c>
      <c r="D1241" s="11">
        <f t="shared" si="30"/>
        <v>146</v>
      </c>
      <c r="E1241" s="9" t="s">
        <v>38</v>
      </c>
      <c r="F1241">
        <v>19.3</v>
      </c>
      <c r="I1241" s="4"/>
      <c r="M1241" s="2"/>
    </row>
    <row r="1242" spans="1:13" x14ac:dyDescent="0.25">
      <c r="A1242" s="9" t="s">
        <v>33</v>
      </c>
      <c r="B1242" s="2">
        <v>43976</v>
      </c>
      <c r="C1242" s="9">
        <f t="shared" si="31"/>
        <v>2020</v>
      </c>
      <c r="D1242" s="11">
        <f t="shared" si="30"/>
        <v>146</v>
      </c>
      <c r="E1242" s="9" t="s">
        <v>38</v>
      </c>
      <c r="F1242">
        <v>18.3</v>
      </c>
      <c r="I1242" s="4"/>
      <c r="M1242" s="2"/>
    </row>
    <row r="1243" spans="1:13" x14ac:dyDescent="0.25">
      <c r="A1243" s="9" t="s">
        <v>34</v>
      </c>
      <c r="B1243" s="2">
        <v>44222</v>
      </c>
      <c r="C1243" s="9">
        <f t="shared" si="31"/>
        <v>2021</v>
      </c>
      <c r="D1243" s="11">
        <f t="shared" si="30"/>
        <v>26</v>
      </c>
      <c r="E1243" s="9" t="s">
        <v>38</v>
      </c>
      <c r="F1243">
        <v>11.29936328</v>
      </c>
      <c r="I1243" s="4"/>
      <c r="M1243" s="2"/>
    </row>
    <row r="1244" spans="1:13" x14ac:dyDescent="0.25">
      <c r="A1244" s="9" t="s">
        <v>34</v>
      </c>
      <c r="B1244" s="2">
        <v>44222</v>
      </c>
      <c r="C1244" s="9">
        <f t="shared" si="31"/>
        <v>2021</v>
      </c>
      <c r="D1244" s="11">
        <f t="shared" si="30"/>
        <v>26</v>
      </c>
      <c r="E1244" s="9" t="s">
        <v>38</v>
      </c>
      <c r="F1244">
        <v>10.384784740000001</v>
      </c>
      <c r="I1244" s="4"/>
      <c r="M1244" s="2"/>
    </row>
    <row r="1245" spans="1:13" x14ac:dyDescent="0.25">
      <c r="A1245" s="9" t="s">
        <v>34</v>
      </c>
      <c r="B1245" s="2">
        <v>44245</v>
      </c>
      <c r="C1245" s="9">
        <f t="shared" si="31"/>
        <v>2021</v>
      </c>
      <c r="D1245" s="11">
        <f t="shared" si="30"/>
        <v>49</v>
      </c>
      <c r="E1245" s="9" t="s">
        <v>38</v>
      </c>
      <c r="F1245">
        <v>14.70850283</v>
      </c>
      <c r="I1245" s="4"/>
      <c r="M1245" s="2"/>
    </row>
    <row r="1246" spans="1:13" x14ac:dyDescent="0.25">
      <c r="A1246" s="9" t="s">
        <v>34</v>
      </c>
      <c r="B1246" s="2">
        <v>44245</v>
      </c>
      <c r="C1246" s="9">
        <f t="shared" si="31"/>
        <v>2021</v>
      </c>
      <c r="D1246" s="11">
        <f t="shared" si="30"/>
        <v>49</v>
      </c>
      <c r="E1246" s="9" t="s">
        <v>38</v>
      </c>
      <c r="F1246">
        <v>14.41828804</v>
      </c>
      <c r="I1246" s="4"/>
      <c r="M1246" s="2"/>
    </row>
    <row r="1247" spans="1:13" x14ac:dyDescent="0.25">
      <c r="A1247" s="9" t="s">
        <v>34</v>
      </c>
      <c r="B1247" s="2">
        <v>44257</v>
      </c>
      <c r="C1247" s="9">
        <f t="shared" si="31"/>
        <v>2021</v>
      </c>
      <c r="D1247" s="11">
        <f t="shared" si="30"/>
        <v>61</v>
      </c>
      <c r="E1247" s="9" t="s">
        <v>38</v>
      </c>
      <c r="F1247">
        <v>16.383098050000001</v>
      </c>
      <c r="I1247" s="4"/>
      <c r="M1247" s="2"/>
    </row>
    <row r="1248" spans="1:13" x14ac:dyDescent="0.25">
      <c r="A1248" s="9" t="s">
        <v>34</v>
      </c>
      <c r="B1248" s="2">
        <v>44257</v>
      </c>
      <c r="C1248" s="9">
        <f t="shared" si="31"/>
        <v>2021</v>
      </c>
      <c r="D1248" s="11">
        <f t="shared" si="30"/>
        <v>61</v>
      </c>
      <c r="E1248" s="9" t="s">
        <v>38</v>
      </c>
      <c r="F1248">
        <v>15.658666849999999</v>
      </c>
      <c r="I1248" s="4"/>
      <c r="M1248" s="2"/>
    </row>
    <row r="1249" spans="1:13" x14ac:dyDescent="0.25">
      <c r="A1249" s="9" t="s">
        <v>34</v>
      </c>
      <c r="B1249" s="2">
        <v>44271</v>
      </c>
      <c r="C1249" s="9">
        <f t="shared" si="31"/>
        <v>2021</v>
      </c>
      <c r="D1249" s="11">
        <f t="shared" si="30"/>
        <v>75</v>
      </c>
      <c r="E1249" s="9" t="s">
        <v>38</v>
      </c>
      <c r="F1249">
        <v>17.780023020000002</v>
      </c>
      <c r="I1249" s="4"/>
      <c r="M1249" s="2"/>
    </row>
    <row r="1250" spans="1:13" x14ac:dyDescent="0.25">
      <c r="A1250" s="9" t="s">
        <v>34</v>
      </c>
      <c r="B1250" s="2">
        <v>44271</v>
      </c>
      <c r="C1250" s="9">
        <f t="shared" si="31"/>
        <v>2021</v>
      </c>
      <c r="D1250" s="11">
        <f t="shared" si="30"/>
        <v>75</v>
      </c>
      <c r="E1250" s="9" t="s">
        <v>38</v>
      </c>
      <c r="F1250">
        <v>17.54057602</v>
      </c>
      <c r="I1250" s="4"/>
      <c r="M1250" s="2"/>
    </row>
    <row r="1251" spans="1:13" x14ac:dyDescent="0.25">
      <c r="A1251" s="9" t="s">
        <v>34</v>
      </c>
      <c r="B1251" s="2">
        <v>44285</v>
      </c>
      <c r="C1251" s="9">
        <f t="shared" si="31"/>
        <v>2021</v>
      </c>
      <c r="D1251" s="11">
        <f t="shared" si="30"/>
        <v>89</v>
      </c>
      <c r="E1251" s="9" t="s">
        <v>38</v>
      </c>
      <c r="F1251">
        <v>19.241922370000001</v>
      </c>
      <c r="I1251" s="4"/>
      <c r="M1251" s="2"/>
    </row>
    <row r="1252" spans="1:13" x14ac:dyDescent="0.25">
      <c r="A1252" s="9" t="s">
        <v>34</v>
      </c>
      <c r="B1252" s="2">
        <v>44285</v>
      </c>
      <c r="C1252" s="9">
        <f t="shared" si="31"/>
        <v>2021</v>
      </c>
      <c r="D1252" s="11">
        <f t="shared" si="30"/>
        <v>89</v>
      </c>
      <c r="E1252" s="9" t="s">
        <v>38</v>
      </c>
      <c r="F1252">
        <v>18.53589234</v>
      </c>
      <c r="I1252" s="4"/>
      <c r="M1252" s="2"/>
    </row>
    <row r="1253" spans="1:13" x14ac:dyDescent="0.25">
      <c r="A1253" s="9" t="s">
        <v>34</v>
      </c>
      <c r="B1253" s="2">
        <v>44299</v>
      </c>
      <c r="C1253" s="9">
        <f t="shared" si="31"/>
        <v>2021</v>
      </c>
      <c r="D1253" s="11">
        <f t="shared" si="30"/>
        <v>103</v>
      </c>
      <c r="E1253" s="9" t="s">
        <v>38</v>
      </c>
      <c r="F1253">
        <v>17.99216603</v>
      </c>
      <c r="I1253" s="4"/>
      <c r="M1253" s="2"/>
    </row>
    <row r="1254" spans="1:13" x14ac:dyDescent="0.25">
      <c r="A1254" s="9" t="s">
        <v>34</v>
      </c>
      <c r="B1254" s="2">
        <v>44299</v>
      </c>
      <c r="C1254" s="9">
        <f t="shared" si="31"/>
        <v>2021</v>
      </c>
      <c r="D1254" s="11">
        <f t="shared" si="30"/>
        <v>103</v>
      </c>
      <c r="E1254" s="9" t="s">
        <v>38</v>
      </c>
      <c r="F1254">
        <v>18.52843966</v>
      </c>
      <c r="I1254" s="4"/>
      <c r="M1254" s="2"/>
    </row>
    <row r="1255" spans="1:13" x14ac:dyDescent="0.25">
      <c r="A1255" s="9" t="s">
        <v>34</v>
      </c>
      <c r="B1255" s="2">
        <v>44306</v>
      </c>
      <c r="C1255" s="9">
        <f t="shared" si="31"/>
        <v>2021</v>
      </c>
      <c r="D1255" s="11">
        <f t="shared" si="30"/>
        <v>110</v>
      </c>
      <c r="E1255" s="9" t="s">
        <v>38</v>
      </c>
      <c r="F1255">
        <v>18.474378529999999</v>
      </c>
      <c r="I1255" s="4"/>
      <c r="M1255" s="2"/>
    </row>
    <row r="1256" spans="1:13" x14ac:dyDescent="0.25">
      <c r="A1256" s="9" t="s">
        <v>34</v>
      </c>
      <c r="B1256" s="2">
        <v>44306</v>
      </c>
      <c r="C1256" s="9">
        <f t="shared" si="31"/>
        <v>2021</v>
      </c>
      <c r="D1256" s="11">
        <f t="shared" si="30"/>
        <v>110</v>
      </c>
      <c r="E1256" s="9" t="s">
        <v>38</v>
      </c>
      <c r="F1256">
        <v>18.636417640000001</v>
      </c>
      <c r="I1256" s="4"/>
      <c r="M1256" s="2"/>
    </row>
    <row r="1257" spans="1:13" x14ac:dyDescent="0.25">
      <c r="A1257" s="9" t="s">
        <v>34</v>
      </c>
      <c r="B1257" s="2">
        <v>44314</v>
      </c>
      <c r="C1257" s="9">
        <f t="shared" si="31"/>
        <v>2021</v>
      </c>
      <c r="D1257" s="11">
        <f t="shared" si="30"/>
        <v>118</v>
      </c>
      <c r="E1257" s="9" t="s">
        <v>38</v>
      </c>
      <c r="F1257">
        <v>18.666680719999999</v>
      </c>
      <c r="I1257" s="4"/>
      <c r="M1257" s="2"/>
    </row>
    <row r="1258" spans="1:13" x14ac:dyDescent="0.25">
      <c r="A1258" s="9" t="s">
        <v>34</v>
      </c>
      <c r="B1258" s="2">
        <v>44314</v>
      </c>
      <c r="C1258" s="9">
        <f t="shared" si="31"/>
        <v>2021</v>
      </c>
      <c r="D1258" s="11">
        <f t="shared" si="30"/>
        <v>118</v>
      </c>
      <c r="E1258" s="9" t="s">
        <v>38</v>
      </c>
      <c r="F1258">
        <v>18.691098620000002</v>
      </c>
      <c r="I1258" s="4"/>
      <c r="M1258" s="2"/>
    </row>
    <row r="1259" spans="1:13" x14ac:dyDescent="0.25">
      <c r="A1259" s="9" t="s">
        <v>34</v>
      </c>
      <c r="B1259" s="2">
        <v>44322</v>
      </c>
      <c r="C1259" s="9">
        <f t="shared" si="31"/>
        <v>2021</v>
      </c>
      <c r="D1259" s="11">
        <f t="shared" si="30"/>
        <v>126</v>
      </c>
      <c r="E1259" s="9" t="s">
        <v>38</v>
      </c>
      <c r="F1259">
        <v>18.611321650000001</v>
      </c>
      <c r="I1259" s="4"/>
      <c r="M1259" s="2"/>
    </row>
    <row r="1260" spans="1:13" x14ac:dyDescent="0.25">
      <c r="A1260" s="9" t="s">
        <v>34</v>
      </c>
      <c r="B1260" s="2">
        <v>44322</v>
      </c>
      <c r="C1260" s="9">
        <f t="shared" si="31"/>
        <v>2021</v>
      </c>
      <c r="D1260" s="11">
        <f t="shared" si="30"/>
        <v>126</v>
      </c>
      <c r="E1260" s="9" t="s">
        <v>38</v>
      </c>
      <c r="F1260">
        <v>19.33917375</v>
      </c>
      <c r="I1260" s="4"/>
      <c r="M1260" s="2"/>
    </row>
    <row r="1261" spans="1:13" x14ac:dyDescent="0.25">
      <c r="A1261" s="9" t="s">
        <v>34</v>
      </c>
      <c r="B1261" s="2">
        <v>44334</v>
      </c>
      <c r="C1261" s="9">
        <f t="shared" si="31"/>
        <v>2021</v>
      </c>
      <c r="D1261" s="11">
        <f t="shared" si="30"/>
        <v>138</v>
      </c>
      <c r="E1261" s="9" t="s">
        <v>38</v>
      </c>
      <c r="F1261">
        <v>18.866520569999999</v>
      </c>
      <c r="G1261" s="7">
        <f>Calculations!F17</f>
        <v>18.916511755429383</v>
      </c>
      <c r="H1261" t="s">
        <v>27</v>
      </c>
      <c r="I1261" s="4"/>
      <c r="M1261" s="2"/>
    </row>
    <row r="1262" spans="1:13" x14ac:dyDescent="0.25">
      <c r="A1262" s="9" t="s">
        <v>34</v>
      </c>
      <c r="B1262" s="2">
        <v>44334</v>
      </c>
      <c r="C1262" s="9">
        <f t="shared" si="31"/>
        <v>2021</v>
      </c>
      <c r="D1262" s="11">
        <f t="shared" si="30"/>
        <v>138</v>
      </c>
      <c r="E1262" s="9" t="s">
        <v>38</v>
      </c>
      <c r="F1262">
        <v>18.787924360000002</v>
      </c>
      <c r="I1262" s="4"/>
      <c r="M1262" s="2"/>
    </row>
    <row r="1263" spans="1:13" x14ac:dyDescent="0.25">
      <c r="A1263" s="9" t="s">
        <v>34</v>
      </c>
      <c r="B1263" s="2">
        <v>44349</v>
      </c>
      <c r="C1263" s="9">
        <f t="shared" si="31"/>
        <v>2021</v>
      </c>
      <c r="D1263" s="11">
        <f t="shared" si="30"/>
        <v>153</v>
      </c>
      <c r="E1263" s="9" t="s">
        <v>38</v>
      </c>
      <c r="F1263">
        <v>18.936935269999999</v>
      </c>
      <c r="I1263" s="4"/>
      <c r="M1263" s="2"/>
    </row>
    <row r="1264" spans="1:13" x14ac:dyDescent="0.25">
      <c r="A1264" s="9" t="s">
        <v>34</v>
      </c>
      <c r="B1264" s="2">
        <v>44349</v>
      </c>
      <c r="C1264" s="9">
        <f t="shared" si="31"/>
        <v>2021</v>
      </c>
      <c r="D1264" s="11">
        <f t="shared" si="30"/>
        <v>153</v>
      </c>
      <c r="E1264" s="9" t="s">
        <v>38</v>
      </c>
      <c r="F1264">
        <v>19.221575399999999</v>
      </c>
      <c r="I1264" s="4"/>
      <c r="M1264" s="2"/>
    </row>
    <row r="1265" spans="1:13" x14ac:dyDescent="0.25">
      <c r="A1265" s="9" t="s">
        <v>35</v>
      </c>
      <c r="B1265" s="2">
        <v>44596</v>
      </c>
      <c r="C1265" s="9">
        <f t="shared" si="31"/>
        <v>2022</v>
      </c>
      <c r="D1265" s="11">
        <f t="shared" si="30"/>
        <v>35</v>
      </c>
      <c r="E1265" s="9" t="s">
        <v>38</v>
      </c>
      <c r="F1265">
        <v>11.6</v>
      </c>
      <c r="I1265" s="4"/>
      <c r="M1265" s="2"/>
    </row>
    <row r="1266" spans="1:13" x14ac:dyDescent="0.25">
      <c r="A1266" s="9" t="s">
        <v>35</v>
      </c>
      <c r="B1266" s="2">
        <v>44596</v>
      </c>
      <c r="C1266" s="9">
        <f t="shared" si="31"/>
        <v>2022</v>
      </c>
      <c r="D1266" s="11">
        <f t="shared" si="30"/>
        <v>35</v>
      </c>
      <c r="E1266" s="9" t="s">
        <v>38</v>
      </c>
      <c r="F1266">
        <v>12</v>
      </c>
      <c r="I1266" s="4"/>
      <c r="M1266" s="2"/>
    </row>
    <row r="1267" spans="1:13" x14ac:dyDescent="0.25">
      <c r="A1267" s="9" t="s">
        <v>35</v>
      </c>
      <c r="B1267" s="2">
        <v>44607</v>
      </c>
      <c r="C1267" s="9">
        <f t="shared" si="31"/>
        <v>2022</v>
      </c>
      <c r="D1267" s="11">
        <f t="shared" si="30"/>
        <v>46</v>
      </c>
      <c r="E1267" s="9" t="s">
        <v>38</v>
      </c>
      <c r="F1267">
        <v>15.1</v>
      </c>
      <c r="I1267" s="4"/>
      <c r="M1267" s="2"/>
    </row>
    <row r="1268" spans="1:13" x14ac:dyDescent="0.25">
      <c r="A1268" s="9" t="s">
        <v>35</v>
      </c>
      <c r="B1268" s="2">
        <v>44607</v>
      </c>
      <c r="C1268" s="9">
        <f t="shared" si="31"/>
        <v>2022</v>
      </c>
      <c r="D1268" s="11">
        <f t="shared" si="30"/>
        <v>46</v>
      </c>
      <c r="E1268" s="9" t="s">
        <v>38</v>
      </c>
      <c r="F1268">
        <v>14.7</v>
      </c>
      <c r="I1268" s="4"/>
      <c r="M1268" s="2"/>
    </row>
    <row r="1269" spans="1:13" x14ac:dyDescent="0.25">
      <c r="A1269" s="9" t="s">
        <v>35</v>
      </c>
      <c r="B1269" s="2">
        <v>44621</v>
      </c>
      <c r="C1269" s="9">
        <f t="shared" si="31"/>
        <v>2022</v>
      </c>
      <c r="D1269" s="11">
        <f t="shared" si="30"/>
        <v>60</v>
      </c>
      <c r="E1269" s="9" t="s">
        <v>38</v>
      </c>
      <c r="F1269">
        <v>16.5</v>
      </c>
      <c r="I1269" s="4"/>
      <c r="M1269" s="2"/>
    </row>
    <row r="1270" spans="1:13" x14ac:dyDescent="0.25">
      <c r="A1270" s="9" t="s">
        <v>35</v>
      </c>
      <c r="B1270" s="2">
        <v>44621</v>
      </c>
      <c r="C1270" s="9">
        <f t="shared" si="31"/>
        <v>2022</v>
      </c>
      <c r="D1270" s="11">
        <f t="shared" si="30"/>
        <v>60</v>
      </c>
      <c r="E1270" s="9" t="s">
        <v>38</v>
      </c>
      <c r="F1270">
        <v>15.5</v>
      </c>
      <c r="I1270" s="4"/>
      <c r="M1270" s="2"/>
    </row>
    <row r="1271" spans="1:13" x14ac:dyDescent="0.25">
      <c r="A1271" s="9" t="s">
        <v>35</v>
      </c>
      <c r="B1271" s="2">
        <v>44635</v>
      </c>
      <c r="C1271" s="9">
        <f t="shared" si="31"/>
        <v>2022</v>
      </c>
      <c r="D1271" s="11">
        <f t="shared" si="30"/>
        <v>74</v>
      </c>
      <c r="E1271" s="9" t="s">
        <v>38</v>
      </c>
      <c r="F1271">
        <v>16.5</v>
      </c>
      <c r="I1271" s="4"/>
      <c r="M1271" s="2"/>
    </row>
    <row r="1272" spans="1:13" x14ac:dyDescent="0.25">
      <c r="A1272" s="9" t="s">
        <v>35</v>
      </c>
      <c r="B1272" s="2">
        <v>44635</v>
      </c>
      <c r="C1272" s="9">
        <f t="shared" si="31"/>
        <v>2022</v>
      </c>
      <c r="D1272" s="11">
        <f t="shared" si="30"/>
        <v>74</v>
      </c>
      <c r="E1272" s="9" t="s">
        <v>38</v>
      </c>
      <c r="F1272">
        <v>19.100000000000001</v>
      </c>
      <c r="I1272" s="4"/>
      <c r="M1272" s="2"/>
    </row>
    <row r="1273" spans="1:13" x14ac:dyDescent="0.25">
      <c r="A1273" s="9" t="s">
        <v>35</v>
      </c>
      <c r="B1273" s="2">
        <v>44649</v>
      </c>
      <c r="C1273" s="9">
        <f t="shared" si="31"/>
        <v>2022</v>
      </c>
      <c r="D1273" s="11">
        <f t="shared" si="30"/>
        <v>88</v>
      </c>
      <c r="E1273" s="9" t="s">
        <v>38</v>
      </c>
      <c r="F1273">
        <v>18.100000000000001</v>
      </c>
      <c r="I1273" s="4"/>
      <c r="M1273" s="2"/>
    </row>
    <row r="1274" spans="1:13" x14ac:dyDescent="0.25">
      <c r="A1274" s="9" t="s">
        <v>35</v>
      </c>
      <c r="B1274" s="2">
        <v>44649</v>
      </c>
      <c r="C1274" s="9">
        <f t="shared" si="31"/>
        <v>2022</v>
      </c>
      <c r="D1274" s="11">
        <f t="shared" si="30"/>
        <v>88</v>
      </c>
      <c r="E1274" s="9" t="s">
        <v>38</v>
      </c>
      <c r="F1274">
        <v>17.3</v>
      </c>
      <c r="I1274" s="4"/>
      <c r="M1274" s="2"/>
    </row>
    <row r="1275" spans="1:13" x14ac:dyDescent="0.25">
      <c r="A1275" s="9" t="s">
        <v>35</v>
      </c>
      <c r="B1275" s="2">
        <v>44665</v>
      </c>
      <c r="C1275" s="9">
        <f t="shared" si="31"/>
        <v>2022</v>
      </c>
      <c r="D1275" s="11">
        <f t="shared" si="30"/>
        <v>104</v>
      </c>
      <c r="E1275" s="9" t="s">
        <v>38</v>
      </c>
      <c r="F1275">
        <v>18.600000000000001</v>
      </c>
      <c r="I1275" s="4"/>
      <c r="M1275" s="2"/>
    </row>
    <row r="1276" spans="1:13" x14ac:dyDescent="0.25">
      <c r="A1276" s="9" t="s">
        <v>35</v>
      </c>
      <c r="B1276" s="2">
        <v>44665</v>
      </c>
      <c r="C1276" s="9">
        <f t="shared" si="31"/>
        <v>2022</v>
      </c>
      <c r="D1276" s="11">
        <f t="shared" si="30"/>
        <v>104</v>
      </c>
      <c r="E1276" s="9" t="s">
        <v>38</v>
      </c>
      <c r="F1276">
        <v>17.8</v>
      </c>
      <c r="I1276" s="4"/>
      <c r="M1276" s="2"/>
    </row>
    <row r="1277" spans="1:13" x14ac:dyDescent="0.25">
      <c r="A1277" s="9" t="s">
        <v>35</v>
      </c>
      <c r="B1277" s="2">
        <v>44673</v>
      </c>
      <c r="C1277" s="9">
        <f t="shared" si="31"/>
        <v>2022</v>
      </c>
      <c r="D1277" s="11">
        <f t="shared" si="30"/>
        <v>112</v>
      </c>
      <c r="E1277" s="9" t="s">
        <v>38</v>
      </c>
      <c r="F1277">
        <v>21</v>
      </c>
      <c r="I1277" s="4"/>
      <c r="M1277" s="2"/>
    </row>
    <row r="1278" spans="1:13" x14ac:dyDescent="0.25">
      <c r="A1278" s="9" t="s">
        <v>35</v>
      </c>
      <c r="B1278" s="2">
        <v>44673</v>
      </c>
      <c r="C1278" s="9">
        <f t="shared" si="31"/>
        <v>2022</v>
      </c>
      <c r="D1278" s="11">
        <f t="shared" si="30"/>
        <v>112</v>
      </c>
      <c r="E1278" s="9" t="s">
        <v>38</v>
      </c>
      <c r="F1278">
        <v>18.100000000000001</v>
      </c>
      <c r="I1278" s="4"/>
      <c r="M1278" s="2"/>
    </row>
    <row r="1279" spans="1:13" x14ac:dyDescent="0.25">
      <c r="A1279" s="9" t="s">
        <v>35</v>
      </c>
      <c r="B1279" s="2">
        <v>44679</v>
      </c>
      <c r="C1279" s="9">
        <f t="shared" si="31"/>
        <v>2022</v>
      </c>
      <c r="D1279" s="11">
        <f t="shared" si="30"/>
        <v>118</v>
      </c>
      <c r="E1279" s="9" t="s">
        <v>38</v>
      </c>
      <c r="F1279">
        <v>21.9</v>
      </c>
      <c r="I1279" s="4"/>
      <c r="M1279" s="2"/>
    </row>
    <row r="1280" spans="1:13" x14ac:dyDescent="0.25">
      <c r="A1280" s="9" t="s">
        <v>35</v>
      </c>
      <c r="B1280" s="2">
        <v>44679</v>
      </c>
      <c r="C1280" s="9">
        <f t="shared" si="31"/>
        <v>2022</v>
      </c>
      <c r="D1280" s="11">
        <f t="shared" si="30"/>
        <v>118</v>
      </c>
      <c r="E1280" s="9" t="s">
        <v>38</v>
      </c>
      <c r="F1280">
        <v>19.2</v>
      </c>
      <c r="I1280" s="4"/>
      <c r="M1280" s="2"/>
    </row>
    <row r="1281" spans="1:13" x14ac:dyDescent="0.25">
      <c r="A1281" s="9" t="s">
        <v>35</v>
      </c>
      <c r="B1281" s="2">
        <v>44686</v>
      </c>
      <c r="C1281" s="9">
        <f t="shared" si="31"/>
        <v>2022</v>
      </c>
      <c r="D1281" s="11">
        <f t="shared" si="30"/>
        <v>125</v>
      </c>
      <c r="E1281" s="9" t="s">
        <v>38</v>
      </c>
      <c r="F1281">
        <v>19.2</v>
      </c>
      <c r="G1281" s="7">
        <f>Calculations!F18</f>
        <v>19.349509708365684</v>
      </c>
      <c r="H1281" t="s">
        <v>27</v>
      </c>
      <c r="I1281" s="4"/>
      <c r="M1281" s="2"/>
    </row>
    <row r="1282" spans="1:13" x14ac:dyDescent="0.25">
      <c r="A1282" s="9" t="s">
        <v>35</v>
      </c>
      <c r="B1282" s="2">
        <v>44686</v>
      </c>
      <c r="C1282" s="9">
        <f t="shared" si="31"/>
        <v>2022</v>
      </c>
      <c r="D1282" s="11">
        <f t="shared" si="30"/>
        <v>125</v>
      </c>
      <c r="E1282" s="9" t="s">
        <v>38</v>
      </c>
      <c r="F1282">
        <v>18.399999999999999</v>
      </c>
      <c r="I1282" s="4"/>
      <c r="M1282" s="2"/>
    </row>
    <row r="1283" spans="1:13" x14ac:dyDescent="0.25">
      <c r="A1283" s="9" t="s">
        <v>35</v>
      </c>
      <c r="B1283" s="2">
        <v>44700</v>
      </c>
      <c r="C1283" s="9">
        <f t="shared" si="31"/>
        <v>2022</v>
      </c>
      <c r="D1283" s="11">
        <f t="shared" si="30"/>
        <v>139</v>
      </c>
      <c r="E1283" s="9" t="s">
        <v>38</v>
      </c>
      <c r="F1283">
        <v>20.100000000000001</v>
      </c>
      <c r="I1283" s="4"/>
      <c r="M1283" s="2"/>
    </row>
    <row r="1284" spans="1:13" x14ac:dyDescent="0.25">
      <c r="A1284" s="9" t="s">
        <v>35</v>
      </c>
      <c r="B1284" s="2">
        <v>44700</v>
      </c>
      <c r="C1284" s="9">
        <f t="shared" si="31"/>
        <v>2022</v>
      </c>
      <c r="D1284" s="11">
        <f t="shared" si="30"/>
        <v>139</v>
      </c>
      <c r="E1284" s="9" t="s">
        <v>38</v>
      </c>
      <c r="F1284">
        <v>19.3</v>
      </c>
      <c r="I1284" s="4"/>
      <c r="M1284" s="2"/>
    </row>
    <row r="1285" spans="1:13" x14ac:dyDescent="0.25">
      <c r="A1285" s="9" t="s">
        <v>35</v>
      </c>
      <c r="B1285" s="2">
        <v>44714</v>
      </c>
      <c r="C1285" s="9">
        <f t="shared" si="31"/>
        <v>2022</v>
      </c>
      <c r="D1285" s="11">
        <f t="shared" si="30"/>
        <v>153</v>
      </c>
      <c r="E1285" s="9" t="s">
        <v>38</v>
      </c>
      <c r="F1285">
        <v>19.7</v>
      </c>
      <c r="I1285" s="4"/>
      <c r="M1285" s="2"/>
    </row>
    <row r="1286" spans="1:13" x14ac:dyDescent="0.25">
      <c r="A1286" s="9" t="s">
        <v>35</v>
      </c>
      <c r="B1286" s="2">
        <v>44714</v>
      </c>
      <c r="C1286" s="9">
        <f t="shared" si="31"/>
        <v>2022</v>
      </c>
      <c r="D1286" s="11">
        <f t="shared" si="30"/>
        <v>153</v>
      </c>
      <c r="E1286" s="9" t="s">
        <v>38</v>
      </c>
      <c r="F1286">
        <v>19.399999999999999</v>
      </c>
      <c r="I1286" s="4"/>
      <c r="M1286" s="2"/>
    </row>
    <row r="1287" spans="1:13" x14ac:dyDescent="0.25">
      <c r="A1287" s="9" t="s">
        <v>36</v>
      </c>
      <c r="B1287" s="2">
        <v>44951</v>
      </c>
      <c r="C1287" s="9">
        <f t="shared" si="31"/>
        <v>2023</v>
      </c>
      <c r="D1287" s="11">
        <f t="shared" si="30"/>
        <v>25</v>
      </c>
      <c r="E1287" s="9" t="s">
        <v>38</v>
      </c>
      <c r="F1287">
        <v>10.5</v>
      </c>
      <c r="I1287" s="4"/>
      <c r="M1287" s="2"/>
    </row>
    <row r="1288" spans="1:13" x14ac:dyDescent="0.25">
      <c r="A1288" s="9" t="s">
        <v>36</v>
      </c>
      <c r="B1288" s="2">
        <v>44951</v>
      </c>
      <c r="C1288" s="9">
        <f t="shared" si="31"/>
        <v>2023</v>
      </c>
      <c r="D1288" s="11">
        <f t="shared" si="30"/>
        <v>25</v>
      </c>
      <c r="E1288" s="9" t="s">
        <v>38</v>
      </c>
      <c r="F1288">
        <v>10.1</v>
      </c>
      <c r="I1288" s="4"/>
      <c r="M1288" s="2"/>
    </row>
    <row r="1289" spans="1:13" x14ac:dyDescent="0.25">
      <c r="A1289" s="9" t="s">
        <v>36</v>
      </c>
      <c r="B1289" s="2">
        <v>44974</v>
      </c>
      <c r="C1289" s="9">
        <f t="shared" si="31"/>
        <v>2023</v>
      </c>
      <c r="D1289" s="11">
        <f t="shared" si="30"/>
        <v>48</v>
      </c>
      <c r="E1289" s="9" t="s">
        <v>38</v>
      </c>
      <c r="F1289">
        <v>12.8</v>
      </c>
      <c r="I1289" s="4"/>
      <c r="M1289" s="2"/>
    </row>
    <row r="1290" spans="1:13" x14ac:dyDescent="0.25">
      <c r="A1290" s="9" t="s">
        <v>36</v>
      </c>
      <c r="B1290" s="2">
        <v>44974</v>
      </c>
      <c r="C1290" s="9">
        <f t="shared" si="31"/>
        <v>2023</v>
      </c>
      <c r="D1290" s="11">
        <f t="shared" si="30"/>
        <v>48</v>
      </c>
      <c r="E1290" s="9" t="s">
        <v>38</v>
      </c>
      <c r="F1290">
        <v>12.8</v>
      </c>
      <c r="I1290" s="4"/>
      <c r="M1290" s="2"/>
    </row>
    <row r="1291" spans="1:13" x14ac:dyDescent="0.25">
      <c r="A1291" s="9" t="s">
        <v>36</v>
      </c>
      <c r="B1291" s="2">
        <v>44985</v>
      </c>
      <c r="C1291" s="9">
        <f t="shared" si="31"/>
        <v>2023</v>
      </c>
      <c r="D1291" s="11">
        <f t="shared" si="30"/>
        <v>59</v>
      </c>
      <c r="E1291" s="9" t="s">
        <v>38</v>
      </c>
      <c r="F1291">
        <v>13.6</v>
      </c>
      <c r="I1291" s="4"/>
      <c r="M1291" s="2"/>
    </row>
    <row r="1292" spans="1:13" x14ac:dyDescent="0.25">
      <c r="A1292" s="9" t="s">
        <v>36</v>
      </c>
      <c r="B1292" s="2">
        <v>44985</v>
      </c>
      <c r="C1292" s="9">
        <f t="shared" si="31"/>
        <v>2023</v>
      </c>
      <c r="D1292" s="11">
        <f t="shared" si="30"/>
        <v>59</v>
      </c>
      <c r="E1292" s="9" t="s">
        <v>38</v>
      </c>
      <c r="F1292">
        <v>14.6</v>
      </c>
      <c r="I1292" s="4"/>
      <c r="M1292" s="2"/>
    </row>
    <row r="1293" spans="1:13" x14ac:dyDescent="0.25">
      <c r="A1293" s="9" t="s">
        <v>36</v>
      </c>
      <c r="B1293" s="2">
        <v>44999</v>
      </c>
      <c r="C1293" s="9">
        <f t="shared" si="31"/>
        <v>2023</v>
      </c>
      <c r="D1293" s="11">
        <f t="shared" ref="D1293:D1356" si="32">B1293-DATE(YEAR(B1293),1,0)</f>
        <v>73</v>
      </c>
      <c r="E1293" s="9" t="s">
        <v>38</v>
      </c>
      <c r="F1293">
        <v>14.4</v>
      </c>
      <c r="I1293" s="4"/>
      <c r="M1293" s="2"/>
    </row>
    <row r="1294" spans="1:13" x14ac:dyDescent="0.25">
      <c r="A1294" s="9" t="s">
        <v>36</v>
      </c>
      <c r="B1294" s="2">
        <v>44999</v>
      </c>
      <c r="C1294" s="9">
        <f t="shared" ref="C1294:C1330" si="33">YEAR(B1294)</f>
        <v>2023</v>
      </c>
      <c r="D1294" s="11">
        <f t="shared" si="32"/>
        <v>73</v>
      </c>
      <c r="E1294" s="9" t="s">
        <v>38</v>
      </c>
      <c r="F1294">
        <v>16.399999999999999</v>
      </c>
      <c r="I1294" s="4"/>
      <c r="M1294" s="2"/>
    </row>
    <row r="1295" spans="1:13" x14ac:dyDescent="0.25">
      <c r="A1295" s="9" t="s">
        <v>36</v>
      </c>
      <c r="B1295" s="2">
        <v>45013</v>
      </c>
      <c r="C1295" s="9">
        <f t="shared" si="33"/>
        <v>2023</v>
      </c>
      <c r="D1295" s="11">
        <f t="shared" si="32"/>
        <v>87</v>
      </c>
      <c r="E1295" s="9" t="s">
        <v>38</v>
      </c>
      <c r="F1295">
        <v>14.8</v>
      </c>
      <c r="I1295" s="4"/>
      <c r="M1295" s="2"/>
    </row>
    <row r="1296" spans="1:13" x14ac:dyDescent="0.25">
      <c r="A1296" s="9" t="s">
        <v>36</v>
      </c>
      <c r="B1296" s="2">
        <v>45013</v>
      </c>
      <c r="C1296" s="9">
        <f t="shared" si="33"/>
        <v>2023</v>
      </c>
      <c r="D1296" s="11">
        <f t="shared" si="32"/>
        <v>87</v>
      </c>
      <c r="E1296" s="9" t="s">
        <v>38</v>
      </c>
      <c r="F1296">
        <v>17.2</v>
      </c>
      <c r="I1296" s="4"/>
      <c r="M1296" s="2"/>
    </row>
    <row r="1297" spans="1:13" x14ac:dyDescent="0.25">
      <c r="A1297" s="9" t="s">
        <v>36</v>
      </c>
      <c r="B1297" s="2">
        <v>45028</v>
      </c>
      <c r="C1297" s="9">
        <f t="shared" si="33"/>
        <v>2023</v>
      </c>
      <c r="D1297" s="11">
        <f t="shared" si="32"/>
        <v>102</v>
      </c>
      <c r="E1297" s="9" t="s">
        <v>38</v>
      </c>
      <c r="F1297">
        <v>15.1</v>
      </c>
      <c r="I1297" s="4"/>
      <c r="M1297" s="2"/>
    </row>
    <row r="1298" spans="1:13" x14ac:dyDescent="0.25">
      <c r="A1298" s="9" t="s">
        <v>36</v>
      </c>
      <c r="B1298" s="2">
        <v>45028</v>
      </c>
      <c r="C1298" s="9">
        <f t="shared" si="33"/>
        <v>2023</v>
      </c>
      <c r="D1298" s="11">
        <f t="shared" si="32"/>
        <v>102</v>
      </c>
      <c r="E1298" s="9" t="s">
        <v>38</v>
      </c>
      <c r="F1298">
        <v>17.399999999999999</v>
      </c>
      <c r="I1298" s="4"/>
      <c r="M1298" s="2"/>
    </row>
    <row r="1299" spans="1:13" x14ac:dyDescent="0.25">
      <c r="A1299" s="9" t="s">
        <v>36</v>
      </c>
      <c r="B1299" s="2">
        <v>45040</v>
      </c>
      <c r="C1299" s="9">
        <f t="shared" si="33"/>
        <v>2023</v>
      </c>
      <c r="D1299" s="11">
        <f t="shared" si="32"/>
        <v>114</v>
      </c>
      <c r="E1299" s="9" t="s">
        <v>38</v>
      </c>
      <c r="F1299">
        <v>15.5</v>
      </c>
      <c r="I1299" s="4"/>
      <c r="M1299" s="2"/>
    </row>
    <row r="1300" spans="1:13" x14ac:dyDescent="0.25">
      <c r="A1300" s="9" t="s">
        <v>36</v>
      </c>
      <c r="B1300" s="2">
        <v>45040</v>
      </c>
      <c r="C1300" s="9">
        <f t="shared" si="33"/>
        <v>2023</v>
      </c>
      <c r="D1300" s="11">
        <f t="shared" si="32"/>
        <v>114</v>
      </c>
      <c r="E1300" s="9" t="s">
        <v>38</v>
      </c>
      <c r="F1300">
        <v>18.100000000000001</v>
      </c>
      <c r="I1300" s="4"/>
      <c r="M1300" s="2"/>
    </row>
    <row r="1301" spans="1:13" x14ac:dyDescent="0.25">
      <c r="A1301" s="9" t="s">
        <v>36</v>
      </c>
      <c r="B1301" s="2">
        <v>45047</v>
      </c>
      <c r="C1301" s="9">
        <f t="shared" si="33"/>
        <v>2023</v>
      </c>
      <c r="D1301" s="11">
        <f t="shared" si="32"/>
        <v>121</v>
      </c>
      <c r="E1301" s="9" t="s">
        <v>38</v>
      </c>
      <c r="F1301">
        <v>16.2</v>
      </c>
      <c r="I1301" s="4"/>
      <c r="M1301" s="2"/>
    </row>
    <row r="1302" spans="1:13" x14ac:dyDescent="0.25">
      <c r="A1302" s="9" t="s">
        <v>36</v>
      </c>
      <c r="B1302" s="2">
        <v>45047</v>
      </c>
      <c r="C1302" s="9">
        <f t="shared" si="33"/>
        <v>2023</v>
      </c>
      <c r="D1302" s="11">
        <f t="shared" si="32"/>
        <v>121</v>
      </c>
      <c r="E1302" s="9" t="s">
        <v>38</v>
      </c>
      <c r="F1302">
        <v>18.399999999999999</v>
      </c>
      <c r="I1302" s="4"/>
      <c r="M1302" s="2"/>
    </row>
    <row r="1303" spans="1:13" x14ac:dyDescent="0.25">
      <c r="A1303" s="9" t="s">
        <v>36</v>
      </c>
      <c r="B1303" s="2">
        <v>45061</v>
      </c>
      <c r="C1303" s="9">
        <f t="shared" si="33"/>
        <v>2023</v>
      </c>
      <c r="D1303" s="11">
        <f t="shared" si="32"/>
        <v>135</v>
      </c>
      <c r="E1303" s="9" t="s">
        <v>38</v>
      </c>
      <c r="F1303">
        <v>16.100000000000001</v>
      </c>
      <c r="G1303" s="7">
        <f>Calculations!F19</f>
        <v>16.917677192140697</v>
      </c>
      <c r="H1303" t="s">
        <v>27</v>
      </c>
      <c r="I1303" s="4"/>
      <c r="M1303" s="2"/>
    </row>
    <row r="1304" spans="1:13" x14ac:dyDescent="0.25">
      <c r="A1304" s="9" t="s">
        <v>36</v>
      </c>
      <c r="B1304" s="2">
        <v>45061</v>
      </c>
      <c r="C1304" s="9">
        <f t="shared" si="33"/>
        <v>2023</v>
      </c>
      <c r="D1304" s="11">
        <f t="shared" si="32"/>
        <v>135</v>
      </c>
      <c r="E1304" s="9" t="s">
        <v>38</v>
      </c>
      <c r="F1304">
        <v>17.8</v>
      </c>
      <c r="I1304" s="4"/>
      <c r="M1304" s="2"/>
    </row>
    <row r="1305" spans="1:13" x14ac:dyDescent="0.25">
      <c r="A1305" s="9" t="s">
        <v>36</v>
      </c>
      <c r="B1305" s="2">
        <v>45075</v>
      </c>
      <c r="C1305" s="9">
        <f t="shared" si="33"/>
        <v>2023</v>
      </c>
      <c r="D1305" s="11">
        <f t="shared" si="32"/>
        <v>149</v>
      </c>
      <c r="E1305" s="9" t="s">
        <v>38</v>
      </c>
      <c r="F1305">
        <v>16.7</v>
      </c>
      <c r="I1305" s="4"/>
      <c r="M1305" s="2"/>
    </row>
    <row r="1306" spans="1:13" x14ac:dyDescent="0.25">
      <c r="A1306" s="9" t="s">
        <v>36</v>
      </c>
      <c r="B1306" s="2">
        <v>45075</v>
      </c>
      <c r="C1306" s="9">
        <f t="shared" si="33"/>
        <v>2023</v>
      </c>
      <c r="D1306" s="11">
        <f t="shared" si="32"/>
        <v>149</v>
      </c>
      <c r="E1306" s="9" t="s">
        <v>38</v>
      </c>
      <c r="F1306">
        <v>18.399999999999999</v>
      </c>
      <c r="I1306" s="4"/>
      <c r="M1306" s="2"/>
    </row>
    <row r="1307" spans="1:13" x14ac:dyDescent="0.25">
      <c r="A1307" s="9" t="s">
        <v>36</v>
      </c>
      <c r="B1307" s="2">
        <v>45085</v>
      </c>
      <c r="C1307" s="9">
        <f t="shared" si="33"/>
        <v>2023</v>
      </c>
      <c r="D1307" s="11">
        <f t="shared" si="32"/>
        <v>159</v>
      </c>
      <c r="E1307" s="9" t="s">
        <v>38</v>
      </c>
      <c r="F1307">
        <v>16.7</v>
      </c>
      <c r="I1307" s="4"/>
      <c r="M1307" s="2"/>
    </row>
    <row r="1308" spans="1:13" x14ac:dyDescent="0.25">
      <c r="A1308" s="9" t="s">
        <v>36</v>
      </c>
      <c r="B1308" s="2">
        <v>45085</v>
      </c>
      <c r="C1308" s="9">
        <f t="shared" si="33"/>
        <v>2023</v>
      </c>
      <c r="D1308" s="11">
        <f t="shared" si="32"/>
        <v>159</v>
      </c>
      <c r="E1308" s="9" t="s">
        <v>38</v>
      </c>
      <c r="F1308">
        <v>18.600000000000001</v>
      </c>
      <c r="I1308" s="4"/>
      <c r="M1308" s="2"/>
    </row>
    <row r="1309" spans="1:13" x14ac:dyDescent="0.25">
      <c r="A1309" s="9" t="s">
        <v>37</v>
      </c>
      <c r="B1309" s="2">
        <v>45314</v>
      </c>
      <c r="C1309" s="9">
        <f t="shared" si="33"/>
        <v>2024</v>
      </c>
      <c r="D1309" s="11">
        <f t="shared" si="32"/>
        <v>23</v>
      </c>
      <c r="E1309" s="9" t="s">
        <v>38</v>
      </c>
      <c r="F1309">
        <v>9.1</v>
      </c>
      <c r="I1309" s="4"/>
      <c r="M1309" s="2"/>
    </row>
    <row r="1310" spans="1:13" x14ac:dyDescent="0.25">
      <c r="A1310" s="9" t="s">
        <v>37</v>
      </c>
      <c r="B1310" s="2">
        <v>45314</v>
      </c>
      <c r="C1310" s="9">
        <f t="shared" si="33"/>
        <v>2024</v>
      </c>
      <c r="D1310" s="11">
        <f t="shared" si="32"/>
        <v>23</v>
      </c>
      <c r="E1310" s="9" t="s">
        <v>38</v>
      </c>
      <c r="F1310">
        <v>9.5</v>
      </c>
      <c r="I1310" s="4"/>
      <c r="M1310" s="2"/>
    </row>
    <row r="1311" spans="1:13" x14ac:dyDescent="0.25">
      <c r="A1311" s="9" t="s">
        <v>37</v>
      </c>
      <c r="B1311" s="2">
        <v>45336</v>
      </c>
      <c r="C1311" s="9">
        <f t="shared" si="33"/>
        <v>2024</v>
      </c>
      <c r="D1311" s="11">
        <f t="shared" si="32"/>
        <v>45</v>
      </c>
      <c r="E1311" s="9" t="s">
        <v>38</v>
      </c>
      <c r="F1311">
        <v>12</v>
      </c>
      <c r="I1311" s="4"/>
      <c r="M1311" s="2"/>
    </row>
    <row r="1312" spans="1:13" x14ac:dyDescent="0.25">
      <c r="A1312" s="9" t="s">
        <v>37</v>
      </c>
      <c r="B1312" s="2">
        <v>45336</v>
      </c>
      <c r="C1312" s="9">
        <f t="shared" si="33"/>
        <v>2024</v>
      </c>
      <c r="D1312" s="11">
        <f t="shared" si="32"/>
        <v>45</v>
      </c>
      <c r="E1312" s="9" t="s">
        <v>38</v>
      </c>
      <c r="F1312">
        <v>12.2</v>
      </c>
      <c r="I1312" s="4"/>
      <c r="M1312" s="2"/>
    </row>
    <row r="1313" spans="1:13" x14ac:dyDescent="0.25">
      <c r="A1313" s="9" t="s">
        <v>37</v>
      </c>
      <c r="B1313" s="2">
        <v>45351</v>
      </c>
      <c r="C1313" s="9">
        <f t="shared" si="33"/>
        <v>2024</v>
      </c>
      <c r="D1313" s="11">
        <f t="shared" si="32"/>
        <v>60</v>
      </c>
      <c r="E1313" s="9" t="s">
        <v>38</v>
      </c>
      <c r="F1313">
        <v>14.1</v>
      </c>
      <c r="I1313" s="4"/>
      <c r="M1313" s="2"/>
    </row>
    <row r="1314" spans="1:13" x14ac:dyDescent="0.25">
      <c r="A1314" s="9" t="s">
        <v>37</v>
      </c>
      <c r="B1314" s="2">
        <v>45351</v>
      </c>
      <c r="C1314" s="9">
        <f t="shared" si="33"/>
        <v>2024</v>
      </c>
      <c r="D1314" s="11">
        <f t="shared" si="32"/>
        <v>60</v>
      </c>
      <c r="E1314" s="9" t="s">
        <v>38</v>
      </c>
      <c r="F1314">
        <v>13.8</v>
      </c>
      <c r="I1314" s="4"/>
      <c r="M1314" s="2"/>
    </row>
    <row r="1315" spans="1:13" x14ac:dyDescent="0.25">
      <c r="A1315" s="9" t="s">
        <v>37</v>
      </c>
      <c r="B1315" s="2">
        <v>45365</v>
      </c>
      <c r="C1315" s="9">
        <f t="shared" si="33"/>
        <v>2024</v>
      </c>
      <c r="D1315" s="11">
        <f t="shared" si="32"/>
        <v>74</v>
      </c>
      <c r="E1315" s="9" t="s">
        <v>38</v>
      </c>
      <c r="F1315">
        <v>15.1</v>
      </c>
      <c r="I1315" s="4"/>
      <c r="M1315" s="2"/>
    </row>
    <row r="1316" spans="1:13" x14ac:dyDescent="0.25">
      <c r="A1316" s="9" t="s">
        <v>37</v>
      </c>
      <c r="B1316" s="2">
        <v>45365</v>
      </c>
      <c r="C1316" s="9">
        <f t="shared" si="33"/>
        <v>2024</v>
      </c>
      <c r="D1316" s="11">
        <f t="shared" si="32"/>
        <v>74</v>
      </c>
      <c r="E1316" s="9" t="s">
        <v>38</v>
      </c>
      <c r="F1316">
        <v>15.3</v>
      </c>
      <c r="I1316" s="4"/>
      <c r="M1316" s="2"/>
    </row>
    <row r="1317" spans="1:13" x14ac:dyDescent="0.25">
      <c r="A1317" s="9" t="s">
        <v>37</v>
      </c>
      <c r="B1317" s="2">
        <v>45379</v>
      </c>
      <c r="C1317" s="9">
        <f t="shared" si="33"/>
        <v>2024</v>
      </c>
      <c r="D1317" s="11">
        <f t="shared" si="32"/>
        <v>88</v>
      </c>
      <c r="E1317" s="9" t="s">
        <v>38</v>
      </c>
      <c r="F1317">
        <v>15.6</v>
      </c>
      <c r="I1317" s="4"/>
      <c r="M1317" s="2"/>
    </row>
    <row r="1318" spans="1:13" x14ac:dyDescent="0.25">
      <c r="A1318" s="9" t="s">
        <v>37</v>
      </c>
      <c r="B1318" s="2">
        <v>45379</v>
      </c>
      <c r="C1318" s="9">
        <f t="shared" si="33"/>
        <v>2024</v>
      </c>
      <c r="D1318" s="11">
        <f t="shared" si="32"/>
        <v>88</v>
      </c>
      <c r="E1318" s="9" t="s">
        <v>38</v>
      </c>
      <c r="F1318">
        <v>16.3</v>
      </c>
      <c r="I1318" s="4"/>
      <c r="M1318" s="2"/>
    </row>
    <row r="1319" spans="1:13" x14ac:dyDescent="0.25">
      <c r="A1319" s="9" t="s">
        <v>37</v>
      </c>
      <c r="B1319" s="2">
        <v>45392</v>
      </c>
      <c r="C1319" s="9">
        <f t="shared" si="33"/>
        <v>2024</v>
      </c>
      <c r="D1319" s="11">
        <f t="shared" si="32"/>
        <v>101</v>
      </c>
      <c r="E1319" s="9" t="s">
        <v>38</v>
      </c>
      <c r="F1319">
        <v>16</v>
      </c>
      <c r="I1319" s="4"/>
      <c r="M1319" s="2"/>
    </row>
    <row r="1320" spans="1:13" x14ac:dyDescent="0.25">
      <c r="A1320" s="9" t="s">
        <v>37</v>
      </c>
      <c r="B1320" s="2">
        <v>45392</v>
      </c>
      <c r="C1320" s="9">
        <f t="shared" si="33"/>
        <v>2024</v>
      </c>
      <c r="D1320" s="11">
        <f t="shared" si="32"/>
        <v>101</v>
      </c>
      <c r="E1320" s="9" t="s">
        <v>38</v>
      </c>
      <c r="F1320">
        <v>17.5</v>
      </c>
      <c r="I1320" s="4"/>
      <c r="M1320" s="2"/>
    </row>
    <row r="1321" spans="1:13" x14ac:dyDescent="0.25">
      <c r="A1321" s="9" t="s">
        <v>37</v>
      </c>
      <c r="B1321" s="2">
        <v>45406</v>
      </c>
      <c r="C1321" s="9">
        <f t="shared" si="33"/>
        <v>2024</v>
      </c>
      <c r="D1321" s="11">
        <f t="shared" si="32"/>
        <v>115</v>
      </c>
      <c r="E1321" s="9" t="s">
        <v>38</v>
      </c>
      <c r="F1321">
        <v>16.100000000000001</v>
      </c>
      <c r="I1321" s="4"/>
      <c r="M1321" s="2"/>
    </row>
    <row r="1322" spans="1:13" x14ac:dyDescent="0.25">
      <c r="A1322" s="9" t="s">
        <v>37</v>
      </c>
      <c r="B1322" s="2">
        <v>45406</v>
      </c>
      <c r="C1322" s="9">
        <f t="shared" si="33"/>
        <v>2024</v>
      </c>
      <c r="D1322" s="11">
        <f t="shared" si="32"/>
        <v>115</v>
      </c>
      <c r="E1322" s="9" t="s">
        <v>38</v>
      </c>
      <c r="F1322">
        <v>17.8</v>
      </c>
      <c r="I1322" s="4"/>
      <c r="M1322" s="2"/>
    </row>
    <row r="1323" spans="1:13" x14ac:dyDescent="0.25">
      <c r="A1323" s="9" t="s">
        <v>37</v>
      </c>
      <c r="B1323" s="2">
        <v>45413</v>
      </c>
      <c r="C1323" s="9">
        <f t="shared" si="33"/>
        <v>2024</v>
      </c>
      <c r="D1323" s="11">
        <f t="shared" si="32"/>
        <v>122</v>
      </c>
      <c r="E1323" s="9" t="s">
        <v>38</v>
      </c>
      <c r="F1323">
        <v>16.5</v>
      </c>
      <c r="I1323" s="4"/>
      <c r="M1323" s="2"/>
    </row>
    <row r="1324" spans="1:13" x14ac:dyDescent="0.25">
      <c r="A1324" s="9" t="s">
        <v>37</v>
      </c>
      <c r="B1324" s="2">
        <v>45413</v>
      </c>
      <c r="C1324" s="9">
        <f t="shared" si="33"/>
        <v>2024</v>
      </c>
      <c r="D1324" s="11">
        <f t="shared" si="32"/>
        <v>122</v>
      </c>
      <c r="E1324" s="9" t="s">
        <v>38</v>
      </c>
      <c r="F1324">
        <v>18.100000000000001</v>
      </c>
      <c r="I1324" s="4"/>
      <c r="M1324" s="2"/>
    </row>
    <row r="1325" spans="1:13" x14ac:dyDescent="0.25">
      <c r="A1325" s="9" t="s">
        <v>37</v>
      </c>
      <c r="B1325" s="2">
        <v>45427</v>
      </c>
      <c r="C1325" s="9">
        <f t="shared" si="33"/>
        <v>2024</v>
      </c>
      <c r="D1325" s="11">
        <f t="shared" si="32"/>
        <v>136</v>
      </c>
      <c r="E1325" s="9" t="s">
        <v>38</v>
      </c>
      <c r="F1325">
        <v>16.600000000000001</v>
      </c>
      <c r="I1325" s="4"/>
      <c r="M1325" s="2"/>
    </row>
    <row r="1326" spans="1:13" x14ac:dyDescent="0.25">
      <c r="A1326" s="9" t="s">
        <v>37</v>
      </c>
      <c r="B1326" s="2">
        <v>45427</v>
      </c>
      <c r="C1326" s="9">
        <f t="shared" si="33"/>
        <v>2024</v>
      </c>
      <c r="D1326" s="11">
        <f t="shared" si="32"/>
        <v>136</v>
      </c>
      <c r="E1326" s="9" t="s">
        <v>38</v>
      </c>
      <c r="F1326">
        <v>18.399999999999999</v>
      </c>
      <c r="I1326" s="4"/>
      <c r="M1326" s="2"/>
    </row>
    <row r="1327" spans="1:13" x14ac:dyDescent="0.25">
      <c r="A1327" s="9" t="s">
        <v>37</v>
      </c>
      <c r="B1327" s="2">
        <v>45441</v>
      </c>
      <c r="C1327" s="9">
        <f t="shared" si="33"/>
        <v>2024</v>
      </c>
      <c r="D1327" s="11">
        <f t="shared" si="32"/>
        <v>150</v>
      </c>
      <c r="E1327" s="9" t="s">
        <v>38</v>
      </c>
      <c r="F1327">
        <v>16.8</v>
      </c>
      <c r="G1327" s="7">
        <f>Calculations!F20</f>
        <v>17.079471627267917</v>
      </c>
      <c r="H1327" t="s">
        <v>27</v>
      </c>
      <c r="I1327" s="4"/>
      <c r="M1327" s="2"/>
    </row>
    <row r="1328" spans="1:13" x14ac:dyDescent="0.25">
      <c r="A1328" s="9" t="s">
        <v>37</v>
      </c>
      <c r="B1328" s="2">
        <v>45441</v>
      </c>
      <c r="C1328" s="9">
        <f t="shared" si="33"/>
        <v>2024</v>
      </c>
      <c r="D1328" s="11">
        <f t="shared" si="32"/>
        <v>150</v>
      </c>
      <c r="E1328" s="9" t="s">
        <v>38</v>
      </c>
      <c r="F1328">
        <v>18.899999999999999</v>
      </c>
      <c r="I1328" s="4"/>
      <c r="M1328" s="2"/>
    </row>
    <row r="1329" spans="1:13" x14ac:dyDescent="0.25">
      <c r="A1329" s="9" t="s">
        <v>37</v>
      </c>
      <c r="B1329" s="2">
        <v>45454</v>
      </c>
      <c r="C1329" s="9">
        <f t="shared" si="33"/>
        <v>2024</v>
      </c>
      <c r="D1329" s="11">
        <f t="shared" si="32"/>
        <v>163</v>
      </c>
      <c r="E1329" s="9" t="s">
        <v>38</v>
      </c>
      <c r="F1329">
        <v>16.7</v>
      </c>
      <c r="I1329" s="4"/>
      <c r="M1329" s="2"/>
    </row>
    <row r="1330" spans="1:13" x14ac:dyDescent="0.25">
      <c r="A1330" s="9" t="s">
        <v>37</v>
      </c>
      <c r="B1330" s="2">
        <v>45454</v>
      </c>
      <c r="C1330" s="9">
        <f t="shared" si="33"/>
        <v>2024</v>
      </c>
      <c r="D1330" s="11">
        <f t="shared" si="32"/>
        <v>163</v>
      </c>
      <c r="E1330" s="9" t="s">
        <v>38</v>
      </c>
      <c r="F1330">
        <v>18.399999999999999</v>
      </c>
      <c r="I1330" s="4"/>
      <c r="M1330" s="2"/>
    </row>
    <row r="1331" spans="1:13" s="9" customFormat="1" hidden="1" x14ac:dyDescent="0.25">
      <c r="A1331" s="9" t="s">
        <v>39</v>
      </c>
      <c r="B1331" s="10">
        <v>43851</v>
      </c>
      <c r="C1331" s="9">
        <f>YEAR(B1331)</f>
        <v>2020</v>
      </c>
      <c r="D1331" s="12">
        <f t="shared" si="32"/>
        <v>21</v>
      </c>
      <c r="E1331" s="9" t="s">
        <v>38</v>
      </c>
      <c r="G1331"/>
      <c r="I1331" s="4"/>
      <c r="M1331" s="10"/>
    </row>
    <row r="1332" spans="1:13" hidden="1" x14ac:dyDescent="0.25">
      <c r="A1332" s="9" t="s">
        <v>39</v>
      </c>
      <c r="B1332" s="2">
        <v>43851</v>
      </c>
      <c r="C1332" s="9">
        <f t="shared" ref="C1332:C1395" si="34">YEAR(B1332)</f>
        <v>2020</v>
      </c>
      <c r="D1332" s="11">
        <f t="shared" si="32"/>
        <v>21</v>
      </c>
      <c r="E1332" s="9" t="s">
        <v>38</v>
      </c>
      <c r="I1332" s="4"/>
      <c r="M1332" s="2"/>
    </row>
    <row r="1333" spans="1:13" hidden="1" x14ac:dyDescent="0.25">
      <c r="A1333" s="9" t="s">
        <v>39</v>
      </c>
      <c r="B1333" s="2">
        <v>43879</v>
      </c>
      <c r="C1333" s="9">
        <f t="shared" si="34"/>
        <v>2020</v>
      </c>
      <c r="D1333" s="11">
        <f t="shared" si="32"/>
        <v>49</v>
      </c>
      <c r="E1333" s="9" t="s">
        <v>38</v>
      </c>
      <c r="I1333" s="4"/>
      <c r="M1333" s="2"/>
    </row>
    <row r="1334" spans="1:13" hidden="1" x14ac:dyDescent="0.25">
      <c r="A1334" s="9" t="s">
        <v>39</v>
      </c>
      <c r="B1334" s="2">
        <v>43879</v>
      </c>
      <c r="C1334" s="9">
        <f t="shared" si="34"/>
        <v>2020</v>
      </c>
      <c r="D1334" s="11">
        <f t="shared" si="32"/>
        <v>49</v>
      </c>
      <c r="E1334" s="9" t="s">
        <v>38</v>
      </c>
      <c r="I1334" s="4"/>
      <c r="M1334" s="2"/>
    </row>
    <row r="1335" spans="1:13" hidden="1" x14ac:dyDescent="0.25">
      <c r="A1335" s="9" t="s">
        <v>39</v>
      </c>
      <c r="B1335" s="2">
        <v>43893</v>
      </c>
      <c r="C1335" s="9">
        <f t="shared" si="34"/>
        <v>2020</v>
      </c>
      <c r="D1335" s="11">
        <f t="shared" si="32"/>
        <v>63</v>
      </c>
      <c r="E1335" s="9" t="s">
        <v>38</v>
      </c>
      <c r="I1335" s="4"/>
      <c r="M1335" s="2"/>
    </row>
    <row r="1336" spans="1:13" hidden="1" x14ac:dyDescent="0.25">
      <c r="A1336" s="9" t="s">
        <v>39</v>
      </c>
      <c r="B1336" s="2">
        <v>43893</v>
      </c>
      <c r="C1336" s="9">
        <f t="shared" si="34"/>
        <v>2020</v>
      </c>
      <c r="D1336" s="11">
        <f t="shared" si="32"/>
        <v>63</v>
      </c>
      <c r="E1336" s="9" t="s">
        <v>38</v>
      </c>
      <c r="I1336" s="4"/>
      <c r="M1336" s="2"/>
    </row>
    <row r="1337" spans="1:13" hidden="1" x14ac:dyDescent="0.25">
      <c r="A1337" s="9" t="s">
        <v>39</v>
      </c>
      <c r="B1337" s="2">
        <v>43906</v>
      </c>
      <c r="C1337" s="9">
        <f t="shared" si="34"/>
        <v>2020</v>
      </c>
      <c r="D1337" s="11">
        <f t="shared" si="32"/>
        <v>76</v>
      </c>
      <c r="E1337" s="9" t="s">
        <v>38</v>
      </c>
      <c r="I1337" s="4"/>
      <c r="M1337" s="2"/>
    </row>
    <row r="1338" spans="1:13" hidden="1" x14ac:dyDescent="0.25">
      <c r="A1338" s="9" t="s">
        <v>39</v>
      </c>
      <c r="B1338" s="2">
        <v>43906</v>
      </c>
      <c r="C1338" s="9">
        <f t="shared" si="34"/>
        <v>2020</v>
      </c>
      <c r="D1338" s="11">
        <f t="shared" si="32"/>
        <v>76</v>
      </c>
      <c r="E1338" s="9" t="s">
        <v>38</v>
      </c>
      <c r="I1338" s="4"/>
      <c r="M1338" s="2"/>
    </row>
    <row r="1339" spans="1:13" hidden="1" x14ac:dyDescent="0.25">
      <c r="A1339" s="9" t="s">
        <v>39</v>
      </c>
      <c r="B1339" s="2">
        <v>43951</v>
      </c>
      <c r="C1339" s="9">
        <f t="shared" si="34"/>
        <v>2020</v>
      </c>
      <c r="D1339" s="11">
        <f t="shared" si="32"/>
        <v>121</v>
      </c>
      <c r="E1339" s="9" t="s">
        <v>38</v>
      </c>
      <c r="I1339" s="4"/>
      <c r="M1339" s="2"/>
    </row>
    <row r="1340" spans="1:13" hidden="1" x14ac:dyDescent="0.25">
      <c r="A1340" s="9" t="s">
        <v>39</v>
      </c>
      <c r="B1340" s="2">
        <v>43951</v>
      </c>
      <c r="C1340" s="9">
        <f t="shared" si="34"/>
        <v>2020</v>
      </c>
      <c r="D1340" s="11">
        <f t="shared" si="32"/>
        <v>121</v>
      </c>
      <c r="E1340" s="9" t="s">
        <v>38</v>
      </c>
      <c r="I1340" s="4"/>
      <c r="M1340" s="2"/>
    </row>
    <row r="1341" spans="1:13" hidden="1" x14ac:dyDescent="0.25">
      <c r="A1341" s="9" t="s">
        <v>39</v>
      </c>
      <c r="B1341" s="2">
        <v>43963</v>
      </c>
      <c r="C1341" s="9">
        <f t="shared" si="34"/>
        <v>2020</v>
      </c>
      <c r="D1341" s="11">
        <f t="shared" si="32"/>
        <v>133</v>
      </c>
      <c r="E1341" s="9" t="s">
        <v>38</v>
      </c>
      <c r="I1341" s="4"/>
      <c r="M1341" s="2"/>
    </row>
    <row r="1342" spans="1:13" hidden="1" x14ac:dyDescent="0.25">
      <c r="A1342" s="9" t="s">
        <v>39</v>
      </c>
      <c r="B1342" s="2">
        <v>43963</v>
      </c>
      <c r="C1342" s="9">
        <f t="shared" si="34"/>
        <v>2020</v>
      </c>
      <c r="D1342" s="11">
        <f t="shared" si="32"/>
        <v>133</v>
      </c>
      <c r="E1342" s="9" t="s">
        <v>38</v>
      </c>
      <c r="I1342" s="4"/>
      <c r="M1342" s="2"/>
    </row>
    <row r="1343" spans="1:13" hidden="1" x14ac:dyDescent="0.25">
      <c r="A1343" s="9" t="s">
        <v>39</v>
      </c>
      <c r="B1343" s="2">
        <v>43976</v>
      </c>
      <c r="C1343" s="9">
        <f t="shared" si="34"/>
        <v>2020</v>
      </c>
      <c r="D1343" s="11">
        <f t="shared" si="32"/>
        <v>146</v>
      </c>
      <c r="E1343" s="9" t="s">
        <v>38</v>
      </c>
      <c r="I1343" s="4"/>
      <c r="M1343" s="2"/>
    </row>
    <row r="1344" spans="1:13" hidden="1" x14ac:dyDescent="0.25">
      <c r="A1344" s="9" t="s">
        <v>39</v>
      </c>
      <c r="B1344" s="2">
        <v>43976</v>
      </c>
      <c r="C1344" s="9">
        <f t="shared" si="34"/>
        <v>2020</v>
      </c>
      <c r="D1344" s="11">
        <f t="shared" si="32"/>
        <v>146</v>
      </c>
      <c r="E1344" s="9" t="s">
        <v>38</v>
      </c>
      <c r="I1344" s="4"/>
      <c r="M1344" s="2"/>
    </row>
    <row r="1345" spans="1:13" hidden="1" x14ac:dyDescent="0.25">
      <c r="A1345" s="9" t="s">
        <v>39</v>
      </c>
      <c r="B1345" s="2">
        <v>44222</v>
      </c>
      <c r="C1345" s="9">
        <f t="shared" si="34"/>
        <v>2021</v>
      </c>
      <c r="D1345" s="11">
        <f t="shared" si="32"/>
        <v>26</v>
      </c>
      <c r="E1345" s="9" t="s">
        <v>38</v>
      </c>
      <c r="I1345" s="4"/>
      <c r="M1345" s="2"/>
    </row>
    <row r="1346" spans="1:13" hidden="1" x14ac:dyDescent="0.25">
      <c r="A1346" s="9" t="s">
        <v>39</v>
      </c>
      <c r="B1346" s="2">
        <v>44222</v>
      </c>
      <c r="C1346" s="9">
        <f t="shared" si="34"/>
        <v>2021</v>
      </c>
      <c r="D1346" s="11">
        <f t="shared" si="32"/>
        <v>26</v>
      </c>
      <c r="E1346" s="9" t="s">
        <v>38</v>
      </c>
      <c r="I1346" s="4"/>
      <c r="M1346" s="2"/>
    </row>
    <row r="1347" spans="1:13" hidden="1" x14ac:dyDescent="0.25">
      <c r="A1347" s="9" t="s">
        <v>39</v>
      </c>
      <c r="B1347" s="2">
        <v>44245</v>
      </c>
      <c r="C1347" s="9">
        <f t="shared" si="34"/>
        <v>2021</v>
      </c>
      <c r="D1347" s="11">
        <f t="shared" si="32"/>
        <v>49</v>
      </c>
      <c r="E1347" s="9" t="s">
        <v>38</v>
      </c>
      <c r="I1347" s="4"/>
      <c r="M1347" s="2"/>
    </row>
    <row r="1348" spans="1:13" hidden="1" x14ac:dyDescent="0.25">
      <c r="A1348" s="9" t="s">
        <v>39</v>
      </c>
      <c r="B1348" s="2">
        <v>44245</v>
      </c>
      <c r="C1348" s="9">
        <f t="shared" si="34"/>
        <v>2021</v>
      </c>
      <c r="D1348" s="11">
        <f t="shared" si="32"/>
        <v>49</v>
      </c>
      <c r="E1348" s="9" t="s">
        <v>38</v>
      </c>
      <c r="I1348" s="4"/>
      <c r="M1348" s="2"/>
    </row>
    <row r="1349" spans="1:13" hidden="1" x14ac:dyDescent="0.25">
      <c r="A1349" s="9" t="s">
        <v>39</v>
      </c>
      <c r="B1349" s="2">
        <v>44257</v>
      </c>
      <c r="C1349" s="9">
        <f t="shared" si="34"/>
        <v>2021</v>
      </c>
      <c r="D1349" s="11">
        <f t="shared" si="32"/>
        <v>61</v>
      </c>
      <c r="E1349" s="9" t="s">
        <v>38</v>
      </c>
      <c r="I1349" s="4"/>
      <c r="M1349" s="2"/>
    </row>
    <row r="1350" spans="1:13" hidden="1" x14ac:dyDescent="0.25">
      <c r="A1350" s="9" t="s">
        <v>39</v>
      </c>
      <c r="B1350" s="2">
        <v>44257</v>
      </c>
      <c r="C1350" s="9">
        <f t="shared" si="34"/>
        <v>2021</v>
      </c>
      <c r="D1350" s="11">
        <f t="shared" si="32"/>
        <v>61</v>
      </c>
      <c r="E1350" s="9" t="s">
        <v>38</v>
      </c>
      <c r="I1350" s="4"/>
      <c r="M1350" s="2"/>
    </row>
    <row r="1351" spans="1:13" hidden="1" x14ac:dyDescent="0.25">
      <c r="A1351" s="9" t="s">
        <v>39</v>
      </c>
      <c r="B1351" s="2">
        <v>44271</v>
      </c>
      <c r="C1351" s="9">
        <f t="shared" si="34"/>
        <v>2021</v>
      </c>
      <c r="D1351" s="11">
        <f t="shared" si="32"/>
        <v>75</v>
      </c>
      <c r="E1351" s="9" t="s">
        <v>38</v>
      </c>
      <c r="I1351" s="4"/>
      <c r="M1351" s="2"/>
    </row>
    <row r="1352" spans="1:13" hidden="1" x14ac:dyDescent="0.25">
      <c r="A1352" s="9" t="s">
        <v>39</v>
      </c>
      <c r="B1352" s="2">
        <v>44271</v>
      </c>
      <c r="C1352" s="9">
        <f t="shared" si="34"/>
        <v>2021</v>
      </c>
      <c r="D1352" s="11">
        <f t="shared" si="32"/>
        <v>75</v>
      </c>
      <c r="E1352" s="9" t="s">
        <v>38</v>
      </c>
      <c r="I1352" s="4"/>
      <c r="M1352" s="2"/>
    </row>
    <row r="1353" spans="1:13" hidden="1" x14ac:dyDescent="0.25">
      <c r="A1353" s="9" t="s">
        <v>39</v>
      </c>
      <c r="B1353" s="2">
        <v>44285</v>
      </c>
      <c r="C1353" s="9">
        <f t="shared" si="34"/>
        <v>2021</v>
      </c>
      <c r="D1353" s="11">
        <f t="shared" si="32"/>
        <v>89</v>
      </c>
      <c r="E1353" s="9" t="s">
        <v>38</v>
      </c>
      <c r="I1353" s="4"/>
      <c r="M1353" s="2"/>
    </row>
    <row r="1354" spans="1:13" hidden="1" x14ac:dyDescent="0.25">
      <c r="A1354" s="9" t="s">
        <v>39</v>
      </c>
      <c r="B1354" s="2">
        <v>44285</v>
      </c>
      <c r="C1354" s="9">
        <f t="shared" si="34"/>
        <v>2021</v>
      </c>
      <c r="D1354" s="11">
        <f t="shared" si="32"/>
        <v>89</v>
      </c>
      <c r="E1354" s="9" t="s">
        <v>38</v>
      </c>
      <c r="I1354" s="4"/>
      <c r="M1354" s="2"/>
    </row>
    <row r="1355" spans="1:13" hidden="1" x14ac:dyDescent="0.25">
      <c r="A1355" s="9" t="s">
        <v>39</v>
      </c>
      <c r="B1355" s="2">
        <v>44299</v>
      </c>
      <c r="C1355" s="9">
        <f t="shared" si="34"/>
        <v>2021</v>
      </c>
      <c r="D1355" s="11">
        <f t="shared" si="32"/>
        <v>103</v>
      </c>
      <c r="E1355" s="9" t="s">
        <v>38</v>
      </c>
      <c r="I1355" s="4"/>
      <c r="M1355" s="2"/>
    </row>
    <row r="1356" spans="1:13" hidden="1" x14ac:dyDescent="0.25">
      <c r="A1356" s="9" t="s">
        <v>39</v>
      </c>
      <c r="B1356" s="2">
        <v>44299</v>
      </c>
      <c r="C1356" s="9">
        <f t="shared" si="34"/>
        <v>2021</v>
      </c>
      <c r="D1356" s="11">
        <f t="shared" si="32"/>
        <v>103</v>
      </c>
      <c r="E1356" s="9" t="s">
        <v>38</v>
      </c>
      <c r="I1356" s="4"/>
      <c r="M1356" s="2"/>
    </row>
    <row r="1357" spans="1:13" hidden="1" x14ac:dyDescent="0.25">
      <c r="A1357" s="9" t="s">
        <v>39</v>
      </c>
      <c r="B1357" s="2">
        <v>44306</v>
      </c>
      <c r="C1357" s="9">
        <f t="shared" si="34"/>
        <v>2021</v>
      </c>
      <c r="D1357" s="11">
        <f t="shared" ref="D1357:D1421" si="35">B1357-DATE(YEAR(B1357),1,0)</f>
        <v>110</v>
      </c>
      <c r="E1357" s="9" t="s">
        <v>38</v>
      </c>
      <c r="I1357" s="4"/>
      <c r="M1357" s="2"/>
    </row>
    <row r="1358" spans="1:13" hidden="1" x14ac:dyDescent="0.25">
      <c r="A1358" s="9" t="s">
        <v>39</v>
      </c>
      <c r="B1358" s="2">
        <v>44306</v>
      </c>
      <c r="C1358" s="9">
        <f t="shared" si="34"/>
        <v>2021</v>
      </c>
      <c r="D1358" s="11">
        <f t="shared" si="35"/>
        <v>110</v>
      </c>
      <c r="E1358" s="9" t="s">
        <v>38</v>
      </c>
      <c r="I1358" s="4"/>
      <c r="M1358" s="2"/>
    </row>
    <row r="1359" spans="1:13" hidden="1" x14ac:dyDescent="0.25">
      <c r="A1359" s="9" t="s">
        <v>39</v>
      </c>
      <c r="B1359" s="2">
        <v>44314</v>
      </c>
      <c r="C1359" s="9">
        <f t="shared" si="34"/>
        <v>2021</v>
      </c>
      <c r="D1359" s="11">
        <f t="shared" si="35"/>
        <v>118</v>
      </c>
      <c r="E1359" s="9" t="s">
        <v>38</v>
      </c>
      <c r="I1359" s="4"/>
      <c r="M1359" s="2"/>
    </row>
    <row r="1360" spans="1:13" hidden="1" x14ac:dyDescent="0.25">
      <c r="A1360" s="9" t="s">
        <v>39</v>
      </c>
      <c r="B1360" s="2">
        <v>44314</v>
      </c>
      <c r="C1360" s="9">
        <f t="shared" si="34"/>
        <v>2021</v>
      </c>
      <c r="D1360" s="11">
        <f t="shared" si="35"/>
        <v>118</v>
      </c>
      <c r="E1360" s="9" t="s">
        <v>38</v>
      </c>
      <c r="I1360" s="4"/>
      <c r="M1360" s="2"/>
    </row>
    <row r="1361" spans="1:13" hidden="1" x14ac:dyDescent="0.25">
      <c r="A1361" s="9" t="s">
        <v>39</v>
      </c>
      <c r="B1361" s="2">
        <v>44322</v>
      </c>
      <c r="C1361" s="9">
        <f t="shared" si="34"/>
        <v>2021</v>
      </c>
      <c r="D1361" s="11">
        <f t="shared" si="35"/>
        <v>126</v>
      </c>
      <c r="E1361" s="9" t="s">
        <v>38</v>
      </c>
      <c r="I1361" s="4"/>
      <c r="M1361" s="2"/>
    </row>
    <row r="1362" spans="1:13" hidden="1" x14ac:dyDescent="0.25">
      <c r="A1362" s="9" t="s">
        <v>39</v>
      </c>
      <c r="B1362" s="2">
        <v>44322</v>
      </c>
      <c r="C1362" s="9">
        <f t="shared" si="34"/>
        <v>2021</v>
      </c>
      <c r="D1362" s="11">
        <f t="shared" si="35"/>
        <v>126</v>
      </c>
      <c r="E1362" s="9" t="s">
        <v>38</v>
      </c>
      <c r="I1362" s="4"/>
      <c r="M1362" s="2"/>
    </row>
    <row r="1363" spans="1:13" hidden="1" x14ac:dyDescent="0.25">
      <c r="A1363" s="9" t="s">
        <v>39</v>
      </c>
      <c r="B1363" s="2">
        <v>44334</v>
      </c>
      <c r="C1363" s="9">
        <f t="shared" si="34"/>
        <v>2021</v>
      </c>
      <c r="D1363" s="11">
        <f t="shared" si="35"/>
        <v>138</v>
      </c>
      <c r="E1363" s="9" t="s">
        <v>38</v>
      </c>
      <c r="I1363" s="4"/>
      <c r="M1363" s="2"/>
    </row>
    <row r="1364" spans="1:13" hidden="1" x14ac:dyDescent="0.25">
      <c r="A1364" s="9" t="s">
        <v>39</v>
      </c>
      <c r="B1364" s="2">
        <v>44334</v>
      </c>
      <c r="C1364" s="9">
        <f t="shared" si="34"/>
        <v>2021</v>
      </c>
      <c r="D1364" s="11">
        <f t="shared" si="35"/>
        <v>138</v>
      </c>
      <c r="E1364" s="9" t="s">
        <v>38</v>
      </c>
      <c r="I1364" s="4"/>
      <c r="M1364" s="2"/>
    </row>
    <row r="1365" spans="1:13" hidden="1" x14ac:dyDescent="0.25">
      <c r="A1365" s="9" t="s">
        <v>39</v>
      </c>
      <c r="B1365" s="2">
        <v>44349</v>
      </c>
      <c r="C1365" s="9">
        <f t="shared" si="34"/>
        <v>2021</v>
      </c>
      <c r="D1365" s="11">
        <f t="shared" si="35"/>
        <v>153</v>
      </c>
      <c r="E1365" s="9" t="s">
        <v>38</v>
      </c>
      <c r="I1365" s="4"/>
      <c r="M1365" s="2"/>
    </row>
    <row r="1366" spans="1:13" hidden="1" x14ac:dyDescent="0.25">
      <c r="A1366" s="9" t="s">
        <v>39</v>
      </c>
      <c r="B1366" s="2">
        <v>44349</v>
      </c>
      <c r="C1366" s="9">
        <f t="shared" si="34"/>
        <v>2021</v>
      </c>
      <c r="D1366" s="11">
        <f t="shared" si="35"/>
        <v>153</v>
      </c>
      <c r="E1366" s="9" t="s">
        <v>38</v>
      </c>
      <c r="I1366" s="4"/>
      <c r="M1366" s="2"/>
    </row>
    <row r="1367" spans="1:13" hidden="1" x14ac:dyDescent="0.25">
      <c r="A1367" s="9" t="s">
        <v>39</v>
      </c>
      <c r="B1367" s="2">
        <v>44596</v>
      </c>
      <c r="C1367" s="9">
        <f t="shared" si="34"/>
        <v>2022</v>
      </c>
      <c r="D1367" s="11">
        <f t="shared" si="35"/>
        <v>35</v>
      </c>
      <c r="E1367" s="9" t="s">
        <v>38</v>
      </c>
      <c r="I1367" s="4"/>
      <c r="M1367" s="2"/>
    </row>
    <row r="1368" spans="1:13" hidden="1" x14ac:dyDescent="0.25">
      <c r="A1368" s="9" t="s">
        <v>39</v>
      </c>
      <c r="B1368" s="2">
        <v>44596</v>
      </c>
      <c r="C1368" s="9">
        <f t="shared" si="34"/>
        <v>2022</v>
      </c>
      <c r="D1368" s="11">
        <f t="shared" si="35"/>
        <v>35</v>
      </c>
      <c r="E1368" s="9" t="s">
        <v>38</v>
      </c>
      <c r="I1368" s="4"/>
      <c r="M1368" s="2"/>
    </row>
    <row r="1369" spans="1:13" hidden="1" x14ac:dyDescent="0.25">
      <c r="A1369" s="9" t="s">
        <v>39</v>
      </c>
      <c r="B1369" s="2">
        <v>44607</v>
      </c>
      <c r="C1369" s="9">
        <f t="shared" si="34"/>
        <v>2022</v>
      </c>
      <c r="D1369" s="11">
        <f t="shared" si="35"/>
        <v>46</v>
      </c>
      <c r="E1369" s="9" t="s">
        <v>38</v>
      </c>
      <c r="I1369" s="4"/>
      <c r="M1369" s="2"/>
    </row>
    <row r="1370" spans="1:13" hidden="1" x14ac:dyDescent="0.25">
      <c r="A1370" s="9" t="s">
        <v>39</v>
      </c>
      <c r="B1370" s="2">
        <v>44607</v>
      </c>
      <c r="C1370" s="9">
        <f t="shared" si="34"/>
        <v>2022</v>
      </c>
      <c r="D1370" s="11">
        <f t="shared" si="35"/>
        <v>46</v>
      </c>
      <c r="E1370" s="9" t="s">
        <v>38</v>
      </c>
      <c r="I1370" s="4"/>
      <c r="M1370" s="2"/>
    </row>
    <row r="1371" spans="1:13" hidden="1" x14ac:dyDescent="0.25">
      <c r="A1371" s="9" t="s">
        <v>39</v>
      </c>
      <c r="B1371" s="2">
        <v>44621</v>
      </c>
      <c r="C1371" s="9">
        <f t="shared" si="34"/>
        <v>2022</v>
      </c>
      <c r="D1371" s="11">
        <f t="shared" si="35"/>
        <v>60</v>
      </c>
      <c r="E1371" s="9" t="s">
        <v>38</v>
      </c>
      <c r="I1371" s="4"/>
      <c r="M1371" s="2"/>
    </row>
    <row r="1372" spans="1:13" hidden="1" x14ac:dyDescent="0.25">
      <c r="A1372" s="9" t="s">
        <v>39</v>
      </c>
      <c r="B1372" s="2">
        <v>44621</v>
      </c>
      <c r="C1372" s="9">
        <f t="shared" si="34"/>
        <v>2022</v>
      </c>
      <c r="D1372" s="11">
        <f t="shared" si="35"/>
        <v>60</v>
      </c>
      <c r="E1372" s="9" t="s">
        <v>38</v>
      </c>
      <c r="I1372" s="4"/>
      <c r="M1372" s="2"/>
    </row>
    <row r="1373" spans="1:13" hidden="1" x14ac:dyDescent="0.25">
      <c r="A1373" s="9" t="s">
        <v>39</v>
      </c>
      <c r="B1373" s="2">
        <v>44635</v>
      </c>
      <c r="C1373" s="9">
        <f t="shared" si="34"/>
        <v>2022</v>
      </c>
      <c r="D1373" s="11">
        <f t="shared" si="35"/>
        <v>74</v>
      </c>
      <c r="E1373" s="9" t="s">
        <v>38</v>
      </c>
      <c r="I1373" s="4"/>
      <c r="M1373" s="2"/>
    </row>
    <row r="1374" spans="1:13" hidden="1" x14ac:dyDescent="0.25">
      <c r="A1374" s="9" t="s">
        <v>39</v>
      </c>
      <c r="B1374" s="2">
        <v>44635</v>
      </c>
      <c r="C1374" s="9">
        <f t="shared" si="34"/>
        <v>2022</v>
      </c>
      <c r="D1374" s="11">
        <f t="shared" si="35"/>
        <v>74</v>
      </c>
      <c r="E1374" s="9" t="s">
        <v>38</v>
      </c>
      <c r="I1374" s="4"/>
      <c r="M1374" s="2"/>
    </row>
    <row r="1375" spans="1:13" hidden="1" x14ac:dyDescent="0.25">
      <c r="A1375" s="9" t="s">
        <v>39</v>
      </c>
      <c r="B1375" s="2">
        <v>44649</v>
      </c>
      <c r="C1375" s="9">
        <f t="shared" si="34"/>
        <v>2022</v>
      </c>
      <c r="D1375" s="11">
        <f t="shared" si="35"/>
        <v>88</v>
      </c>
      <c r="E1375" s="9" t="s">
        <v>38</v>
      </c>
      <c r="I1375" s="4"/>
      <c r="M1375" s="2"/>
    </row>
    <row r="1376" spans="1:13" hidden="1" x14ac:dyDescent="0.25">
      <c r="A1376" s="9" t="s">
        <v>39</v>
      </c>
      <c r="B1376" s="2">
        <v>44649</v>
      </c>
      <c r="C1376" s="9">
        <f t="shared" si="34"/>
        <v>2022</v>
      </c>
      <c r="D1376" s="11">
        <f t="shared" si="35"/>
        <v>88</v>
      </c>
      <c r="E1376" s="9" t="s">
        <v>38</v>
      </c>
      <c r="I1376" s="4"/>
      <c r="M1376" s="2"/>
    </row>
    <row r="1377" spans="1:13" hidden="1" x14ac:dyDescent="0.25">
      <c r="A1377" s="9" t="s">
        <v>39</v>
      </c>
      <c r="B1377" s="2">
        <v>44665</v>
      </c>
      <c r="C1377" s="9">
        <f t="shared" si="34"/>
        <v>2022</v>
      </c>
      <c r="D1377" s="11">
        <f t="shared" si="35"/>
        <v>104</v>
      </c>
      <c r="E1377" s="9" t="s">
        <v>38</v>
      </c>
      <c r="I1377" s="4"/>
      <c r="M1377" s="2"/>
    </row>
    <row r="1378" spans="1:13" hidden="1" x14ac:dyDescent="0.25">
      <c r="A1378" s="9" t="s">
        <v>39</v>
      </c>
      <c r="B1378" s="2">
        <v>44665</v>
      </c>
      <c r="C1378" s="9">
        <f t="shared" si="34"/>
        <v>2022</v>
      </c>
      <c r="D1378" s="11">
        <f t="shared" si="35"/>
        <v>104</v>
      </c>
      <c r="E1378" s="9" t="s">
        <v>38</v>
      </c>
      <c r="I1378" s="4"/>
      <c r="M1378" s="2"/>
    </row>
    <row r="1379" spans="1:13" hidden="1" x14ac:dyDescent="0.25">
      <c r="A1379" s="9" t="s">
        <v>39</v>
      </c>
      <c r="B1379" s="2">
        <v>44673</v>
      </c>
      <c r="C1379" s="9">
        <f t="shared" si="34"/>
        <v>2022</v>
      </c>
      <c r="D1379" s="11">
        <f t="shared" si="35"/>
        <v>112</v>
      </c>
      <c r="E1379" s="9" t="s">
        <v>38</v>
      </c>
      <c r="I1379" s="4"/>
      <c r="M1379" s="2"/>
    </row>
    <row r="1380" spans="1:13" hidden="1" x14ac:dyDescent="0.25">
      <c r="A1380" s="9" t="s">
        <v>39</v>
      </c>
      <c r="B1380" s="2">
        <v>44673</v>
      </c>
      <c r="C1380" s="9">
        <f t="shared" si="34"/>
        <v>2022</v>
      </c>
      <c r="D1380" s="11">
        <f t="shared" si="35"/>
        <v>112</v>
      </c>
      <c r="E1380" s="9" t="s">
        <v>38</v>
      </c>
      <c r="I1380" s="4"/>
      <c r="M1380" s="2"/>
    </row>
    <row r="1381" spans="1:13" hidden="1" x14ac:dyDescent="0.25">
      <c r="A1381" s="9" t="s">
        <v>39</v>
      </c>
      <c r="B1381" s="2">
        <v>44679</v>
      </c>
      <c r="C1381" s="9">
        <f t="shared" si="34"/>
        <v>2022</v>
      </c>
      <c r="D1381" s="11">
        <f t="shared" si="35"/>
        <v>118</v>
      </c>
      <c r="E1381" s="9" t="s">
        <v>38</v>
      </c>
      <c r="I1381" s="4"/>
      <c r="M1381" s="2"/>
    </row>
    <row r="1382" spans="1:13" hidden="1" x14ac:dyDescent="0.25">
      <c r="A1382" s="9" t="s">
        <v>39</v>
      </c>
      <c r="B1382" s="2">
        <v>44679</v>
      </c>
      <c r="C1382" s="9">
        <f t="shared" si="34"/>
        <v>2022</v>
      </c>
      <c r="D1382" s="11">
        <f t="shared" si="35"/>
        <v>118</v>
      </c>
      <c r="E1382" s="9" t="s">
        <v>38</v>
      </c>
      <c r="I1382" s="4"/>
      <c r="M1382" s="2"/>
    </row>
    <row r="1383" spans="1:13" hidden="1" x14ac:dyDescent="0.25">
      <c r="A1383" s="9" t="s">
        <v>39</v>
      </c>
      <c r="B1383" s="2">
        <v>44686</v>
      </c>
      <c r="C1383" s="9">
        <f t="shared" si="34"/>
        <v>2022</v>
      </c>
      <c r="D1383" s="11">
        <f t="shared" si="35"/>
        <v>125</v>
      </c>
      <c r="E1383" s="9" t="s">
        <v>38</v>
      </c>
      <c r="I1383" s="4"/>
      <c r="M1383" s="2"/>
    </row>
    <row r="1384" spans="1:13" hidden="1" x14ac:dyDescent="0.25">
      <c r="A1384" s="9" t="s">
        <v>39</v>
      </c>
      <c r="B1384" s="2">
        <v>44686</v>
      </c>
      <c r="C1384" s="9">
        <f t="shared" si="34"/>
        <v>2022</v>
      </c>
      <c r="D1384" s="11">
        <f t="shared" si="35"/>
        <v>125</v>
      </c>
      <c r="E1384" s="9" t="s">
        <v>38</v>
      </c>
      <c r="I1384" s="4"/>
      <c r="M1384" s="2"/>
    </row>
    <row r="1385" spans="1:13" hidden="1" x14ac:dyDescent="0.25">
      <c r="A1385" s="9" t="s">
        <v>39</v>
      </c>
      <c r="B1385" s="2">
        <v>44700</v>
      </c>
      <c r="C1385" s="9">
        <f t="shared" si="34"/>
        <v>2022</v>
      </c>
      <c r="D1385" s="11">
        <f t="shared" si="35"/>
        <v>139</v>
      </c>
      <c r="E1385" s="9" t="s">
        <v>38</v>
      </c>
      <c r="I1385" s="4"/>
      <c r="M1385" s="2"/>
    </row>
    <row r="1386" spans="1:13" hidden="1" x14ac:dyDescent="0.25">
      <c r="A1386" s="9" t="s">
        <v>39</v>
      </c>
      <c r="B1386" s="2">
        <v>44700</v>
      </c>
      <c r="C1386" s="9">
        <f t="shared" si="34"/>
        <v>2022</v>
      </c>
      <c r="D1386" s="11">
        <f t="shared" si="35"/>
        <v>139</v>
      </c>
      <c r="E1386" s="9" t="s">
        <v>38</v>
      </c>
      <c r="I1386" s="4"/>
      <c r="M1386" s="2"/>
    </row>
    <row r="1387" spans="1:13" hidden="1" x14ac:dyDescent="0.25">
      <c r="A1387" s="9" t="s">
        <v>39</v>
      </c>
      <c r="B1387" s="2">
        <v>44714</v>
      </c>
      <c r="C1387" s="9">
        <f t="shared" si="34"/>
        <v>2022</v>
      </c>
      <c r="D1387" s="11">
        <f t="shared" si="35"/>
        <v>153</v>
      </c>
      <c r="E1387" s="9" t="s">
        <v>38</v>
      </c>
      <c r="I1387" s="4"/>
      <c r="M1387" s="2"/>
    </row>
    <row r="1388" spans="1:13" hidden="1" x14ac:dyDescent="0.25">
      <c r="A1388" s="9" t="s">
        <v>39</v>
      </c>
      <c r="B1388" s="2">
        <v>44714</v>
      </c>
      <c r="C1388" s="9">
        <f t="shared" si="34"/>
        <v>2022</v>
      </c>
      <c r="D1388" s="11">
        <f t="shared" si="35"/>
        <v>153</v>
      </c>
      <c r="E1388" s="9" t="s">
        <v>38</v>
      </c>
      <c r="I1388" s="4"/>
      <c r="M1388" s="2"/>
    </row>
    <row r="1389" spans="1:13" hidden="1" x14ac:dyDescent="0.25">
      <c r="A1389" s="9" t="s">
        <v>39</v>
      </c>
      <c r="B1389" s="2">
        <v>44951</v>
      </c>
      <c r="C1389" s="9">
        <f t="shared" si="34"/>
        <v>2023</v>
      </c>
      <c r="D1389" s="11">
        <f t="shared" si="35"/>
        <v>25</v>
      </c>
      <c r="E1389" s="9" t="s">
        <v>38</v>
      </c>
      <c r="I1389" s="4"/>
      <c r="M1389" s="2"/>
    </row>
    <row r="1390" spans="1:13" hidden="1" x14ac:dyDescent="0.25">
      <c r="A1390" s="9" t="s">
        <v>39</v>
      </c>
      <c r="B1390" s="2">
        <v>44951</v>
      </c>
      <c r="C1390" s="9">
        <f t="shared" si="34"/>
        <v>2023</v>
      </c>
      <c r="D1390" s="11">
        <f t="shared" si="35"/>
        <v>25</v>
      </c>
      <c r="E1390" s="9" t="s">
        <v>38</v>
      </c>
      <c r="I1390" s="4"/>
      <c r="M1390" s="2"/>
    </row>
    <row r="1391" spans="1:13" hidden="1" x14ac:dyDescent="0.25">
      <c r="A1391" s="9" t="s">
        <v>39</v>
      </c>
      <c r="B1391" s="2">
        <v>44974</v>
      </c>
      <c r="C1391" s="9">
        <f t="shared" si="34"/>
        <v>2023</v>
      </c>
      <c r="D1391" s="11">
        <f t="shared" si="35"/>
        <v>48</v>
      </c>
      <c r="E1391" s="9" t="s">
        <v>38</v>
      </c>
      <c r="I1391" s="4"/>
      <c r="M1391" s="2"/>
    </row>
    <row r="1392" spans="1:13" hidden="1" x14ac:dyDescent="0.25">
      <c r="A1392" s="9" t="s">
        <v>39</v>
      </c>
      <c r="B1392" s="2">
        <v>44974</v>
      </c>
      <c r="C1392" s="9">
        <f t="shared" si="34"/>
        <v>2023</v>
      </c>
      <c r="D1392" s="11">
        <f t="shared" si="35"/>
        <v>48</v>
      </c>
      <c r="E1392" s="9" t="s">
        <v>38</v>
      </c>
      <c r="I1392" s="4"/>
      <c r="M1392" s="2"/>
    </row>
    <row r="1393" spans="1:13" hidden="1" x14ac:dyDescent="0.25">
      <c r="A1393" s="9" t="s">
        <v>39</v>
      </c>
      <c r="B1393" s="2">
        <v>44985</v>
      </c>
      <c r="C1393" s="9">
        <f t="shared" si="34"/>
        <v>2023</v>
      </c>
      <c r="D1393" s="11">
        <f t="shared" si="35"/>
        <v>59</v>
      </c>
      <c r="E1393" s="9" t="s">
        <v>38</v>
      </c>
      <c r="I1393" s="4"/>
      <c r="M1393" s="2"/>
    </row>
    <row r="1394" spans="1:13" hidden="1" x14ac:dyDescent="0.25">
      <c r="A1394" s="9" t="s">
        <v>39</v>
      </c>
      <c r="B1394" s="2">
        <v>44985</v>
      </c>
      <c r="C1394" s="9">
        <f t="shared" si="34"/>
        <v>2023</v>
      </c>
      <c r="D1394" s="11">
        <f t="shared" si="35"/>
        <v>59</v>
      </c>
      <c r="E1394" s="9" t="s">
        <v>38</v>
      </c>
      <c r="I1394" s="4"/>
      <c r="M1394" s="2"/>
    </row>
    <row r="1395" spans="1:13" hidden="1" x14ac:dyDescent="0.25">
      <c r="A1395" s="9" t="s">
        <v>39</v>
      </c>
      <c r="B1395" s="2">
        <v>44999</v>
      </c>
      <c r="C1395" s="9">
        <f t="shared" si="34"/>
        <v>2023</v>
      </c>
      <c r="D1395" s="11">
        <f t="shared" si="35"/>
        <v>73</v>
      </c>
      <c r="E1395" s="9" t="s">
        <v>38</v>
      </c>
      <c r="I1395" s="4"/>
      <c r="M1395" s="2"/>
    </row>
    <row r="1396" spans="1:13" hidden="1" x14ac:dyDescent="0.25">
      <c r="A1396" s="9" t="s">
        <v>39</v>
      </c>
      <c r="B1396" s="2">
        <v>44999</v>
      </c>
      <c r="C1396" s="9">
        <f t="shared" ref="C1396:C1432" si="36">YEAR(B1396)</f>
        <v>2023</v>
      </c>
      <c r="D1396" s="11">
        <f t="shared" si="35"/>
        <v>73</v>
      </c>
      <c r="E1396" s="9" t="s">
        <v>38</v>
      </c>
      <c r="I1396" s="4"/>
      <c r="M1396" s="2"/>
    </row>
    <row r="1397" spans="1:13" hidden="1" x14ac:dyDescent="0.25">
      <c r="A1397" s="9" t="s">
        <v>39</v>
      </c>
      <c r="B1397" s="2">
        <v>45013</v>
      </c>
      <c r="C1397" s="9">
        <f t="shared" si="36"/>
        <v>2023</v>
      </c>
      <c r="D1397" s="11">
        <f t="shared" si="35"/>
        <v>87</v>
      </c>
      <c r="E1397" s="9" t="s">
        <v>38</v>
      </c>
      <c r="I1397" s="4"/>
      <c r="M1397" s="2"/>
    </row>
    <row r="1398" spans="1:13" hidden="1" x14ac:dyDescent="0.25">
      <c r="A1398" s="9" t="s">
        <v>39</v>
      </c>
      <c r="B1398" s="2">
        <v>45013</v>
      </c>
      <c r="C1398" s="9">
        <f t="shared" si="36"/>
        <v>2023</v>
      </c>
      <c r="D1398" s="11">
        <f t="shared" si="35"/>
        <v>87</v>
      </c>
      <c r="E1398" s="9" t="s">
        <v>38</v>
      </c>
      <c r="I1398" s="4"/>
      <c r="M1398" s="2"/>
    </row>
    <row r="1399" spans="1:13" hidden="1" x14ac:dyDescent="0.25">
      <c r="A1399" s="9" t="s">
        <v>39</v>
      </c>
      <c r="B1399" s="2">
        <v>45028</v>
      </c>
      <c r="C1399" s="9">
        <f t="shared" si="36"/>
        <v>2023</v>
      </c>
      <c r="D1399" s="11">
        <f t="shared" si="35"/>
        <v>102</v>
      </c>
      <c r="E1399" s="9" t="s">
        <v>38</v>
      </c>
      <c r="I1399" s="4"/>
      <c r="M1399" s="2"/>
    </row>
    <row r="1400" spans="1:13" hidden="1" x14ac:dyDescent="0.25">
      <c r="A1400" s="9" t="s">
        <v>39</v>
      </c>
      <c r="B1400" s="2">
        <v>45028</v>
      </c>
      <c r="C1400" s="9">
        <f t="shared" si="36"/>
        <v>2023</v>
      </c>
      <c r="D1400" s="11">
        <f t="shared" si="35"/>
        <v>102</v>
      </c>
      <c r="E1400" s="9" t="s">
        <v>38</v>
      </c>
      <c r="I1400" s="4"/>
      <c r="M1400" s="2"/>
    </row>
    <row r="1401" spans="1:13" hidden="1" x14ac:dyDescent="0.25">
      <c r="A1401" s="9" t="s">
        <v>39</v>
      </c>
      <c r="B1401" s="2">
        <v>45040</v>
      </c>
      <c r="C1401" s="9">
        <f t="shared" si="36"/>
        <v>2023</v>
      </c>
      <c r="D1401" s="11">
        <f t="shared" si="35"/>
        <v>114</v>
      </c>
      <c r="E1401" s="9" t="s">
        <v>38</v>
      </c>
      <c r="I1401" s="4"/>
      <c r="M1401" s="2"/>
    </row>
    <row r="1402" spans="1:13" hidden="1" x14ac:dyDescent="0.25">
      <c r="A1402" s="9" t="s">
        <v>39</v>
      </c>
      <c r="B1402" s="2">
        <v>45040</v>
      </c>
      <c r="C1402" s="9">
        <f t="shared" si="36"/>
        <v>2023</v>
      </c>
      <c r="D1402" s="11">
        <f t="shared" si="35"/>
        <v>114</v>
      </c>
      <c r="E1402" s="9" t="s">
        <v>38</v>
      </c>
      <c r="I1402" s="4"/>
      <c r="M1402" s="2"/>
    </row>
    <row r="1403" spans="1:13" hidden="1" x14ac:dyDescent="0.25">
      <c r="A1403" s="9" t="s">
        <v>39</v>
      </c>
      <c r="B1403" s="2">
        <v>45047</v>
      </c>
      <c r="C1403" s="9">
        <f t="shared" si="36"/>
        <v>2023</v>
      </c>
      <c r="D1403" s="11">
        <f t="shared" si="35"/>
        <v>121</v>
      </c>
      <c r="E1403" s="9" t="s">
        <v>38</v>
      </c>
      <c r="I1403" s="4"/>
      <c r="M1403" s="2"/>
    </row>
    <row r="1404" spans="1:13" hidden="1" x14ac:dyDescent="0.25">
      <c r="A1404" s="9" t="s">
        <v>39</v>
      </c>
      <c r="B1404" s="2">
        <v>45047</v>
      </c>
      <c r="C1404" s="9">
        <f t="shared" si="36"/>
        <v>2023</v>
      </c>
      <c r="D1404" s="11">
        <f t="shared" si="35"/>
        <v>121</v>
      </c>
      <c r="E1404" s="9" t="s">
        <v>38</v>
      </c>
      <c r="I1404" s="4"/>
      <c r="M1404" s="2"/>
    </row>
    <row r="1405" spans="1:13" hidden="1" x14ac:dyDescent="0.25">
      <c r="A1405" s="9" t="s">
        <v>39</v>
      </c>
      <c r="B1405" s="2">
        <v>45061</v>
      </c>
      <c r="C1405" s="9">
        <f t="shared" si="36"/>
        <v>2023</v>
      </c>
      <c r="D1405" s="11">
        <f t="shared" si="35"/>
        <v>135</v>
      </c>
      <c r="E1405" s="9" t="s">
        <v>38</v>
      </c>
      <c r="I1405" s="4"/>
      <c r="M1405" s="2"/>
    </row>
    <row r="1406" spans="1:13" hidden="1" x14ac:dyDescent="0.25">
      <c r="A1406" s="9" t="s">
        <v>39</v>
      </c>
      <c r="B1406" s="2">
        <v>45061</v>
      </c>
      <c r="C1406" s="9">
        <f t="shared" si="36"/>
        <v>2023</v>
      </c>
      <c r="D1406" s="11">
        <f t="shared" si="35"/>
        <v>135</v>
      </c>
      <c r="E1406" s="9" t="s">
        <v>38</v>
      </c>
      <c r="I1406" s="4"/>
      <c r="M1406" s="2"/>
    </row>
    <row r="1407" spans="1:13" hidden="1" x14ac:dyDescent="0.25">
      <c r="A1407" s="9" t="s">
        <v>39</v>
      </c>
      <c r="B1407" s="2">
        <v>45075</v>
      </c>
      <c r="C1407" s="9">
        <f t="shared" si="36"/>
        <v>2023</v>
      </c>
      <c r="D1407" s="11">
        <f t="shared" si="35"/>
        <v>149</v>
      </c>
      <c r="E1407" s="9" t="s">
        <v>38</v>
      </c>
      <c r="I1407" s="4"/>
      <c r="M1407" s="2"/>
    </row>
    <row r="1408" spans="1:13" hidden="1" x14ac:dyDescent="0.25">
      <c r="A1408" s="9" t="s">
        <v>39</v>
      </c>
      <c r="B1408" s="2">
        <v>45075</v>
      </c>
      <c r="C1408" s="9">
        <f t="shared" si="36"/>
        <v>2023</v>
      </c>
      <c r="D1408" s="11">
        <f t="shared" si="35"/>
        <v>149</v>
      </c>
      <c r="E1408" s="9" t="s">
        <v>38</v>
      </c>
      <c r="I1408" s="4"/>
      <c r="M1408" s="2"/>
    </row>
    <row r="1409" spans="1:13" hidden="1" x14ac:dyDescent="0.25">
      <c r="A1409" s="9" t="s">
        <v>39</v>
      </c>
      <c r="B1409" s="2">
        <v>45085</v>
      </c>
      <c r="C1409" s="9">
        <f t="shared" si="36"/>
        <v>2023</v>
      </c>
      <c r="D1409" s="11">
        <f t="shared" si="35"/>
        <v>159</v>
      </c>
      <c r="E1409" s="9" t="s">
        <v>38</v>
      </c>
      <c r="I1409" s="4"/>
      <c r="M1409" s="2"/>
    </row>
    <row r="1410" spans="1:13" hidden="1" x14ac:dyDescent="0.25">
      <c r="A1410" s="9" t="s">
        <v>39</v>
      </c>
      <c r="B1410" s="2">
        <v>45085</v>
      </c>
      <c r="C1410" s="9">
        <f t="shared" si="36"/>
        <v>2023</v>
      </c>
      <c r="D1410" s="11">
        <f t="shared" si="35"/>
        <v>159</v>
      </c>
      <c r="E1410" s="9" t="s">
        <v>38</v>
      </c>
      <c r="I1410" s="4"/>
      <c r="M1410" s="2"/>
    </row>
    <row r="1411" spans="1:13" hidden="1" x14ac:dyDescent="0.25">
      <c r="A1411" s="9" t="s">
        <v>39</v>
      </c>
      <c r="B1411" s="2">
        <v>45314</v>
      </c>
      <c r="C1411" s="9">
        <f t="shared" si="36"/>
        <v>2024</v>
      </c>
      <c r="D1411" s="11">
        <f t="shared" si="35"/>
        <v>23</v>
      </c>
      <c r="E1411" s="9" t="s">
        <v>38</v>
      </c>
      <c r="I1411" s="4"/>
      <c r="M1411" s="2"/>
    </row>
    <row r="1412" spans="1:13" hidden="1" x14ac:dyDescent="0.25">
      <c r="A1412" s="9" t="s">
        <v>39</v>
      </c>
      <c r="B1412" s="2">
        <v>45314</v>
      </c>
      <c r="C1412" s="9">
        <f t="shared" si="36"/>
        <v>2024</v>
      </c>
      <c r="D1412" s="11">
        <f t="shared" si="35"/>
        <v>23</v>
      </c>
      <c r="E1412" s="9" t="s">
        <v>38</v>
      </c>
      <c r="I1412" s="4"/>
      <c r="M1412" s="2"/>
    </row>
    <row r="1413" spans="1:13" hidden="1" x14ac:dyDescent="0.25">
      <c r="A1413" s="9" t="s">
        <v>39</v>
      </c>
      <c r="B1413" s="2">
        <v>45336</v>
      </c>
      <c r="C1413" s="9">
        <f t="shared" si="36"/>
        <v>2024</v>
      </c>
      <c r="D1413" s="11">
        <f t="shared" si="35"/>
        <v>45</v>
      </c>
      <c r="E1413" s="9" t="s">
        <v>38</v>
      </c>
      <c r="I1413" s="4"/>
      <c r="M1413" s="2"/>
    </row>
    <row r="1414" spans="1:13" hidden="1" x14ac:dyDescent="0.25">
      <c r="A1414" s="9" t="s">
        <v>39</v>
      </c>
      <c r="B1414" s="2">
        <v>45336</v>
      </c>
      <c r="C1414" s="9">
        <f t="shared" si="36"/>
        <v>2024</v>
      </c>
      <c r="D1414" s="11">
        <f t="shared" si="35"/>
        <v>45</v>
      </c>
      <c r="E1414" s="9" t="s">
        <v>38</v>
      </c>
      <c r="I1414" s="4"/>
      <c r="M1414" s="2"/>
    </row>
    <row r="1415" spans="1:13" hidden="1" x14ac:dyDescent="0.25">
      <c r="A1415" s="9" t="s">
        <v>39</v>
      </c>
      <c r="B1415" s="2">
        <v>45351</v>
      </c>
      <c r="C1415" s="9">
        <f t="shared" si="36"/>
        <v>2024</v>
      </c>
      <c r="D1415" s="11">
        <f t="shared" si="35"/>
        <v>60</v>
      </c>
      <c r="E1415" s="9" t="s">
        <v>38</v>
      </c>
      <c r="I1415" s="4"/>
      <c r="M1415" s="2"/>
    </row>
    <row r="1416" spans="1:13" hidden="1" x14ac:dyDescent="0.25">
      <c r="A1416" s="9" t="s">
        <v>39</v>
      </c>
      <c r="B1416" s="2">
        <v>45351</v>
      </c>
      <c r="C1416" s="9">
        <f t="shared" si="36"/>
        <v>2024</v>
      </c>
      <c r="D1416" s="11">
        <f t="shared" si="35"/>
        <v>60</v>
      </c>
      <c r="E1416" s="9" t="s">
        <v>38</v>
      </c>
      <c r="I1416" s="4"/>
      <c r="M1416" s="2"/>
    </row>
    <row r="1417" spans="1:13" hidden="1" x14ac:dyDescent="0.25">
      <c r="A1417" s="9" t="s">
        <v>39</v>
      </c>
      <c r="B1417" s="2">
        <v>45365</v>
      </c>
      <c r="C1417" s="9">
        <f t="shared" si="36"/>
        <v>2024</v>
      </c>
      <c r="D1417" s="11">
        <f t="shared" si="35"/>
        <v>74</v>
      </c>
      <c r="E1417" s="9" t="s">
        <v>38</v>
      </c>
      <c r="I1417" s="4"/>
      <c r="M1417" s="2"/>
    </row>
    <row r="1418" spans="1:13" hidden="1" x14ac:dyDescent="0.25">
      <c r="A1418" s="9" t="s">
        <v>39</v>
      </c>
      <c r="B1418" s="2">
        <v>45365</v>
      </c>
      <c r="C1418" s="9">
        <f t="shared" si="36"/>
        <v>2024</v>
      </c>
      <c r="D1418" s="11">
        <f t="shared" si="35"/>
        <v>74</v>
      </c>
      <c r="E1418" s="9" t="s">
        <v>38</v>
      </c>
      <c r="I1418" s="4"/>
      <c r="M1418" s="2"/>
    </row>
    <row r="1419" spans="1:13" hidden="1" x14ac:dyDescent="0.25">
      <c r="A1419" s="9" t="s">
        <v>39</v>
      </c>
      <c r="B1419" s="2">
        <v>45379</v>
      </c>
      <c r="C1419" s="9">
        <f t="shared" si="36"/>
        <v>2024</v>
      </c>
      <c r="D1419" s="11">
        <f t="shared" si="35"/>
        <v>88</v>
      </c>
      <c r="E1419" s="9" t="s">
        <v>38</v>
      </c>
      <c r="I1419" s="4"/>
      <c r="M1419" s="2"/>
    </row>
    <row r="1420" spans="1:13" hidden="1" x14ac:dyDescent="0.25">
      <c r="A1420" s="9" t="s">
        <v>39</v>
      </c>
      <c r="B1420" s="2">
        <v>45379</v>
      </c>
      <c r="C1420" s="9">
        <f t="shared" si="36"/>
        <v>2024</v>
      </c>
      <c r="D1420" s="11">
        <f t="shared" si="35"/>
        <v>88</v>
      </c>
      <c r="E1420" s="9" t="s">
        <v>38</v>
      </c>
      <c r="I1420" s="4"/>
      <c r="M1420" s="2"/>
    </row>
    <row r="1421" spans="1:13" hidden="1" x14ac:dyDescent="0.25">
      <c r="A1421" s="9" t="s">
        <v>39</v>
      </c>
      <c r="B1421" s="2">
        <v>45392</v>
      </c>
      <c r="C1421" s="9">
        <f t="shared" si="36"/>
        <v>2024</v>
      </c>
      <c r="D1421" s="11">
        <f t="shared" si="35"/>
        <v>101</v>
      </c>
      <c r="E1421" s="9" t="s">
        <v>38</v>
      </c>
      <c r="I1421" s="4"/>
      <c r="M1421" s="2"/>
    </row>
    <row r="1422" spans="1:13" hidden="1" x14ac:dyDescent="0.25">
      <c r="A1422" s="9" t="s">
        <v>39</v>
      </c>
      <c r="B1422" s="2">
        <v>45392</v>
      </c>
      <c r="C1422" s="9">
        <f t="shared" si="36"/>
        <v>2024</v>
      </c>
      <c r="D1422" s="11">
        <f t="shared" ref="D1422:D1432" si="37">B1422-DATE(YEAR(B1422),1,0)</f>
        <v>101</v>
      </c>
      <c r="E1422" s="9" t="s">
        <v>38</v>
      </c>
      <c r="I1422" s="4"/>
      <c r="M1422" s="2"/>
    </row>
    <row r="1423" spans="1:13" hidden="1" x14ac:dyDescent="0.25">
      <c r="A1423" s="9" t="s">
        <v>39</v>
      </c>
      <c r="B1423" s="2">
        <v>45406</v>
      </c>
      <c r="C1423" s="9">
        <f t="shared" si="36"/>
        <v>2024</v>
      </c>
      <c r="D1423" s="11">
        <f t="shared" si="37"/>
        <v>115</v>
      </c>
      <c r="E1423" s="9" t="s">
        <v>38</v>
      </c>
      <c r="I1423" s="4"/>
      <c r="M1423" s="2"/>
    </row>
    <row r="1424" spans="1:13" hidden="1" x14ac:dyDescent="0.25">
      <c r="A1424" s="9" t="s">
        <v>39</v>
      </c>
      <c r="B1424" s="2">
        <v>45406</v>
      </c>
      <c r="C1424" s="9">
        <f t="shared" si="36"/>
        <v>2024</v>
      </c>
      <c r="D1424" s="11">
        <f t="shared" si="37"/>
        <v>115</v>
      </c>
      <c r="E1424" s="9" t="s">
        <v>38</v>
      </c>
      <c r="I1424" s="4"/>
      <c r="M1424" s="2"/>
    </row>
    <row r="1425" spans="1:13" hidden="1" x14ac:dyDescent="0.25">
      <c r="A1425" s="9" t="s">
        <v>39</v>
      </c>
      <c r="B1425" s="2">
        <v>45413</v>
      </c>
      <c r="C1425" s="9">
        <f t="shared" si="36"/>
        <v>2024</v>
      </c>
      <c r="D1425" s="11">
        <f t="shared" si="37"/>
        <v>122</v>
      </c>
      <c r="E1425" s="9" t="s">
        <v>38</v>
      </c>
      <c r="I1425" s="4"/>
      <c r="M1425" s="2"/>
    </row>
    <row r="1426" spans="1:13" hidden="1" x14ac:dyDescent="0.25">
      <c r="A1426" s="9" t="s">
        <v>39</v>
      </c>
      <c r="B1426" s="2">
        <v>45413</v>
      </c>
      <c r="C1426" s="9">
        <f t="shared" si="36"/>
        <v>2024</v>
      </c>
      <c r="D1426" s="11">
        <f t="shared" si="37"/>
        <v>122</v>
      </c>
      <c r="E1426" s="9" t="s">
        <v>38</v>
      </c>
      <c r="I1426" s="4"/>
      <c r="M1426" s="2"/>
    </row>
    <row r="1427" spans="1:13" hidden="1" x14ac:dyDescent="0.25">
      <c r="A1427" s="9" t="s">
        <v>39</v>
      </c>
      <c r="B1427" s="2">
        <v>45427</v>
      </c>
      <c r="C1427" s="9">
        <f t="shared" si="36"/>
        <v>2024</v>
      </c>
      <c r="D1427" s="11">
        <f t="shared" si="37"/>
        <v>136</v>
      </c>
      <c r="E1427" s="9" t="s">
        <v>38</v>
      </c>
      <c r="I1427" s="4"/>
      <c r="M1427" s="2"/>
    </row>
    <row r="1428" spans="1:13" hidden="1" x14ac:dyDescent="0.25">
      <c r="A1428" s="9" t="s">
        <v>39</v>
      </c>
      <c r="B1428" s="2">
        <v>45427</v>
      </c>
      <c r="C1428" s="9">
        <f t="shared" si="36"/>
        <v>2024</v>
      </c>
      <c r="D1428" s="11">
        <f t="shared" si="37"/>
        <v>136</v>
      </c>
      <c r="E1428" s="9" t="s">
        <v>38</v>
      </c>
      <c r="I1428" s="4"/>
      <c r="M1428" s="2"/>
    </row>
    <row r="1429" spans="1:13" hidden="1" x14ac:dyDescent="0.25">
      <c r="A1429" s="9" t="s">
        <v>39</v>
      </c>
      <c r="B1429" s="2">
        <v>45441</v>
      </c>
      <c r="C1429" s="9">
        <f t="shared" si="36"/>
        <v>2024</v>
      </c>
      <c r="D1429" s="11">
        <f t="shared" si="37"/>
        <v>150</v>
      </c>
      <c r="E1429" s="9" t="s">
        <v>38</v>
      </c>
      <c r="I1429" s="4"/>
      <c r="M1429" s="2"/>
    </row>
    <row r="1430" spans="1:13" hidden="1" x14ac:dyDescent="0.25">
      <c r="A1430" s="9" t="s">
        <v>39</v>
      </c>
      <c r="B1430" s="2">
        <v>45441</v>
      </c>
      <c r="C1430" s="9">
        <f t="shared" si="36"/>
        <v>2024</v>
      </c>
      <c r="D1430" s="11">
        <f t="shared" si="37"/>
        <v>150</v>
      </c>
      <c r="E1430" s="9" t="s">
        <v>38</v>
      </c>
      <c r="I1430" s="4"/>
      <c r="M1430" s="2"/>
    </row>
    <row r="1431" spans="1:13" hidden="1" x14ac:dyDescent="0.25">
      <c r="A1431" s="9" t="s">
        <v>39</v>
      </c>
      <c r="B1431" s="2">
        <v>45454</v>
      </c>
      <c r="C1431" s="9">
        <f t="shared" si="36"/>
        <v>2024</v>
      </c>
      <c r="D1431" s="11">
        <f t="shared" si="37"/>
        <v>163</v>
      </c>
      <c r="E1431" s="9" t="s">
        <v>38</v>
      </c>
      <c r="I1431" s="4"/>
      <c r="M1431" s="2"/>
    </row>
    <row r="1432" spans="1:13" hidden="1" x14ac:dyDescent="0.25">
      <c r="A1432" s="9" t="s">
        <v>39</v>
      </c>
      <c r="B1432" s="2">
        <v>45454</v>
      </c>
      <c r="C1432" s="9">
        <f t="shared" si="36"/>
        <v>2024</v>
      </c>
      <c r="D1432" s="11">
        <f t="shared" si="37"/>
        <v>163</v>
      </c>
      <c r="E1432" s="9" t="s">
        <v>38</v>
      </c>
      <c r="I1432" s="4"/>
      <c r="M1432" s="2"/>
    </row>
    <row r="1451" spans="13:13" x14ac:dyDescent="0.25">
      <c r="M1451" s="8"/>
    </row>
  </sheetData>
  <autoFilter ref="A1:A1432" xr:uid="{B3CAF195-1F50-4308-BA2B-F7BFA06853CA}">
    <filterColumn colId="0">
      <filters>
        <filter val="AKLDHW2020"/>
        <filter val="AKLDHW2021"/>
        <filter val="AKLDHW2022"/>
        <filter val="AKLDHW2023"/>
        <filter val="AKLDHW2024"/>
      </filters>
    </filterColumn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CBDE-8CD9-4D7E-B5DA-FA2193B87EE8}">
  <dimension ref="A1:M612"/>
  <sheetViews>
    <sheetView zoomScale="70" zoomScaleNormal="70" workbookViewId="0">
      <pane ySplit="1" topLeftCell="A576" activePane="bottomLeft" state="frozen"/>
      <selection pane="bottomLeft" activeCell="I607" sqref="I607"/>
    </sheetView>
  </sheetViews>
  <sheetFormatPr defaultRowHeight="15" x14ac:dyDescent="0.25"/>
  <cols>
    <col min="1" max="1" width="22.28515625" customWidth="1"/>
    <col min="2" max="2" width="17.7109375" customWidth="1"/>
    <col min="3" max="3" width="19.28515625" customWidth="1"/>
    <col min="4" max="4" width="12.28515625" customWidth="1"/>
    <col min="6" max="7" width="59.42578125" customWidth="1"/>
    <col min="8" max="8" width="47.140625" customWidth="1"/>
    <col min="9" max="9" width="51.140625" customWidth="1"/>
    <col min="10" max="10" width="21.140625" customWidth="1"/>
    <col min="13" max="13" width="29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30</v>
      </c>
      <c r="H1" s="1" t="s">
        <v>5</v>
      </c>
      <c r="I1" s="3" t="s">
        <v>31</v>
      </c>
      <c r="J1" s="3" t="s">
        <v>2</v>
      </c>
    </row>
    <row r="2" spans="1:13" x14ac:dyDescent="0.25">
      <c r="A2" t="s">
        <v>10</v>
      </c>
      <c r="B2" s="2">
        <v>42387</v>
      </c>
      <c r="C2">
        <v>2016</v>
      </c>
      <c r="E2" t="s">
        <v>6</v>
      </c>
      <c r="F2">
        <v>59.6</v>
      </c>
      <c r="G2">
        <f>F2</f>
        <v>59.6</v>
      </c>
      <c r="I2" s="5">
        <v>332</v>
      </c>
      <c r="J2">
        <f>YEAR(B2)</f>
        <v>2016</v>
      </c>
      <c r="M2" s="2">
        <v>42330</v>
      </c>
    </row>
    <row r="3" spans="1:13" x14ac:dyDescent="0.25">
      <c r="A3" t="s">
        <v>10</v>
      </c>
      <c r="B3" s="2">
        <v>42387</v>
      </c>
      <c r="C3">
        <v>2016</v>
      </c>
      <c r="E3" t="s">
        <v>6</v>
      </c>
      <c r="F3">
        <v>58.3</v>
      </c>
      <c r="G3">
        <f t="shared" ref="G3:G66" si="0">F3</f>
        <v>58.3</v>
      </c>
      <c r="I3" s="5">
        <v>332</v>
      </c>
      <c r="J3">
        <f t="shared" ref="J3:J66" si="1">YEAR(B3)</f>
        <v>2016</v>
      </c>
      <c r="M3" s="2">
        <v>42337</v>
      </c>
    </row>
    <row r="4" spans="1:13" x14ac:dyDescent="0.25">
      <c r="A4" t="s">
        <v>10</v>
      </c>
      <c r="B4" s="2">
        <v>42423</v>
      </c>
      <c r="C4">
        <v>2016</v>
      </c>
      <c r="E4" t="s">
        <v>6</v>
      </c>
      <c r="F4">
        <v>74.400000000000006</v>
      </c>
      <c r="G4">
        <f t="shared" si="0"/>
        <v>74.400000000000006</v>
      </c>
      <c r="I4" s="5">
        <v>332</v>
      </c>
      <c r="J4">
        <f t="shared" si="1"/>
        <v>2016</v>
      </c>
      <c r="M4" s="2">
        <v>42334</v>
      </c>
    </row>
    <row r="5" spans="1:13" x14ac:dyDescent="0.25">
      <c r="A5" t="s">
        <v>10</v>
      </c>
      <c r="B5" s="2">
        <v>42423</v>
      </c>
      <c r="C5">
        <v>2016</v>
      </c>
      <c r="E5" t="s">
        <v>6</v>
      </c>
      <c r="F5">
        <v>85.7</v>
      </c>
      <c r="G5">
        <f t="shared" si="0"/>
        <v>85.7</v>
      </c>
      <c r="I5" s="5">
        <v>332</v>
      </c>
      <c r="J5">
        <f t="shared" si="1"/>
        <v>2016</v>
      </c>
      <c r="M5" s="2">
        <v>42336</v>
      </c>
    </row>
    <row r="6" spans="1:13" x14ac:dyDescent="0.25">
      <c r="A6" t="s">
        <v>10</v>
      </c>
      <c r="B6" s="2">
        <v>42437</v>
      </c>
      <c r="C6">
        <v>2016</v>
      </c>
      <c r="E6" t="s">
        <v>6</v>
      </c>
      <c r="F6">
        <v>79.400000000000006</v>
      </c>
      <c r="G6">
        <f t="shared" si="0"/>
        <v>79.400000000000006</v>
      </c>
      <c r="I6" s="5">
        <v>332</v>
      </c>
      <c r="J6">
        <f t="shared" si="1"/>
        <v>2016</v>
      </c>
      <c r="M6" s="2">
        <v>42334</v>
      </c>
    </row>
    <row r="7" spans="1:13" x14ac:dyDescent="0.25">
      <c r="A7" t="s">
        <v>10</v>
      </c>
      <c r="B7" s="2">
        <v>42437</v>
      </c>
      <c r="C7">
        <v>2016</v>
      </c>
      <c r="E7" t="s">
        <v>6</v>
      </c>
      <c r="F7">
        <v>92.4</v>
      </c>
      <c r="G7">
        <f t="shared" si="0"/>
        <v>92.4</v>
      </c>
      <c r="I7" s="5">
        <v>332</v>
      </c>
      <c r="J7">
        <f t="shared" si="1"/>
        <v>2016</v>
      </c>
      <c r="M7" s="2">
        <v>42339</v>
      </c>
    </row>
    <row r="8" spans="1:13" x14ac:dyDescent="0.25">
      <c r="A8" t="s">
        <v>10</v>
      </c>
      <c r="B8" s="2">
        <v>42451</v>
      </c>
      <c r="C8">
        <v>2016</v>
      </c>
      <c r="E8" t="s">
        <v>6</v>
      </c>
      <c r="F8">
        <v>91.9</v>
      </c>
      <c r="G8">
        <f t="shared" si="0"/>
        <v>91.9</v>
      </c>
      <c r="I8" s="5">
        <v>332</v>
      </c>
      <c r="J8">
        <f t="shared" si="1"/>
        <v>2016</v>
      </c>
      <c r="M8" s="2">
        <v>42333</v>
      </c>
    </row>
    <row r="9" spans="1:13" x14ac:dyDescent="0.25">
      <c r="A9" t="s">
        <v>10</v>
      </c>
      <c r="B9" s="2">
        <v>42451</v>
      </c>
      <c r="C9">
        <v>2016</v>
      </c>
      <c r="E9" t="s">
        <v>6</v>
      </c>
      <c r="F9">
        <v>101.1</v>
      </c>
      <c r="G9">
        <f t="shared" si="0"/>
        <v>101.1</v>
      </c>
      <c r="I9" s="5">
        <v>332</v>
      </c>
      <c r="J9">
        <f t="shared" si="1"/>
        <v>2016</v>
      </c>
      <c r="M9" s="2">
        <v>42334</v>
      </c>
    </row>
    <row r="10" spans="1:13" x14ac:dyDescent="0.25">
      <c r="A10" t="s">
        <v>10</v>
      </c>
      <c r="B10" s="2">
        <v>42466</v>
      </c>
      <c r="C10">
        <v>2016</v>
      </c>
      <c r="E10" t="s">
        <v>6</v>
      </c>
      <c r="F10">
        <v>94.9</v>
      </c>
      <c r="G10">
        <f t="shared" si="0"/>
        <v>94.9</v>
      </c>
      <c r="I10" s="5">
        <v>332</v>
      </c>
      <c r="J10">
        <f t="shared" si="1"/>
        <v>2016</v>
      </c>
      <c r="M10" s="2">
        <v>42339</v>
      </c>
    </row>
    <row r="11" spans="1:13" x14ac:dyDescent="0.25">
      <c r="A11" t="s">
        <v>10</v>
      </c>
      <c r="B11" s="2">
        <v>42467</v>
      </c>
      <c r="C11">
        <v>2016</v>
      </c>
      <c r="E11" t="s">
        <v>6</v>
      </c>
      <c r="F11">
        <v>113.4</v>
      </c>
      <c r="G11">
        <f t="shared" si="0"/>
        <v>113.4</v>
      </c>
      <c r="I11" s="5">
        <v>332</v>
      </c>
      <c r="J11">
        <f t="shared" si="1"/>
        <v>2016</v>
      </c>
      <c r="M11" s="2">
        <v>42330</v>
      </c>
    </row>
    <row r="12" spans="1:13" x14ac:dyDescent="0.25">
      <c r="A12" t="s">
        <v>10</v>
      </c>
      <c r="B12" s="2">
        <v>42474</v>
      </c>
      <c r="C12">
        <v>2016</v>
      </c>
      <c r="E12" t="s">
        <v>6</v>
      </c>
      <c r="F12">
        <v>115.3</v>
      </c>
      <c r="G12">
        <f t="shared" si="0"/>
        <v>115.3</v>
      </c>
      <c r="I12" s="5">
        <v>332</v>
      </c>
      <c r="J12">
        <f t="shared" si="1"/>
        <v>2016</v>
      </c>
      <c r="M12" s="2">
        <v>42337</v>
      </c>
    </row>
    <row r="13" spans="1:13" x14ac:dyDescent="0.25">
      <c r="A13" t="s">
        <v>10</v>
      </c>
      <c r="B13" s="2">
        <v>42475</v>
      </c>
      <c r="C13">
        <v>2016</v>
      </c>
      <c r="E13" t="s">
        <v>6</v>
      </c>
      <c r="F13">
        <v>101.2</v>
      </c>
      <c r="G13">
        <f t="shared" si="0"/>
        <v>101.2</v>
      </c>
      <c r="I13" s="5">
        <v>332</v>
      </c>
      <c r="J13">
        <f t="shared" si="1"/>
        <v>2016</v>
      </c>
      <c r="M13" s="2">
        <v>42334</v>
      </c>
    </row>
    <row r="14" spans="1:13" x14ac:dyDescent="0.25">
      <c r="A14" t="s">
        <v>10</v>
      </c>
      <c r="B14" s="2">
        <v>42482</v>
      </c>
      <c r="C14">
        <v>2016</v>
      </c>
      <c r="E14" t="s">
        <v>6</v>
      </c>
      <c r="F14">
        <v>103.3</v>
      </c>
      <c r="G14">
        <f t="shared" si="0"/>
        <v>103.3</v>
      </c>
      <c r="H14" s="5"/>
      <c r="I14" s="5">
        <v>332</v>
      </c>
      <c r="J14">
        <f t="shared" si="1"/>
        <v>2016</v>
      </c>
      <c r="M14" s="2">
        <v>42336</v>
      </c>
    </row>
    <row r="15" spans="1:13" x14ac:dyDescent="0.25">
      <c r="A15" t="s">
        <v>10</v>
      </c>
      <c r="B15" s="2">
        <v>42482</v>
      </c>
      <c r="C15">
        <v>2016</v>
      </c>
      <c r="E15" t="s">
        <v>6</v>
      </c>
      <c r="F15">
        <v>119.2</v>
      </c>
      <c r="G15">
        <f t="shared" si="0"/>
        <v>119.2</v>
      </c>
      <c r="I15" s="5">
        <v>332</v>
      </c>
      <c r="J15">
        <f t="shared" si="1"/>
        <v>2016</v>
      </c>
      <c r="M15" s="2">
        <v>42333</v>
      </c>
    </row>
    <row r="16" spans="1:13" x14ac:dyDescent="0.25">
      <c r="A16" t="s">
        <v>10</v>
      </c>
      <c r="B16" s="2">
        <v>42486</v>
      </c>
      <c r="C16">
        <v>2016</v>
      </c>
      <c r="E16" t="s">
        <v>6</v>
      </c>
      <c r="F16">
        <v>103.4</v>
      </c>
      <c r="G16">
        <f t="shared" si="0"/>
        <v>103.4</v>
      </c>
      <c r="I16" s="5">
        <v>332</v>
      </c>
      <c r="J16">
        <f t="shared" si="1"/>
        <v>2016</v>
      </c>
      <c r="M16" s="2">
        <v>42334</v>
      </c>
    </row>
    <row r="17" spans="1:13" x14ac:dyDescent="0.25">
      <c r="A17" t="s">
        <v>10</v>
      </c>
      <c r="B17" s="2">
        <v>42486</v>
      </c>
      <c r="C17">
        <v>2016</v>
      </c>
      <c r="E17" t="s">
        <v>6</v>
      </c>
      <c r="F17">
        <v>115.3</v>
      </c>
      <c r="G17">
        <f t="shared" si="0"/>
        <v>115.3</v>
      </c>
      <c r="I17" s="5">
        <v>332</v>
      </c>
      <c r="J17">
        <f t="shared" si="1"/>
        <v>2016</v>
      </c>
      <c r="M17" s="2">
        <v>42339</v>
      </c>
    </row>
    <row r="18" spans="1:13" x14ac:dyDescent="0.25">
      <c r="A18" t="s">
        <v>10</v>
      </c>
      <c r="B18" s="2">
        <v>42493</v>
      </c>
      <c r="C18">
        <v>2016</v>
      </c>
      <c r="E18" t="s">
        <v>6</v>
      </c>
      <c r="F18">
        <v>105.7</v>
      </c>
      <c r="G18">
        <f t="shared" si="0"/>
        <v>105.7</v>
      </c>
      <c r="I18" s="5">
        <v>332</v>
      </c>
      <c r="J18">
        <f t="shared" si="1"/>
        <v>2016</v>
      </c>
      <c r="M18" s="2">
        <v>42333</v>
      </c>
    </row>
    <row r="19" spans="1:13" x14ac:dyDescent="0.25">
      <c r="A19" t="s">
        <v>10</v>
      </c>
      <c r="B19" s="2">
        <v>42493</v>
      </c>
      <c r="C19">
        <v>2016</v>
      </c>
      <c r="E19" t="s">
        <v>6</v>
      </c>
      <c r="F19">
        <v>122.2</v>
      </c>
      <c r="G19">
        <f t="shared" si="0"/>
        <v>122.2</v>
      </c>
      <c r="I19" s="5">
        <v>332</v>
      </c>
      <c r="J19">
        <f t="shared" si="1"/>
        <v>2016</v>
      </c>
      <c r="M19" s="2">
        <v>42330</v>
      </c>
    </row>
    <row r="20" spans="1:13" x14ac:dyDescent="0.25">
      <c r="A20" t="s">
        <v>10</v>
      </c>
      <c r="B20" s="2">
        <v>42510</v>
      </c>
      <c r="C20">
        <v>2016</v>
      </c>
      <c r="E20" t="s">
        <v>6</v>
      </c>
      <c r="F20">
        <v>106.7</v>
      </c>
      <c r="G20">
        <f t="shared" si="0"/>
        <v>106.7</v>
      </c>
      <c r="I20" s="5">
        <v>332</v>
      </c>
      <c r="J20">
        <f t="shared" si="1"/>
        <v>2016</v>
      </c>
      <c r="M20" s="2">
        <v>42337</v>
      </c>
    </row>
    <row r="21" spans="1:13" x14ac:dyDescent="0.25">
      <c r="A21" t="s">
        <v>10</v>
      </c>
      <c r="B21" s="2">
        <v>42510</v>
      </c>
      <c r="C21">
        <v>2016</v>
      </c>
      <c r="E21" t="s">
        <v>6</v>
      </c>
      <c r="F21">
        <v>123.3</v>
      </c>
      <c r="G21">
        <f t="shared" si="0"/>
        <v>123.3</v>
      </c>
      <c r="I21" s="5">
        <v>332</v>
      </c>
      <c r="J21">
        <f t="shared" si="1"/>
        <v>2016</v>
      </c>
      <c r="M21" s="2">
        <v>42334</v>
      </c>
    </row>
    <row r="22" spans="1:13" x14ac:dyDescent="0.25">
      <c r="A22" t="s">
        <v>10</v>
      </c>
      <c r="B22" s="2">
        <v>42521</v>
      </c>
      <c r="C22">
        <v>2016</v>
      </c>
      <c r="E22" t="s">
        <v>6</v>
      </c>
      <c r="F22">
        <v>103.3</v>
      </c>
      <c r="G22">
        <f t="shared" si="0"/>
        <v>103.3</v>
      </c>
      <c r="I22" s="5">
        <v>332</v>
      </c>
      <c r="J22">
        <f t="shared" si="1"/>
        <v>2016</v>
      </c>
      <c r="M22" s="2">
        <v>42336</v>
      </c>
    </row>
    <row r="23" spans="1:13" x14ac:dyDescent="0.25">
      <c r="A23" t="s">
        <v>10</v>
      </c>
      <c r="B23" s="2">
        <v>42521</v>
      </c>
      <c r="C23">
        <v>2016</v>
      </c>
      <c r="E23" t="s">
        <v>6</v>
      </c>
      <c r="F23">
        <v>122.6</v>
      </c>
      <c r="G23">
        <f t="shared" si="0"/>
        <v>122.6</v>
      </c>
      <c r="I23" s="5">
        <v>332</v>
      </c>
      <c r="J23">
        <f t="shared" si="1"/>
        <v>2016</v>
      </c>
      <c r="M23" s="2">
        <v>42334</v>
      </c>
    </row>
    <row r="24" spans="1:13" x14ac:dyDescent="0.25">
      <c r="A24" t="s">
        <v>10</v>
      </c>
      <c r="B24" s="2">
        <v>42535</v>
      </c>
      <c r="C24">
        <v>2016</v>
      </c>
      <c r="E24" t="s">
        <v>6</v>
      </c>
      <c r="F24">
        <v>106.7</v>
      </c>
      <c r="G24">
        <f t="shared" si="0"/>
        <v>106.7</v>
      </c>
      <c r="I24" s="5">
        <v>332</v>
      </c>
      <c r="J24">
        <f t="shared" si="1"/>
        <v>2016</v>
      </c>
      <c r="M24" s="2">
        <v>42339</v>
      </c>
    </row>
    <row r="25" spans="1:13" x14ac:dyDescent="0.25">
      <c r="A25" t="s">
        <v>10</v>
      </c>
      <c r="B25" s="2">
        <v>42535</v>
      </c>
      <c r="C25">
        <v>2016</v>
      </c>
      <c r="E25" t="s">
        <v>6</v>
      </c>
      <c r="F25">
        <v>118.4</v>
      </c>
      <c r="G25">
        <f t="shared" si="0"/>
        <v>118.4</v>
      </c>
      <c r="H25" t="s">
        <v>32</v>
      </c>
      <c r="I25" s="5">
        <v>332</v>
      </c>
      <c r="J25">
        <f t="shared" si="1"/>
        <v>2016</v>
      </c>
      <c r="M25" s="2">
        <v>42330</v>
      </c>
    </row>
    <row r="26" spans="1:13" x14ac:dyDescent="0.25">
      <c r="A26" t="s">
        <v>10</v>
      </c>
      <c r="B26" s="2">
        <v>42386</v>
      </c>
      <c r="C26">
        <v>2016</v>
      </c>
      <c r="E26" t="s">
        <v>6</v>
      </c>
      <c r="F26">
        <v>56.9</v>
      </c>
      <c r="G26">
        <f t="shared" si="0"/>
        <v>56.9</v>
      </c>
      <c r="I26" s="5">
        <v>332</v>
      </c>
      <c r="J26">
        <f t="shared" si="1"/>
        <v>2016</v>
      </c>
      <c r="M26" s="2">
        <v>42337</v>
      </c>
    </row>
    <row r="27" spans="1:13" x14ac:dyDescent="0.25">
      <c r="A27" t="s">
        <v>10</v>
      </c>
      <c r="B27" s="2">
        <v>42424</v>
      </c>
      <c r="C27">
        <v>2016</v>
      </c>
      <c r="E27" t="s">
        <v>6</v>
      </c>
      <c r="F27">
        <v>81.2</v>
      </c>
      <c r="G27">
        <f t="shared" si="0"/>
        <v>81.2</v>
      </c>
      <c r="I27" s="5">
        <v>332</v>
      </c>
      <c r="J27">
        <f t="shared" si="1"/>
        <v>2016</v>
      </c>
      <c r="M27" s="2">
        <v>42334</v>
      </c>
    </row>
    <row r="28" spans="1:13" x14ac:dyDescent="0.25">
      <c r="A28" t="s">
        <v>10</v>
      </c>
      <c r="B28" s="2">
        <v>42439</v>
      </c>
      <c r="C28">
        <v>2016</v>
      </c>
      <c r="E28" t="s">
        <v>6</v>
      </c>
      <c r="F28">
        <v>94.7</v>
      </c>
      <c r="G28">
        <f t="shared" si="0"/>
        <v>94.7</v>
      </c>
      <c r="H28" s="5"/>
      <c r="I28" s="5">
        <v>332</v>
      </c>
      <c r="J28">
        <f t="shared" si="1"/>
        <v>2016</v>
      </c>
      <c r="M28" s="2">
        <v>42336</v>
      </c>
    </row>
    <row r="29" spans="1:13" x14ac:dyDescent="0.25">
      <c r="A29" t="s">
        <v>10</v>
      </c>
      <c r="B29" s="2">
        <v>42452</v>
      </c>
      <c r="C29">
        <v>2016</v>
      </c>
      <c r="E29" t="s">
        <v>6</v>
      </c>
      <c r="F29">
        <v>97.8</v>
      </c>
      <c r="G29">
        <f t="shared" si="0"/>
        <v>97.8</v>
      </c>
      <c r="I29" s="5">
        <v>332</v>
      </c>
      <c r="J29">
        <f t="shared" si="1"/>
        <v>2016</v>
      </c>
      <c r="M29" s="2">
        <v>42333</v>
      </c>
    </row>
    <row r="30" spans="1:13" x14ac:dyDescent="0.25">
      <c r="A30" t="s">
        <v>10</v>
      </c>
      <c r="B30" s="2">
        <v>42467</v>
      </c>
      <c r="C30">
        <v>2016</v>
      </c>
      <c r="E30" t="s">
        <v>6</v>
      </c>
      <c r="F30">
        <v>109.2</v>
      </c>
      <c r="G30">
        <f t="shared" si="0"/>
        <v>109.2</v>
      </c>
      <c r="I30" s="5">
        <v>332</v>
      </c>
      <c r="J30">
        <f t="shared" si="1"/>
        <v>2016</v>
      </c>
      <c r="M30" s="2">
        <v>42334</v>
      </c>
    </row>
    <row r="31" spans="1:13" x14ac:dyDescent="0.25">
      <c r="A31" t="s">
        <v>10</v>
      </c>
      <c r="B31" s="2">
        <v>42474</v>
      </c>
      <c r="C31">
        <v>2016</v>
      </c>
      <c r="E31" t="s">
        <v>6</v>
      </c>
      <c r="F31">
        <v>107.3</v>
      </c>
      <c r="G31">
        <f t="shared" si="0"/>
        <v>107.3</v>
      </c>
      <c r="I31" s="5">
        <v>332</v>
      </c>
      <c r="J31">
        <f t="shared" si="1"/>
        <v>2016</v>
      </c>
      <c r="M31" s="2">
        <v>42330</v>
      </c>
    </row>
    <row r="32" spans="1:13" x14ac:dyDescent="0.25">
      <c r="A32" t="s">
        <v>10</v>
      </c>
      <c r="B32" s="2">
        <v>42482</v>
      </c>
      <c r="C32">
        <v>2016</v>
      </c>
      <c r="E32" t="s">
        <v>6</v>
      </c>
      <c r="F32">
        <v>112.8</v>
      </c>
      <c r="G32">
        <f t="shared" si="0"/>
        <v>112.8</v>
      </c>
      <c r="I32" s="5">
        <v>332</v>
      </c>
      <c r="J32">
        <f t="shared" si="1"/>
        <v>2016</v>
      </c>
      <c r="M32" s="2">
        <v>42337</v>
      </c>
    </row>
    <row r="33" spans="1:13" x14ac:dyDescent="0.25">
      <c r="A33" t="s">
        <v>10</v>
      </c>
      <c r="B33" s="2">
        <v>42489</v>
      </c>
      <c r="C33">
        <v>2016</v>
      </c>
      <c r="E33" t="s">
        <v>6</v>
      </c>
      <c r="F33">
        <v>110.8</v>
      </c>
      <c r="G33">
        <f t="shared" si="0"/>
        <v>110.8</v>
      </c>
      <c r="I33" s="5">
        <v>332</v>
      </c>
      <c r="J33">
        <f t="shared" si="1"/>
        <v>2016</v>
      </c>
      <c r="M33" s="2">
        <v>42339</v>
      </c>
    </row>
    <row r="34" spans="1:13" x14ac:dyDescent="0.25">
      <c r="A34" t="s">
        <v>10</v>
      </c>
      <c r="B34" s="2">
        <v>42496</v>
      </c>
      <c r="C34">
        <v>2016</v>
      </c>
      <c r="E34" t="s">
        <v>6</v>
      </c>
      <c r="F34">
        <v>115.6</v>
      </c>
      <c r="G34">
        <f t="shared" si="0"/>
        <v>115.6</v>
      </c>
      <c r="I34" s="5">
        <v>332</v>
      </c>
      <c r="J34">
        <f t="shared" si="1"/>
        <v>2016</v>
      </c>
      <c r="M34" s="2">
        <v>42334</v>
      </c>
    </row>
    <row r="35" spans="1:13" x14ac:dyDescent="0.25">
      <c r="A35" t="s">
        <v>10</v>
      </c>
      <c r="B35" s="2">
        <v>42510</v>
      </c>
      <c r="C35">
        <v>2016</v>
      </c>
      <c r="E35" t="s">
        <v>6</v>
      </c>
      <c r="F35">
        <v>114.4</v>
      </c>
      <c r="G35">
        <f t="shared" si="0"/>
        <v>114.4</v>
      </c>
      <c r="I35" s="5">
        <v>332</v>
      </c>
      <c r="J35">
        <f t="shared" si="1"/>
        <v>2016</v>
      </c>
      <c r="M35" s="2">
        <v>42336</v>
      </c>
    </row>
    <row r="36" spans="1:13" x14ac:dyDescent="0.25">
      <c r="A36" t="s">
        <v>10</v>
      </c>
      <c r="B36" s="2">
        <v>42523</v>
      </c>
      <c r="C36">
        <v>2016</v>
      </c>
      <c r="E36" t="s">
        <v>6</v>
      </c>
      <c r="F36">
        <v>113.8</v>
      </c>
      <c r="G36">
        <f t="shared" si="0"/>
        <v>113.8</v>
      </c>
      <c r="I36" s="5">
        <v>332</v>
      </c>
      <c r="J36">
        <f t="shared" si="1"/>
        <v>2016</v>
      </c>
      <c r="M36" s="2">
        <v>42333</v>
      </c>
    </row>
    <row r="37" spans="1:13" x14ac:dyDescent="0.25">
      <c r="A37" t="s">
        <v>10</v>
      </c>
      <c r="B37" s="2">
        <v>42535</v>
      </c>
      <c r="C37">
        <v>2016</v>
      </c>
      <c r="E37" t="s">
        <v>6</v>
      </c>
      <c r="F37">
        <v>119.1</v>
      </c>
      <c r="G37">
        <f t="shared" si="0"/>
        <v>119.1</v>
      </c>
      <c r="H37" t="s">
        <v>32</v>
      </c>
      <c r="I37" s="5">
        <v>332</v>
      </c>
      <c r="J37">
        <f t="shared" si="1"/>
        <v>2016</v>
      </c>
      <c r="M37" s="2">
        <v>42339</v>
      </c>
    </row>
    <row r="38" spans="1:13" x14ac:dyDescent="0.25">
      <c r="A38" t="s">
        <v>10</v>
      </c>
      <c r="B38" s="2">
        <v>42386</v>
      </c>
      <c r="C38">
        <v>2016</v>
      </c>
      <c r="E38" t="s">
        <v>6</v>
      </c>
      <c r="F38">
        <v>65.2</v>
      </c>
      <c r="G38">
        <f t="shared" si="0"/>
        <v>65.2</v>
      </c>
      <c r="I38" s="5">
        <v>332</v>
      </c>
      <c r="J38">
        <f t="shared" si="1"/>
        <v>2016</v>
      </c>
      <c r="M38" s="2">
        <v>42336</v>
      </c>
    </row>
    <row r="39" spans="1:13" x14ac:dyDescent="0.25">
      <c r="A39" t="s">
        <v>10</v>
      </c>
      <c r="B39" s="2">
        <v>42386</v>
      </c>
      <c r="C39">
        <v>2016</v>
      </c>
      <c r="E39" t="s">
        <v>6</v>
      </c>
      <c r="F39">
        <v>62.3</v>
      </c>
      <c r="G39">
        <f t="shared" si="0"/>
        <v>62.3</v>
      </c>
      <c r="I39" s="5">
        <v>332</v>
      </c>
      <c r="J39">
        <f t="shared" si="1"/>
        <v>2016</v>
      </c>
      <c r="M39" s="2">
        <v>42333</v>
      </c>
    </row>
    <row r="40" spans="1:13" x14ac:dyDescent="0.25">
      <c r="A40" t="s">
        <v>10</v>
      </c>
      <c r="B40" s="2">
        <v>42386</v>
      </c>
      <c r="C40">
        <v>2016</v>
      </c>
      <c r="E40" t="s">
        <v>6</v>
      </c>
      <c r="F40">
        <v>61.2</v>
      </c>
      <c r="G40">
        <f t="shared" si="0"/>
        <v>61.2</v>
      </c>
      <c r="I40" s="5">
        <v>332</v>
      </c>
      <c r="J40">
        <f t="shared" si="1"/>
        <v>2016</v>
      </c>
      <c r="M40" s="2">
        <v>42334</v>
      </c>
    </row>
    <row r="41" spans="1:13" x14ac:dyDescent="0.25">
      <c r="A41" t="s">
        <v>10</v>
      </c>
      <c r="B41" s="2">
        <v>42389</v>
      </c>
      <c r="C41">
        <v>2016</v>
      </c>
      <c r="E41" t="s">
        <v>6</v>
      </c>
      <c r="F41">
        <v>61</v>
      </c>
      <c r="G41">
        <f t="shared" si="0"/>
        <v>61</v>
      </c>
      <c r="I41" s="5">
        <v>332</v>
      </c>
      <c r="J41">
        <f t="shared" si="1"/>
        <v>2016</v>
      </c>
      <c r="M41" s="2">
        <v>42330</v>
      </c>
    </row>
    <row r="42" spans="1:13" x14ac:dyDescent="0.25">
      <c r="A42" t="s">
        <v>10</v>
      </c>
      <c r="B42" s="2">
        <v>42424</v>
      </c>
      <c r="C42">
        <v>2016</v>
      </c>
      <c r="E42" t="s">
        <v>6</v>
      </c>
      <c r="F42">
        <v>91.7</v>
      </c>
      <c r="G42">
        <f t="shared" si="0"/>
        <v>91.7</v>
      </c>
      <c r="I42" s="5">
        <v>332</v>
      </c>
      <c r="J42">
        <f t="shared" si="1"/>
        <v>2016</v>
      </c>
      <c r="M42" s="2">
        <v>42337</v>
      </c>
    </row>
    <row r="43" spans="1:13" x14ac:dyDescent="0.25">
      <c r="A43" t="s">
        <v>10</v>
      </c>
      <c r="B43" s="2">
        <v>42424</v>
      </c>
      <c r="C43">
        <v>2016</v>
      </c>
      <c r="E43" t="s">
        <v>6</v>
      </c>
      <c r="F43">
        <v>88.5</v>
      </c>
      <c r="G43">
        <f t="shared" si="0"/>
        <v>88.5</v>
      </c>
      <c r="H43" s="5"/>
      <c r="I43" s="5">
        <v>332</v>
      </c>
      <c r="J43">
        <f t="shared" si="1"/>
        <v>2016</v>
      </c>
      <c r="M43" s="2">
        <v>42334</v>
      </c>
    </row>
    <row r="44" spans="1:13" x14ac:dyDescent="0.25">
      <c r="A44" t="s">
        <v>10</v>
      </c>
      <c r="B44" s="2">
        <v>42424</v>
      </c>
      <c r="C44">
        <v>2016</v>
      </c>
      <c r="E44" t="s">
        <v>6</v>
      </c>
      <c r="F44">
        <v>81.3</v>
      </c>
      <c r="G44">
        <f t="shared" si="0"/>
        <v>81.3</v>
      </c>
      <c r="I44" s="5">
        <v>332</v>
      </c>
      <c r="J44">
        <f t="shared" si="1"/>
        <v>2016</v>
      </c>
      <c r="M44" s="2">
        <v>42334</v>
      </c>
    </row>
    <row r="45" spans="1:13" x14ac:dyDescent="0.25">
      <c r="A45" t="s">
        <v>10</v>
      </c>
      <c r="B45" s="2">
        <v>42424</v>
      </c>
      <c r="C45">
        <v>2016</v>
      </c>
      <c r="E45" t="s">
        <v>6</v>
      </c>
      <c r="F45">
        <v>78.599999999999994</v>
      </c>
      <c r="G45">
        <f t="shared" si="0"/>
        <v>78.599999999999994</v>
      </c>
      <c r="I45" s="5">
        <v>332</v>
      </c>
      <c r="J45">
        <f t="shared" si="1"/>
        <v>2016</v>
      </c>
      <c r="M45" s="2">
        <v>42330</v>
      </c>
    </row>
    <row r="46" spans="1:13" x14ac:dyDescent="0.25">
      <c r="A46" t="s">
        <v>10</v>
      </c>
      <c r="B46" s="2">
        <v>42438</v>
      </c>
      <c r="C46">
        <v>2016</v>
      </c>
      <c r="E46" t="s">
        <v>6</v>
      </c>
      <c r="F46">
        <v>85.2</v>
      </c>
      <c r="G46">
        <f t="shared" si="0"/>
        <v>85.2</v>
      </c>
      <c r="I46" s="5">
        <v>332</v>
      </c>
      <c r="J46">
        <f t="shared" si="1"/>
        <v>2016</v>
      </c>
      <c r="M46" s="2">
        <v>42337</v>
      </c>
    </row>
    <row r="47" spans="1:13" x14ac:dyDescent="0.25">
      <c r="A47" t="s">
        <v>10</v>
      </c>
      <c r="B47" s="2">
        <v>42439</v>
      </c>
      <c r="C47">
        <v>2016</v>
      </c>
      <c r="E47" t="s">
        <v>6</v>
      </c>
      <c r="F47">
        <v>100.6</v>
      </c>
      <c r="G47">
        <f t="shared" si="0"/>
        <v>100.6</v>
      </c>
      <c r="I47" s="5">
        <v>332</v>
      </c>
      <c r="J47">
        <f t="shared" si="1"/>
        <v>2016</v>
      </c>
      <c r="M47" s="2">
        <v>42339</v>
      </c>
    </row>
    <row r="48" spans="1:13" x14ac:dyDescent="0.25">
      <c r="A48" t="s">
        <v>10</v>
      </c>
      <c r="B48" s="2">
        <v>42439</v>
      </c>
      <c r="C48">
        <v>2016</v>
      </c>
      <c r="E48" t="s">
        <v>6</v>
      </c>
      <c r="F48">
        <v>99.5</v>
      </c>
      <c r="G48">
        <f t="shared" si="0"/>
        <v>99.5</v>
      </c>
      <c r="I48" s="5">
        <v>332</v>
      </c>
      <c r="J48">
        <f t="shared" si="1"/>
        <v>2016</v>
      </c>
      <c r="M48" s="2">
        <v>42334</v>
      </c>
    </row>
    <row r="49" spans="1:13" x14ac:dyDescent="0.25">
      <c r="A49" t="s">
        <v>10</v>
      </c>
      <c r="B49" s="2">
        <v>42439</v>
      </c>
      <c r="C49">
        <v>2016</v>
      </c>
      <c r="E49" t="s">
        <v>6</v>
      </c>
      <c r="F49">
        <v>85.7</v>
      </c>
      <c r="G49">
        <f t="shared" si="0"/>
        <v>85.7</v>
      </c>
      <c r="I49" s="5">
        <v>332</v>
      </c>
      <c r="J49">
        <f t="shared" si="1"/>
        <v>2016</v>
      </c>
      <c r="M49" s="2">
        <v>42336</v>
      </c>
    </row>
    <row r="50" spans="1:13" x14ac:dyDescent="0.25">
      <c r="A50" t="s">
        <v>10</v>
      </c>
      <c r="B50" s="2">
        <v>42452</v>
      </c>
      <c r="C50">
        <v>2016</v>
      </c>
      <c r="E50" t="s">
        <v>6</v>
      </c>
      <c r="F50">
        <v>109.5</v>
      </c>
      <c r="G50">
        <f t="shared" si="0"/>
        <v>109.5</v>
      </c>
      <c r="I50" s="5">
        <v>332</v>
      </c>
      <c r="J50">
        <f t="shared" si="1"/>
        <v>2016</v>
      </c>
      <c r="M50" s="2">
        <v>42333</v>
      </c>
    </row>
    <row r="51" spans="1:13" x14ac:dyDescent="0.25">
      <c r="A51" t="s">
        <v>10</v>
      </c>
      <c r="B51" s="2">
        <v>42452</v>
      </c>
      <c r="C51">
        <v>2016</v>
      </c>
      <c r="E51" t="s">
        <v>6</v>
      </c>
      <c r="F51">
        <v>103.6</v>
      </c>
      <c r="G51">
        <f t="shared" si="0"/>
        <v>103.6</v>
      </c>
      <c r="I51" s="5">
        <v>332</v>
      </c>
      <c r="J51">
        <f t="shared" si="1"/>
        <v>2016</v>
      </c>
      <c r="M51" s="2">
        <v>42334</v>
      </c>
    </row>
    <row r="52" spans="1:13" x14ac:dyDescent="0.25">
      <c r="A52" t="s">
        <v>10</v>
      </c>
      <c r="B52" s="2">
        <v>42452</v>
      </c>
      <c r="C52">
        <v>2016</v>
      </c>
      <c r="E52" t="s">
        <v>6</v>
      </c>
      <c r="F52">
        <v>93.8</v>
      </c>
      <c r="G52">
        <f t="shared" si="0"/>
        <v>93.8</v>
      </c>
      <c r="I52" s="5">
        <v>332</v>
      </c>
      <c r="J52">
        <f t="shared" si="1"/>
        <v>2016</v>
      </c>
      <c r="M52" s="2">
        <v>42339</v>
      </c>
    </row>
    <row r="53" spans="1:13" x14ac:dyDescent="0.25">
      <c r="A53" t="s">
        <v>10</v>
      </c>
      <c r="B53" s="2">
        <v>42452</v>
      </c>
      <c r="C53">
        <v>2016</v>
      </c>
      <c r="E53" t="s">
        <v>6</v>
      </c>
      <c r="F53">
        <v>91.6</v>
      </c>
      <c r="G53">
        <f t="shared" si="0"/>
        <v>91.6</v>
      </c>
      <c r="I53" s="5">
        <v>332</v>
      </c>
      <c r="J53">
        <f t="shared" si="1"/>
        <v>2016</v>
      </c>
      <c r="M53" s="2">
        <v>42330</v>
      </c>
    </row>
    <row r="54" spans="1:13" x14ac:dyDescent="0.25">
      <c r="A54" t="s">
        <v>10</v>
      </c>
      <c r="B54" s="2">
        <v>42467</v>
      </c>
      <c r="C54">
        <v>2016</v>
      </c>
      <c r="E54" t="s">
        <v>6</v>
      </c>
      <c r="F54">
        <v>118.7</v>
      </c>
      <c r="G54">
        <f t="shared" si="0"/>
        <v>118.7</v>
      </c>
      <c r="I54" s="5">
        <v>332</v>
      </c>
      <c r="J54">
        <f t="shared" si="1"/>
        <v>2016</v>
      </c>
      <c r="M54" s="2">
        <v>42337</v>
      </c>
    </row>
    <row r="55" spans="1:13" x14ac:dyDescent="0.25">
      <c r="A55" t="s">
        <v>10</v>
      </c>
      <c r="B55" s="2">
        <v>42467</v>
      </c>
      <c r="C55">
        <v>2016</v>
      </c>
      <c r="E55" t="s">
        <v>6</v>
      </c>
      <c r="F55">
        <v>113.1</v>
      </c>
      <c r="G55">
        <f t="shared" si="0"/>
        <v>113.1</v>
      </c>
      <c r="I55" s="5">
        <v>332</v>
      </c>
      <c r="J55">
        <f t="shared" si="1"/>
        <v>2016</v>
      </c>
      <c r="M55" s="2">
        <v>42334</v>
      </c>
    </row>
    <row r="56" spans="1:13" x14ac:dyDescent="0.25">
      <c r="A56" t="s">
        <v>10</v>
      </c>
      <c r="B56" s="2">
        <v>42467</v>
      </c>
      <c r="C56">
        <v>2016</v>
      </c>
      <c r="E56" t="s">
        <v>6</v>
      </c>
      <c r="F56">
        <v>102</v>
      </c>
      <c r="G56">
        <f t="shared" si="0"/>
        <v>102</v>
      </c>
      <c r="I56" s="5">
        <v>332</v>
      </c>
      <c r="J56">
        <f t="shared" si="1"/>
        <v>2016</v>
      </c>
      <c r="M56" s="2">
        <v>42336</v>
      </c>
    </row>
    <row r="57" spans="1:13" x14ac:dyDescent="0.25">
      <c r="A57" t="s">
        <v>10</v>
      </c>
      <c r="B57" s="2">
        <v>42467</v>
      </c>
      <c r="C57">
        <v>2016</v>
      </c>
      <c r="E57" t="s">
        <v>6</v>
      </c>
      <c r="F57">
        <v>99.5</v>
      </c>
      <c r="G57">
        <f t="shared" si="0"/>
        <v>99.5</v>
      </c>
      <c r="I57" s="5">
        <v>332</v>
      </c>
      <c r="J57">
        <f t="shared" si="1"/>
        <v>2016</v>
      </c>
      <c r="M57" s="2">
        <v>42333</v>
      </c>
    </row>
    <row r="58" spans="1:13" x14ac:dyDescent="0.25">
      <c r="A58" t="s">
        <v>10</v>
      </c>
      <c r="B58" s="2">
        <v>42474</v>
      </c>
      <c r="C58">
        <v>2016</v>
      </c>
      <c r="E58" t="s">
        <v>6</v>
      </c>
      <c r="F58">
        <v>101.5</v>
      </c>
      <c r="G58">
        <f t="shared" si="0"/>
        <v>101.5</v>
      </c>
      <c r="I58" s="5">
        <v>332</v>
      </c>
      <c r="J58">
        <f t="shared" si="1"/>
        <v>2016</v>
      </c>
      <c r="M58" s="2">
        <v>42334</v>
      </c>
    </row>
    <row r="59" spans="1:13" x14ac:dyDescent="0.25">
      <c r="A59" t="s">
        <v>10</v>
      </c>
      <c r="B59" s="2">
        <v>42475</v>
      </c>
      <c r="C59">
        <v>2016</v>
      </c>
      <c r="E59" t="s">
        <v>6</v>
      </c>
      <c r="F59">
        <v>118.9</v>
      </c>
      <c r="G59">
        <f t="shared" si="0"/>
        <v>118.9</v>
      </c>
      <c r="I59" s="5">
        <v>332</v>
      </c>
      <c r="J59">
        <f t="shared" si="1"/>
        <v>2016</v>
      </c>
      <c r="M59" s="2">
        <v>42339</v>
      </c>
    </row>
    <row r="60" spans="1:13" x14ac:dyDescent="0.25">
      <c r="A60" t="s">
        <v>10</v>
      </c>
      <c r="B60" s="2">
        <v>42475</v>
      </c>
      <c r="C60">
        <v>2016</v>
      </c>
      <c r="E60" t="s">
        <v>6</v>
      </c>
      <c r="F60">
        <v>112.3</v>
      </c>
      <c r="G60">
        <f t="shared" si="0"/>
        <v>112.3</v>
      </c>
      <c r="I60" s="5">
        <v>332</v>
      </c>
      <c r="J60">
        <f t="shared" si="1"/>
        <v>2016</v>
      </c>
      <c r="M60" s="2">
        <v>42333</v>
      </c>
    </row>
    <row r="61" spans="1:13" x14ac:dyDescent="0.25">
      <c r="A61" t="s">
        <v>10</v>
      </c>
      <c r="B61" s="2">
        <v>42475</v>
      </c>
      <c r="C61">
        <v>2016</v>
      </c>
      <c r="E61" t="s">
        <v>6</v>
      </c>
      <c r="F61">
        <v>104.3</v>
      </c>
      <c r="G61">
        <f t="shared" si="0"/>
        <v>104.3</v>
      </c>
      <c r="I61" s="5">
        <v>332</v>
      </c>
      <c r="J61">
        <f t="shared" si="1"/>
        <v>2016</v>
      </c>
      <c r="M61" s="2">
        <v>42330</v>
      </c>
    </row>
    <row r="62" spans="1:13" x14ac:dyDescent="0.25">
      <c r="A62" t="s">
        <v>10</v>
      </c>
      <c r="B62" s="2">
        <v>42482</v>
      </c>
      <c r="C62">
        <v>2016</v>
      </c>
      <c r="E62" t="s">
        <v>6</v>
      </c>
      <c r="F62">
        <v>120.9</v>
      </c>
      <c r="G62">
        <f t="shared" si="0"/>
        <v>120.9</v>
      </c>
      <c r="I62" s="5">
        <v>332</v>
      </c>
      <c r="J62">
        <f t="shared" si="1"/>
        <v>2016</v>
      </c>
      <c r="M62" s="2">
        <v>42337</v>
      </c>
    </row>
    <row r="63" spans="1:13" x14ac:dyDescent="0.25">
      <c r="A63" t="s">
        <v>10</v>
      </c>
      <c r="B63" s="2">
        <v>42482</v>
      </c>
      <c r="C63">
        <v>2016</v>
      </c>
      <c r="E63" t="s">
        <v>6</v>
      </c>
      <c r="F63">
        <v>114.2</v>
      </c>
      <c r="G63">
        <f t="shared" si="0"/>
        <v>114.2</v>
      </c>
      <c r="I63" s="5">
        <v>332</v>
      </c>
      <c r="J63">
        <f t="shared" si="1"/>
        <v>2016</v>
      </c>
      <c r="M63" s="2">
        <v>42334</v>
      </c>
    </row>
    <row r="64" spans="1:13" x14ac:dyDescent="0.25">
      <c r="A64" t="s">
        <v>10</v>
      </c>
      <c r="B64" s="2">
        <v>42482</v>
      </c>
      <c r="C64">
        <v>2016</v>
      </c>
      <c r="E64" t="s">
        <v>6</v>
      </c>
      <c r="F64">
        <v>102.6</v>
      </c>
      <c r="G64">
        <f t="shared" si="0"/>
        <v>102.6</v>
      </c>
      <c r="I64" s="5">
        <v>332</v>
      </c>
      <c r="J64">
        <f t="shared" si="1"/>
        <v>2016</v>
      </c>
      <c r="M64" s="2">
        <v>42336</v>
      </c>
    </row>
    <row r="65" spans="1:13" x14ac:dyDescent="0.25">
      <c r="A65" t="s">
        <v>10</v>
      </c>
      <c r="B65" s="2">
        <v>42482</v>
      </c>
      <c r="C65">
        <v>2016</v>
      </c>
      <c r="E65" t="s">
        <v>6</v>
      </c>
      <c r="F65">
        <v>101</v>
      </c>
      <c r="G65">
        <f t="shared" si="0"/>
        <v>101</v>
      </c>
      <c r="I65" s="5">
        <v>332</v>
      </c>
      <c r="J65">
        <f t="shared" si="1"/>
        <v>2016</v>
      </c>
      <c r="M65" s="2">
        <v>42330</v>
      </c>
    </row>
    <row r="66" spans="1:13" x14ac:dyDescent="0.25">
      <c r="A66" t="s">
        <v>10</v>
      </c>
      <c r="B66" s="2">
        <v>42489</v>
      </c>
      <c r="C66">
        <v>2016</v>
      </c>
      <c r="E66" t="s">
        <v>6</v>
      </c>
      <c r="F66">
        <v>122.8</v>
      </c>
      <c r="G66">
        <f t="shared" si="0"/>
        <v>122.8</v>
      </c>
      <c r="I66" s="5">
        <v>332</v>
      </c>
      <c r="J66">
        <f t="shared" si="1"/>
        <v>2016</v>
      </c>
      <c r="M66" s="2">
        <v>42334</v>
      </c>
    </row>
    <row r="67" spans="1:13" x14ac:dyDescent="0.25">
      <c r="A67" t="s">
        <v>10</v>
      </c>
      <c r="B67" s="2">
        <v>42489</v>
      </c>
      <c r="C67">
        <v>2016</v>
      </c>
      <c r="E67" t="s">
        <v>6</v>
      </c>
      <c r="F67">
        <v>117.3</v>
      </c>
      <c r="G67">
        <f t="shared" ref="G67:G130" si="2">F67</f>
        <v>117.3</v>
      </c>
      <c r="I67" s="5">
        <v>332</v>
      </c>
      <c r="J67">
        <f t="shared" ref="J67:J130" si="3">YEAR(B67)</f>
        <v>2016</v>
      </c>
      <c r="M67" s="2">
        <v>42333</v>
      </c>
    </row>
    <row r="68" spans="1:13" x14ac:dyDescent="0.25">
      <c r="A68" t="s">
        <v>10</v>
      </c>
      <c r="B68" s="2">
        <v>42489</v>
      </c>
      <c r="C68">
        <v>2016</v>
      </c>
      <c r="E68" t="s">
        <v>6</v>
      </c>
      <c r="F68">
        <v>103.3</v>
      </c>
      <c r="G68">
        <f t="shared" si="2"/>
        <v>103.3</v>
      </c>
      <c r="I68" s="5">
        <v>332</v>
      </c>
      <c r="J68">
        <f t="shared" si="3"/>
        <v>2016</v>
      </c>
      <c r="M68" s="2">
        <v>42334</v>
      </c>
    </row>
    <row r="69" spans="1:13" x14ac:dyDescent="0.25">
      <c r="A69" t="s">
        <v>10</v>
      </c>
      <c r="B69" s="2">
        <v>42489</v>
      </c>
      <c r="C69">
        <v>2016</v>
      </c>
      <c r="E69" t="s">
        <v>6</v>
      </c>
      <c r="F69">
        <v>104.8</v>
      </c>
      <c r="G69">
        <f t="shared" si="2"/>
        <v>104.8</v>
      </c>
      <c r="I69" s="5">
        <v>332</v>
      </c>
      <c r="J69">
        <f t="shared" si="3"/>
        <v>2016</v>
      </c>
      <c r="M69" s="2">
        <v>42337</v>
      </c>
    </row>
    <row r="70" spans="1:13" x14ac:dyDescent="0.25">
      <c r="A70" t="s">
        <v>10</v>
      </c>
      <c r="B70" s="2">
        <v>42494</v>
      </c>
      <c r="C70">
        <v>2016</v>
      </c>
      <c r="E70" t="s">
        <v>6</v>
      </c>
      <c r="F70">
        <v>108.8</v>
      </c>
      <c r="G70">
        <f t="shared" si="2"/>
        <v>108.8</v>
      </c>
      <c r="I70" s="5">
        <v>332</v>
      </c>
      <c r="J70">
        <f t="shared" si="3"/>
        <v>2016</v>
      </c>
      <c r="M70" s="2">
        <v>42339</v>
      </c>
    </row>
    <row r="71" spans="1:13" x14ac:dyDescent="0.25">
      <c r="A71" t="s">
        <v>10</v>
      </c>
      <c r="B71" s="2">
        <v>42496</v>
      </c>
      <c r="C71">
        <v>2016</v>
      </c>
      <c r="E71" t="s">
        <v>6</v>
      </c>
      <c r="F71">
        <v>122</v>
      </c>
      <c r="G71">
        <f t="shared" si="2"/>
        <v>122</v>
      </c>
      <c r="I71" s="5">
        <v>332</v>
      </c>
      <c r="J71">
        <f t="shared" si="3"/>
        <v>2016</v>
      </c>
      <c r="M71" s="2">
        <v>42336</v>
      </c>
    </row>
    <row r="72" spans="1:13" x14ac:dyDescent="0.25">
      <c r="A72" t="s">
        <v>10</v>
      </c>
      <c r="B72" s="2">
        <v>42496</v>
      </c>
      <c r="C72">
        <v>2016</v>
      </c>
      <c r="E72" t="s">
        <v>6</v>
      </c>
      <c r="F72">
        <v>123.2</v>
      </c>
      <c r="G72">
        <f t="shared" si="2"/>
        <v>123.2</v>
      </c>
      <c r="I72" s="5">
        <v>332</v>
      </c>
      <c r="J72">
        <f t="shared" si="3"/>
        <v>2016</v>
      </c>
      <c r="M72" s="2">
        <v>42334</v>
      </c>
    </row>
    <row r="73" spans="1:13" x14ac:dyDescent="0.25">
      <c r="A73" t="s">
        <v>10</v>
      </c>
      <c r="B73" s="2">
        <v>42496</v>
      </c>
      <c r="C73">
        <v>2016</v>
      </c>
      <c r="E73" t="s">
        <v>6</v>
      </c>
      <c r="F73">
        <v>104.9</v>
      </c>
      <c r="G73">
        <f t="shared" si="2"/>
        <v>104.9</v>
      </c>
      <c r="I73" s="5">
        <v>332</v>
      </c>
      <c r="J73">
        <f t="shared" si="3"/>
        <v>2016</v>
      </c>
      <c r="M73" s="2">
        <v>42339</v>
      </c>
    </row>
    <row r="74" spans="1:13" x14ac:dyDescent="0.25">
      <c r="A74" t="s">
        <v>10</v>
      </c>
      <c r="B74" s="2">
        <v>42509</v>
      </c>
      <c r="C74">
        <v>2016</v>
      </c>
      <c r="E74" t="s">
        <v>6</v>
      </c>
      <c r="F74">
        <v>122.6</v>
      </c>
      <c r="G74">
        <f t="shared" si="2"/>
        <v>122.6</v>
      </c>
      <c r="I74" s="5">
        <v>332</v>
      </c>
      <c r="J74">
        <f t="shared" si="3"/>
        <v>2016</v>
      </c>
      <c r="M74" s="2">
        <v>42333</v>
      </c>
    </row>
    <row r="75" spans="1:13" x14ac:dyDescent="0.25">
      <c r="A75" t="s">
        <v>10</v>
      </c>
      <c r="B75" s="2">
        <v>42509</v>
      </c>
      <c r="C75">
        <v>2016</v>
      </c>
      <c r="E75" t="s">
        <v>6</v>
      </c>
      <c r="F75">
        <v>110.8</v>
      </c>
      <c r="G75">
        <f t="shared" si="2"/>
        <v>110.8</v>
      </c>
      <c r="I75" s="5">
        <v>332</v>
      </c>
      <c r="J75">
        <f t="shared" si="3"/>
        <v>2016</v>
      </c>
      <c r="M75" s="2">
        <v>42330</v>
      </c>
    </row>
    <row r="76" spans="1:13" x14ac:dyDescent="0.25">
      <c r="A76" t="s">
        <v>10</v>
      </c>
      <c r="B76" s="2">
        <v>42509</v>
      </c>
      <c r="C76">
        <v>2016</v>
      </c>
      <c r="E76" t="s">
        <v>6</v>
      </c>
      <c r="F76">
        <v>110</v>
      </c>
      <c r="G76">
        <f t="shared" si="2"/>
        <v>110</v>
      </c>
      <c r="I76" s="5">
        <v>332</v>
      </c>
      <c r="J76">
        <f t="shared" si="3"/>
        <v>2016</v>
      </c>
      <c r="M76" s="2">
        <v>42337</v>
      </c>
    </row>
    <row r="77" spans="1:13" x14ac:dyDescent="0.25">
      <c r="A77" t="s">
        <v>10</v>
      </c>
      <c r="B77" s="2">
        <v>42510</v>
      </c>
      <c r="C77">
        <v>2016</v>
      </c>
      <c r="E77" t="s">
        <v>6</v>
      </c>
      <c r="F77">
        <v>121.7</v>
      </c>
      <c r="G77">
        <f t="shared" si="2"/>
        <v>121.7</v>
      </c>
      <c r="I77" s="5">
        <v>332</v>
      </c>
      <c r="J77">
        <f t="shared" si="3"/>
        <v>2016</v>
      </c>
      <c r="M77" s="2">
        <v>42334</v>
      </c>
    </row>
    <row r="78" spans="1:13" x14ac:dyDescent="0.25">
      <c r="A78" t="s">
        <v>10</v>
      </c>
      <c r="B78" s="2">
        <v>42522</v>
      </c>
      <c r="C78">
        <v>2016</v>
      </c>
      <c r="E78" t="s">
        <v>6</v>
      </c>
      <c r="F78">
        <v>109</v>
      </c>
      <c r="G78">
        <f t="shared" si="2"/>
        <v>109</v>
      </c>
      <c r="I78" s="5">
        <v>332</v>
      </c>
      <c r="J78">
        <f t="shared" si="3"/>
        <v>2016</v>
      </c>
      <c r="M78" s="2">
        <v>42336</v>
      </c>
    </row>
    <row r="79" spans="1:13" x14ac:dyDescent="0.25">
      <c r="A79" t="s">
        <v>10</v>
      </c>
      <c r="B79" s="2">
        <v>42523</v>
      </c>
      <c r="C79">
        <v>2016</v>
      </c>
      <c r="E79" t="s">
        <v>6</v>
      </c>
      <c r="F79">
        <v>121.5</v>
      </c>
      <c r="G79">
        <f t="shared" si="2"/>
        <v>121.5</v>
      </c>
      <c r="I79" s="5">
        <v>332</v>
      </c>
      <c r="J79">
        <f t="shared" si="3"/>
        <v>2016</v>
      </c>
      <c r="M79" s="2">
        <v>42337</v>
      </c>
    </row>
    <row r="80" spans="1:13" x14ac:dyDescent="0.25">
      <c r="A80" t="s">
        <v>10</v>
      </c>
      <c r="B80" s="2">
        <v>42523</v>
      </c>
      <c r="C80">
        <v>2016</v>
      </c>
      <c r="E80" t="s">
        <v>6</v>
      </c>
      <c r="F80">
        <v>121.1</v>
      </c>
      <c r="G80">
        <f t="shared" si="2"/>
        <v>121.1</v>
      </c>
      <c r="I80" s="5">
        <v>332</v>
      </c>
      <c r="J80">
        <f t="shared" si="3"/>
        <v>2016</v>
      </c>
      <c r="M80" s="2">
        <v>42334</v>
      </c>
    </row>
    <row r="81" spans="1:13" x14ac:dyDescent="0.25">
      <c r="A81" t="s">
        <v>10</v>
      </c>
      <c r="B81" s="2">
        <v>42523</v>
      </c>
      <c r="C81">
        <v>2016</v>
      </c>
      <c r="E81" t="s">
        <v>6</v>
      </c>
      <c r="F81">
        <v>108.4</v>
      </c>
      <c r="G81">
        <f t="shared" si="2"/>
        <v>108.4</v>
      </c>
      <c r="I81" s="5">
        <v>332</v>
      </c>
      <c r="J81">
        <f t="shared" si="3"/>
        <v>2016</v>
      </c>
      <c r="M81" s="2">
        <v>42330</v>
      </c>
    </row>
    <row r="82" spans="1:13" x14ac:dyDescent="0.25">
      <c r="A82" t="s">
        <v>10</v>
      </c>
      <c r="B82" s="2">
        <v>42531</v>
      </c>
      <c r="C82">
        <v>2016</v>
      </c>
      <c r="E82" t="s">
        <v>6</v>
      </c>
      <c r="F82">
        <v>124</v>
      </c>
      <c r="G82">
        <f t="shared" si="2"/>
        <v>124</v>
      </c>
      <c r="I82" s="5">
        <v>332</v>
      </c>
      <c r="J82">
        <f t="shared" si="3"/>
        <v>2016</v>
      </c>
      <c r="M82" s="2">
        <v>42339</v>
      </c>
    </row>
    <row r="83" spans="1:13" x14ac:dyDescent="0.25">
      <c r="A83" t="s">
        <v>10</v>
      </c>
      <c r="B83" s="2">
        <v>42535</v>
      </c>
      <c r="C83">
        <v>2016</v>
      </c>
      <c r="E83" t="s">
        <v>6</v>
      </c>
      <c r="F83">
        <v>123.9</v>
      </c>
      <c r="G83">
        <f t="shared" si="2"/>
        <v>123.9</v>
      </c>
      <c r="I83" s="5">
        <v>332</v>
      </c>
      <c r="J83">
        <f t="shared" si="3"/>
        <v>2016</v>
      </c>
      <c r="M83" s="2">
        <v>42334</v>
      </c>
    </row>
    <row r="84" spans="1:13" x14ac:dyDescent="0.25">
      <c r="A84" t="s">
        <v>10</v>
      </c>
      <c r="B84" s="2">
        <v>42535</v>
      </c>
      <c r="C84">
        <v>2016</v>
      </c>
      <c r="E84" t="s">
        <v>6</v>
      </c>
      <c r="F84">
        <v>114.6</v>
      </c>
      <c r="G84">
        <f t="shared" si="2"/>
        <v>114.6</v>
      </c>
      <c r="H84" t="s">
        <v>32</v>
      </c>
      <c r="I84" s="5">
        <v>332</v>
      </c>
      <c r="J84">
        <f t="shared" si="3"/>
        <v>2016</v>
      </c>
      <c r="M84" s="2">
        <v>42336</v>
      </c>
    </row>
    <row r="85" spans="1:13" x14ac:dyDescent="0.25">
      <c r="A85" t="s">
        <v>11</v>
      </c>
      <c r="B85" s="2">
        <v>42752</v>
      </c>
      <c r="C85">
        <v>2017</v>
      </c>
      <c r="E85" t="s">
        <v>6</v>
      </c>
      <c r="F85">
        <v>64.3</v>
      </c>
      <c r="G85">
        <f t="shared" si="2"/>
        <v>64.3</v>
      </c>
      <c r="I85" s="5">
        <v>329</v>
      </c>
      <c r="J85">
        <f t="shared" si="3"/>
        <v>2017</v>
      </c>
      <c r="M85" s="2">
        <v>42698</v>
      </c>
    </row>
    <row r="86" spans="1:13" x14ac:dyDescent="0.25">
      <c r="A86" t="s">
        <v>11</v>
      </c>
      <c r="B86" s="2">
        <v>42752</v>
      </c>
      <c r="C86">
        <v>2017</v>
      </c>
      <c r="E86" t="s">
        <v>6</v>
      </c>
      <c r="F86">
        <v>54.6</v>
      </c>
      <c r="G86">
        <f t="shared" si="2"/>
        <v>54.6</v>
      </c>
      <c r="I86" s="5">
        <v>329</v>
      </c>
      <c r="J86">
        <f t="shared" si="3"/>
        <v>2017</v>
      </c>
      <c r="M86" s="2">
        <v>42708</v>
      </c>
    </row>
    <row r="87" spans="1:13" x14ac:dyDescent="0.25">
      <c r="A87" t="s">
        <v>11</v>
      </c>
      <c r="B87" s="2">
        <v>42787</v>
      </c>
      <c r="C87">
        <v>2017</v>
      </c>
      <c r="E87" t="s">
        <v>6</v>
      </c>
      <c r="F87">
        <v>86</v>
      </c>
      <c r="G87">
        <f t="shared" si="2"/>
        <v>86</v>
      </c>
      <c r="I87" s="5">
        <v>329</v>
      </c>
      <c r="J87">
        <f t="shared" si="3"/>
        <v>2017</v>
      </c>
      <c r="M87" s="2">
        <v>42692</v>
      </c>
    </row>
    <row r="88" spans="1:13" x14ac:dyDescent="0.25">
      <c r="A88" t="s">
        <v>11</v>
      </c>
      <c r="B88" s="2">
        <v>42787</v>
      </c>
      <c r="C88">
        <v>2017</v>
      </c>
      <c r="E88" t="s">
        <v>6</v>
      </c>
      <c r="F88">
        <v>82.6</v>
      </c>
      <c r="G88">
        <f t="shared" si="2"/>
        <v>82.6</v>
      </c>
      <c r="I88" s="5">
        <v>329</v>
      </c>
      <c r="J88">
        <f t="shared" si="3"/>
        <v>2017</v>
      </c>
      <c r="M88" s="2">
        <v>42696</v>
      </c>
    </row>
    <row r="89" spans="1:13" x14ac:dyDescent="0.25">
      <c r="A89" t="s">
        <v>11</v>
      </c>
      <c r="B89" s="2">
        <v>42801</v>
      </c>
      <c r="C89">
        <v>2017</v>
      </c>
      <c r="E89" t="s">
        <v>6</v>
      </c>
      <c r="F89">
        <v>96.5</v>
      </c>
      <c r="G89">
        <f t="shared" si="2"/>
        <v>96.5</v>
      </c>
      <c r="I89" s="5">
        <v>329</v>
      </c>
      <c r="J89">
        <f t="shared" si="3"/>
        <v>2017</v>
      </c>
      <c r="M89" s="2">
        <v>42693</v>
      </c>
    </row>
    <row r="90" spans="1:13" x14ac:dyDescent="0.25">
      <c r="A90" t="s">
        <v>11</v>
      </c>
      <c r="B90" s="2">
        <v>42801</v>
      </c>
      <c r="C90">
        <v>2017</v>
      </c>
      <c r="E90" t="s">
        <v>6</v>
      </c>
      <c r="F90">
        <v>88.4</v>
      </c>
      <c r="G90">
        <f t="shared" si="2"/>
        <v>88.4</v>
      </c>
      <c r="I90" s="5">
        <v>329</v>
      </c>
      <c r="J90">
        <f t="shared" si="3"/>
        <v>2017</v>
      </c>
      <c r="M90" s="2">
        <v>42701</v>
      </c>
    </row>
    <row r="91" spans="1:13" x14ac:dyDescent="0.25">
      <c r="A91" t="s">
        <v>11</v>
      </c>
      <c r="B91" s="2">
        <v>42815</v>
      </c>
      <c r="C91">
        <v>2017</v>
      </c>
      <c r="E91" t="s">
        <v>6</v>
      </c>
      <c r="F91">
        <v>102.8</v>
      </c>
      <c r="G91">
        <f t="shared" si="2"/>
        <v>102.8</v>
      </c>
      <c r="I91" s="5">
        <v>329</v>
      </c>
      <c r="J91">
        <f t="shared" si="3"/>
        <v>2017</v>
      </c>
      <c r="M91" s="2">
        <v>42693</v>
      </c>
    </row>
    <row r="92" spans="1:13" x14ac:dyDescent="0.25">
      <c r="A92" t="s">
        <v>11</v>
      </c>
      <c r="B92" s="2">
        <v>42815</v>
      </c>
      <c r="C92">
        <v>2017</v>
      </c>
      <c r="E92" t="s">
        <v>6</v>
      </c>
      <c r="F92">
        <v>93.6</v>
      </c>
      <c r="G92">
        <f t="shared" si="2"/>
        <v>93.6</v>
      </c>
      <c r="I92" s="5">
        <v>329</v>
      </c>
      <c r="J92">
        <f t="shared" si="3"/>
        <v>2017</v>
      </c>
      <c r="M92" s="2">
        <v>42698</v>
      </c>
    </row>
    <row r="93" spans="1:13" x14ac:dyDescent="0.25">
      <c r="A93" t="s">
        <v>11</v>
      </c>
      <c r="B93" s="2">
        <v>42829</v>
      </c>
      <c r="C93">
        <v>2017</v>
      </c>
      <c r="E93" t="s">
        <v>6</v>
      </c>
      <c r="F93">
        <v>117.4</v>
      </c>
      <c r="G93">
        <f t="shared" si="2"/>
        <v>117.4</v>
      </c>
      <c r="I93" s="5">
        <v>329</v>
      </c>
      <c r="J93">
        <f t="shared" si="3"/>
        <v>2017</v>
      </c>
      <c r="M93" s="2">
        <v>42708</v>
      </c>
    </row>
    <row r="94" spans="1:13" x14ac:dyDescent="0.25">
      <c r="A94" t="s">
        <v>11</v>
      </c>
      <c r="B94" s="2">
        <v>42829</v>
      </c>
      <c r="C94">
        <v>2017</v>
      </c>
      <c r="E94" t="s">
        <v>6</v>
      </c>
      <c r="F94">
        <v>103.2</v>
      </c>
      <c r="G94">
        <f t="shared" si="2"/>
        <v>103.2</v>
      </c>
      <c r="H94" s="5"/>
      <c r="I94" s="5">
        <v>329</v>
      </c>
      <c r="J94">
        <f t="shared" si="3"/>
        <v>2017</v>
      </c>
      <c r="M94" s="2">
        <v>42693</v>
      </c>
    </row>
    <row r="95" spans="1:13" x14ac:dyDescent="0.25">
      <c r="A95" t="s">
        <v>11</v>
      </c>
      <c r="B95" s="2">
        <v>42839</v>
      </c>
      <c r="C95">
        <v>2017</v>
      </c>
      <c r="E95" t="s">
        <v>6</v>
      </c>
      <c r="F95">
        <v>114.5</v>
      </c>
      <c r="G95">
        <f t="shared" si="2"/>
        <v>114.5</v>
      </c>
      <c r="I95" s="5">
        <v>329</v>
      </c>
      <c r="J95">
        <f t="shared" si="3"/>
        <v>2017</v>
      </c>
      <c r="M95" s="2">
        <v>42692</v>
      </c>
    </row>
    <row r="96" spans="1:13" x14ac:dyDescent="0.25">
      <c r="A96" t="s">
        <v>11</v>
      </c>
      <c r="B96" s="2">
        <v>42839</v>
      </c>
      <c r="C96">
        <v>2017</v>
      </c>
      <c r="E96" t="s">
        <v>6</v>
      </c>
      <c r="F96">
        <v>108.9</v>
      </c>
      <c r="G96">
        <f t="shared" si="2"/>
        <v>108.9</v>
      </c>
      <c r="I96" s="5">
        <v>329</v>
      </c>
      <c r="J96">
        <f t="shared" si="3"/>
        <v>2017</v>
      </c>
      <c r="M96" s="2">
        <v>42696</v>
      </c>
    </row>
    <row r="97" spans="1:13" x14ac:dyDescent="0.25">
      <c r="A97" t="s">
        <v>11</v>
      </c>
      <c r="B97" s="2">
        <v>42844</v>
      </c>
      <c r="C97">
        <v>2017</v>
      </c>
      <c r="E97" t="s">
        <v>6</v>
      </c>
      <c r="F97">
        <v>118.9</v>
      </c>
      <c r="G97">
        <f t="shared" si="2"/>
        <v>118.9</v>
      </c>
      <c r="I97" s="5">
        <v>329</v>
      </c>
      <c r="J97">
        <f t="shared" si="3"/>
        <v>2017</v>
      </c>
      <c r="M97" s="2">
        <v>42693</v>
      </c>
    </row>
    <row r="98" spans="1:13" x14ac:dyDescent="0.25">
      <c r="A98" t="s">
        <v>11</v>
      </c>
      <c r="B98" s="2">
        <v>42844</v>
      </c>
      <c r="C98">
        <v>2017</v>
      </c>
      <c r="E98" t="s">
        <v>6</v>
      </c>
      <c r="F98">
        <v>111.8</v>
      </c>
      <c r="G98">
        <f t="shared" si="2"/>
        <v>111.8</v>
      </c>
      <c r="I98" s="5">
        <v>329</v>
      </c>
      <c r="J98">
        <f t="shared" si="3"/>
        <v>2017</v>
      </c>
      <c r="M98" s="2">
        <v>42701</v>
      </c>
    </row>
    <row r="99" spans="1:13" x14ac:dyDescent="0.25">
      <c r="A99" t="s">
        <v>11</v>
      </c>
      <c r="B99" s="2">
        <v>42850</v>
      </c>
      <c r="C99">
        <v>2017</v>
      </c>
      <c r="E99" t="s">
        <v>6</v>
      </c>
      <c r="F99">
        <v>110.2</v>
      </c>
      <c r="G99">
        <f t="shared" si="2"/>
        <v>110.2</v>
      </c>
      <c r="I99" s="5">
        <v>329</v>
      </c>
      <c r="J99">
        <f t="shared" si="3"/>
        <v>2017</v>
      </c>
      <c r="M99" s="2">
        <v>42698</v>
      </c>
    </row>
    <row r="100" spans="1:13" x14ac:dyDescent="0.25">
      <c r="A100" t="s">
        <v>11</v>
      </c>
      <c r="B100" s="2">
        <v>42853</v>
      </c>
      <c r="C100">
        <v>2017</v>
      </c>
      <c r="E100" t="s">
        <v>6</v>
      </c>
      <c r="F100">
        <v>124.6</v>
      </c>
      <c r="G100">
        <f t="shared" si="2"/>
        <v>124.6</v>
      </c>
      <c r="I100" s="5">
        <v>329</v>
      </c>
      <c r="J100">
        <f t="shared" si="3"/>
        <v>2017</v>
      </c>
      <c r="M100" s="2">
        <v>42708</v>
      </c>
    </row>
    <row r="101" spans="1:13" x14ac:dyDescent="0.25">
      <c r="A101" t="s">
        <v>11</v>
      </c>
      <c r="B101" s="2">
        <v>42858</v>
      </c>
      <c r="C101">
        <v>2017</v>
      </c>
      <c r="E101" t="s">
        <v>6</v>
      </c>
      <c r="F101">
        <v>120.5</v>
      </c>
      <c r="G101">
        <f t="shared" si="2"/>
        <v>120.5</v>
      </c>
      <c r="I101" s="5">
        <v>329</v>
      </c>
      <c r="J101">
        <f t="shared" si="3"/>
        <v>2017</v>
      </c>
      <c r="M101" s="2">
        <v>42696</v>
      </c>
    </row>
    <row r="102" spans="1:13" x14ac:dyDescent="0.25">
      <c r="A102" t="s">
        <v>11</v>
      </c>
      <c r="B102" s="2">
        <v>42858</v>
      </c>
      <c r="C102">
        <v>2017</v>
      </c>
      <c r="E102" t="s">
        <v>6</v>
      </c>
      <c r="F102">
        <v>109.1</v>
      </c>
      <c r="G102">
        <f t="shared" si="2"/>
        <v>109.1</v>
      </c>
      <c r="I102" s="5">
        <v>329</v>
      </c>
      <c r="J102">
        <f t="shared" si="3"/>
        <v>2017</v>
      </c>
      <c r="M102" s="2">
        <v>42693</v>
      </c>
    </row>
    <row r="103" spans="1:13" x14ac:dyDescent="0.25">
      <c r="A103" t="s">
        <v>11</v>
      </c>
      <c r="B103" s="2">
        <v>42871</v>
      </c>
      <c r="C103">
        <v>2017</v>
      </c>
      <c r="E103" t="s">
        <v>6</v>
      </c>
      <c r="F103">
        <v>123.6</v>
      </c>
      <c r="G103">
        <f t="shared" si="2"/>
        <v>123.6</v>
      </c>
      <c r="I103" s="5">
        <v>329</v>
      </c>
      <c r="J103">
        <f t="shared" si="3"/>
        <v>2017</v>
      </c>
      <c r="M103" s="2">
        <v>42692</v>
      </c>
    </row>
    <row r="104" spans="1:13" x14ac:dyDescent="0.25">
      <c r="A104" t="s">
        <v>11</v>
      </c>
      <c r="B104" s="2">
        <v>42871</v>
      </c>
      <c r="C104">
        <v>2017</v>
      </c>
      <c r="E104" t="s">
        <v>6</v>
      </c>
      <c r="F104">
        <v>117.7</v>
      </c>
      <c r="G104">
        <f t="shared" si="2"/>
        <v>117.7</v>
      </c>
      <c r="I104" s="5">
        <v>329</v>
      </c>
      <c r="J104">
        <f t="shared" si="3"/>
        <v>2017</v>
      </c>
      <c r="M104" s="2">
        <v>42693</v>
      </c>
    </row>
    <row r="105" spans="1:13" x14ac:dyDescent="0.25">
      <c r="A105" t="s">
        <v>11</v>
      </c>
      <c r="B105" s="2">
        <v>42885</v>
      </c>
      <c r="C105">
        <v>2017</v>
      </c>
      <c r="E105" t="s">
        <v>6</v>
      </c>
      <c r="F105">
        <v>121.5</v>
      </c>
      <c r="G105">
        <f t="shared" si="2"/>
        <v>121.5</v>
      </c>
      <c r="I105" s="5">
        <v>329</v>
      </c>
      <c r="J105">
        <f t="shared" si="3"/>
        <v>2017</v>
      </c>
      <c r="M105" s="2">
        <v>42701</v>
      </c>
    </row>
    <row r="106" spans="1:13" x14ac:dyDescent="0.25">
      <c r="A106" t="s">
        <v>11</v>
      </c>
      <c r="B106" s="2">
        <v>42885</v>
      </c>
      <c r="C106">
        <v>2017</v>
      </c>
      <c r="E106" t="s">
        <v>6</v>
      </c>
      <c r="F106">
        <v>118.8</v>
      </c>
      <c r="G106">
        <f t="shared" si="2"/>
        <v>118.8</v>
      </c>
      <c r="I106" s="5">
        <v>329</v>
      </c>
      <c r="J106">
        <f t="shared" si="3"/>
        <v>2017</v>
      </c>
      <c r="M106" s="2">
        <v>42698</v>
      </c>
    </row>
    <row r="107" spans="1:13" x14ac:dyDescent="0.25">
      <c r="A107" t="s">
        <v>11</v>
      </c>
      <c r="B107" s="2">
        <v>42893</v>
      </c>
      <c r="C107">
        <v>2017</v>
      </c>
      <c r="E107" t="s">
        <v>6</v>
      </c>
      <c r="F107">
        <v>122.4</v>
      </c>
      <c r="G107">
        <f t="shared" si="2"/>
        <v>122.4</v>
      </c>
      <c r="I107" s="5">
        <v>329</v>
      </c>
      <c r="J107">
        <f t="shared" si="3"/>
        <v>2017</v>
      </c>
      <c r="M107" s="2">
        <v>42708</v>
      </c>
    </row>
    <row r="108" spans="1:13" x14ac:dyDescent="0.25">
      <c r="A108" t="s">
        <v>11</v>
      </c>
      <c r="B108" s="2">
        <v>42893</v>
      </c>
      <c r="C108">
        <v>2017</v>
      </c>
      <c r="E108" t="s">
        <v>6</v>
      </c>
      <c r="F108">
        <v>113</v>
      </c>
      <c r="G108">
        <f t="shared" si="2"/>
        <v>113</v>
      </c>
      <c r="I108" s="5">
        <v>329</v>
      </c>
      <c r="J108">
        <f t="shared" si="3"/>
        <v>2017</v>
      </c>
      <c r="M108" s="2">
        <v>42693</v>
      </c>
    </row>
    <row r="109" spans="1:13" x14ac:dyDescent="0.25">
      <c r="A109" t="s">
        <v>11</v>
      </c>
      <c r="B109" s="2">
        <v>42907</v>
      </c>
      <c r="C109">
        <v>2017</v>
      </c>
      <c r="E109" t="s">
        <v>6</v>
      </c>
      <c r="F109">
        <v>115.9</v>
      </c>
      <c r="G109">
        <f t="shared" si="2"/>
        <v>115.9</v>
      </c>
      <c r="I109" s="5">
        <v>329</v>
      </c>
      <c r="J109">
        <f t="shared" si="3"/>
        <v>2017</v>
      </c>
      <c r="M109" s="2">
        <v>42692</v>
      </c>
    </row>
    <row r="110" spans="1:13" x14ac:dyDescent="0.25">
      <c r="A110" t="s">
        <v>11</v>
      </c>
      <c r="B110" s="2">
        <v>42907</v>
      </c>
      <c r="C110">
        <v>2017</v>
      </c>
      <c r="E110" t="s">
        <v>6</v>
      </c>
      <c r="F110">
        <v>117.7</v>
      </c>
      <c r="G110">
        <f t="shared" si="2"/>
        <v>117.7</v>
      </c>
      <c r="H110" t="s">
        <v>32</v>
      </c>
      <c r="I110" s="5">
        <v>329</v>
      </c>
      <c r="J110">
        <f t="shared" si="3"/>
        <v>2017</v>
      </c>
      <c r="M110" s="2">
        <v>42696</v>
      </c>
    </row>
    <row r="111" spans="1:13" x14ac:dyDescent="0.25">
      <c r="A111" t="s">
        <v>11</v>
      </c>
      <c r="B111" s="2">
        <v>42753</v>
      </c>
      <c r="C111">
        <v>2017</v>
      </c>
      <c r="E111" t="s">
        <v>6</v>
      </c>
      <c r="F111">
        <v>63.8</v>
      </c>
      <c r="G111">
        <f t="shared" si="2"/>
        <v>63.8</v>
      </c>
      <c r="I111" s="5">
        <v>328</v>
      </c>
      <c r="J111">
        <f t="shared" si="3"/>
        <v>2017</v>
      </c>
      <c r="M111" s="2">
        <v>42693</v>
      </c>
    </row>
    <row r="112" spans="1:13" x14ac:dyDescent="0.25">
      <c r="A112" t="s">
        <v>11</v>
      </c>
      <c r="B112" s="2">
        <v>42789</v>
      </c>
      <c r="C112">
        <v>2017</v>
      </c>
      <c r="E112" t="s">
        <v>6</v>
      </c>
      <c r="F112">
        <v>92.9</v>
      </c>
      <c r="G112">
        <f t="shared" si="2"/>
        <v>92.9</v>
      </c>
      <c r="I112" s="5">
        <v>328</v>
      </c>
      <c r="J112">
        <f t="shared" si="3"/>
        <v>2017</v>
      </c>
      <c r="M112" s="2">
        <v>42701</v>
      </c>
    </row>
    <row r="113" spans="1:13" x14ac:dyDescent="0.25">
      <c r="A113" t="s">
        <v>11</v>
      </c>
      <c r="B113" s="2">
        <v>42804</v>
      </c>
      <c r="C113">
        <v>2017</v>
      </c>
      <c r="E113" t="s">
        <v>6</v>
      </c>
      <c r="F113">
        <v>102.8</v>
      </c>
      <c r="G113">
        <f t="shared" si="2"/>
        <v>102.8</v>
      </c>
      <c r="I113" s="5">
        <v>328</v>
      </c>
      <c r="J113">
        <f t="shared" si="3"/>
        <v>2017</v>
      </c>
      <c r="M113" s="2">
        <v>42698</v>
      </c>
    </row>
    <row r="114" spans="1:13" x14ac:dyDescent="0.25">
      <c r="A114" t="s">
        <v>11</v>
      </c>
      <c r="B114" s="2">
        <v>42817</v>
      </c>
      <c r="C114">
        <v>2017</v>
      </c>
      <c r="E114" t="s">
        <v>6</v>
      </c>
      <c r="F114">
        <v>112.2</v>
      </c>
      <c r="G114">
        <f t="shared" si="2"/>
        <v>112.2</v>
      </c>
      <c r="I114" s="5">
        <v>328</v>
      </c>
      <c r="J114">
        <f t="shared" si="3"/>
        <v>2017</v>
      </c>
      <c r="M114" s="2">
        <v>42708</v>
      </c>
    </row>
    <row r="115" spans="1:13" x14ac:dyDescent="0.25">
      <c r="A115" t="s">
        <v>11</v>
      </c>
      <c r="B115" s="2">
        <v>42832</v>
      </c>
      <c r="C115">
        <v>2017</v>
      </c>
      <c r="E115" t="s">
        <v>6</v>
      </c>
      <c r="F115">
        <v>123.8</v>
      </c>
      <c r="G115">
        <f t="shared" si="2"/>
        <v>123.8</v>
      </c>
      <c r="I115" s="5">
        <v>328</v>
      </c>
      <c r="J115">
        <f t="shared" si="3"/>
        <v>2017</v>
      </c>
      <c r="M115" s="2">
        <v>42693</v>
      </c>
    </row>
    <row r="116" spans="1:13" x14ac:dyDescent="0.25">
      <c r="A116" t="s">
        <v>11</v>
      </c>
      <c r="B116" s="2">
        <v>42838</v>
      </c>
      <c r="C116">
        <v>2017</v>
      </c>
      <c r="E116" t="s">
        <v>6</v>
      </c>
      <c r="F116">
        <v>125.9</v>
      </c>
      <c r="G116">
        <f t="shared" si="2"/>
        <v>125.9</v>
      </c>
      <c r="H116" s="5"/>
      <c r="I116" s="5">
        <v>328</v>
      </c>
      <c r="J116">
        <f t="shared" si="3"/>
        <v>2017</v>
      </c>
      <c r="M116" s="2">
        <v>42692</v>
      </c>
    </row>
    <row r="117" spans="1:13" x14ac:dyDescent="0.25">
      <c r="A117" t="s">
        <v>11</v>
      </c>
      <c r="B117" s="2">
        <v>42845</v>
      </c>
      <c r="C117">
        <v>2017</v>
      </c>
      <c r="E117" t="s">
        <v>6</v>
      </c>
      <c r="F117">
        <v>129.1</v>
      </c>
      <c r="G117">
        <f t="shared" si="2"/>
        <v>129.1</v>
      </c>
      <c r="I117" s="5">
        <v>328</v>
      </c>
      <c r="J117">
        <f t="shared" si="3"/>
        <v>2017</v>
      </c>
      <c r="M117" s="2">
        <v>42696</v>
      </c>
    </row>
    <row r="118" spans="1:13" x14ac:dyDescent="0.25">
      <c r="A118" t="s">
        <v>11</v>
      </c>
      <c r="B118" s="2">
        <v>42853</v>
      </c>
      <c r="C118">
        <v>2017</v>
      </c>
      <c r="E118" t="s">
        <v>6</v>
      </c>
      <c r="F118">
        <v>132.1</v>
      </c>
      <c r="G118">
        <f t="shared" si="2"/>
        <v>132.1</v>
      </c>
      <c r="I118" s="5">
        <v>328</v>
      </c>
      <c r="J118">
        <f t="shared" si="3"/>
        <v>2017</v>
      </c>
      <c r="M118" s="2">
        <v>42693</v>
      </c>
    </row>
    <row r="119" spans="1:13" x14ac:dyDescent="0.25">
      <c r="A119" t="s">
        <v>11</v>
      </c>
      <c r="B119" s="2">
        <v>42859</v>
      </c>
      <c r="C119">
        <v>2017</v>
      </c>
      <c r="E119" t="s">
        <v>6</v>
      </c>
      <c r="F119">
        <v>131.9</v>
      </c>
      <c r="G119">
        <f t="shared" si="2"/>
        <v>131.9</v>
      </c>
      <c r="I119" s="5">
        <v>328</v>
      </c>
      <c r="J119">
        <f t="shared" si="3"/>
        <v>2017</v>
      </c>
      <c r="M119" s="2">
        <v>42701</v>
      </c>
    </row>
    <row r="120" spans="1:13" x14ac:dyDescent="0.25">
      <c r="A120" t="s">
        <v>11</v>
      </c>
      <c r="B120" s="2">
        <v>42873</v>
      </c>
      <c r="C120">
        <v>2017</v>
      </c>
      <c r="E120" t="s">
        <v>6</v>
      </c>
      <c r="F120">
        <v>134.6</v>
      </c>
      <c r="G120">
        <f t="shared" si="2"/>
        <v>134.6</v>
      </c>
      <c r="I120" s="5">
        <v>328</v>
      </c>
      <c r="J120">
        <f t="shared" si="3"/>
        <v>2017</v>
      </c>
      <c r="M120" s="2">
        <v>42693</v>
      </c>
    </row>
    <row r="121" spans="1:13" x14ac:dyDescent="0.25">
      <c r="A121" t="s">
        <v>11</v>
      </c>
      <c r="B121" s="2">
        <v>42887</v>
      </c>
      <c r="C121">
        <v>2017</v>
      </c>
      <c r="E121" t="s">
        <v>6</v>
      </c>
      <c r="F121">
        <v>134.80000000000001</v>
      </c>
      <c r="G121">
        <f t="shared" si="2"/>
        <v>134.80000000000001</v>
      </c>
      <c r="I121" s="5">
        <v>328</v>
      </c>
      <c r="J121">
        <f t="shared" si="3"/>
        <v>2017</v>
      </c>
      <c r="M121" s="2">
        <v>42692</v>
      </c>
    </row>
    <row r="122" spans="1:13" x14ac:dyDescent="0.25">
      <c r="A122" t="s">
        <v>11</v>
      </c>
      <c r="B122" s="2">
        <v>42894</v>
      </c>
      <c r="C122">
        <v>2017</v>
      </c>
      <c r="E122" t="s">
        <v>6</v>
      </c>
      <c r="F122">
        <v>130.9</v>
      </c>
      <c r="G122">
        <f t="shared" si="2"/>
        <v>130.9</v>
      </c>
      <c r="I122" s="5">
        <v>328</v>
      </c>
      <c r="J122">
        <f t="shared" si="3"/>
        <v>2017</v>
      </c>
      <c r="M122" s="2">
        <v>42696</v>
      </c>
    </row>
    <row r="123" spans="1:13" x14ac:dyDescent="0.25">
      <c r="A123" t="s">
        <v>11</v>
      </c>
      <c r="B123" s="2">
        <v>42908</v>
      </c>
      <c r="C123">
        <v>2017</v>
      </c>
      <c r="E123" t="s">
        <v>6</v>
      </c>
      <c r="F123">
        <v>127.7</v>
      </c>
      <c r="G123">
        <f t="shared" si="2"/>
        <v>127.7</v>
      </c>
      <c r="H123" t="s">
        <v>32</v>
      </c>
      <c r="I123" s="5">
        <v>328</v>
      </c>
      <c r="J123">
        <f t="shared" si="3"/>
        <v>2017</v>
      </c>
      <c r="M123" s="2">
        <v>42693</v>
      </c>
    </row>
    <row r="124" spans="1:13" x14ac:dyDescent="0.25">
      <c r="A124" t="s">
        <v>11</v>
      </c>
      <c r="B124" s="2">
        <v>42753</v>
      </c>
      <c r="C124">
        <v>2017</v>
      </c>
      <c r="E124" t="s">
        <v>6</v>
      </c>
      <c r="F124">
        <v>63.7</v>
      </c>
      <c r="G124">
        <f t="shared" si="2"/>
        <v>63.7</v>
      </c>
      <c r="I124" s="5">
        <v>330</v>
      </c>
      <c r="J124">
        <f t="shared" si="3"/>
        <v>2017</v>
      </c>
      <c r="M124" s="2">
        <v>42701</v>
      </c>
    </row>
    <row r="125" spans="1:13" x14ac:dyDescent="0.25">
      <c r="A125" t="s">
        <v>11</v>
      </c>
      <c r="B125" s="2">
        <v>42753</v>
      </c>
      <c r="C125">
        <v>2017</v>
      </c>
      <c r="E125" t="s">
        <v>6</v>
      </c>
      <c r="F125">
        <v>64.7</v>
      </c>
      <c r="G125">
        <f t="shared" si="2"/>
        <v>64.7</v>
      </c>
      <c r="I125" s="5">
        <v>330</v>
      </c>
      <c r="J125">
        <f t="shared" si="3"/>
        <v>2017</v>
      </c>
      <c r="M125" s="2">
        <v>42698</v>
      </c>
    </row>
    <row r="126" spans="1:13" x14ac:dyDescent="0.25">
      <c r="A126" t="s">
        <v>11</v>
      </c>
      <c r="B126" s="2">
        <v>42753</v>
      </c>
      <c r="C126">
        <v>2017</v>
      </c>
      <c r="E126" t="s">
        <v>6</v>
      </c>
      <c r="F126">
        <v>67.099999999999994</v>
      </c>
      <c r="G126">
        <f t="shared" si="2"/>
        <v>67.099999999999994</v>
      </c>
      <c r="I126" s="5">
        <v>330</v>
      </c>
      <c r="J126">
        <f t="shared" si="3"/>
        <v>2017</v>
      </c>
      <c r="M126" s="2">
        <v>42708</v>
      </c>
    </row>
    <row r="127" spans="1:13" x14ac:dyDescent="0.25">
      <c r="A127" t="s">
        <v>11</v>
      </c>
      <c r="B127" s="2">
        <v>42753</v>
      </c>
      <c r="C127">
        <v>2017</v>
      </c>
      <c r="E127" t="s">
        <v>6</v>
      </c>
      <c r="F127">
        <v>70.2</v>
      </c>
      <c r="G127">
        <f t="shared" si="2"/>
        <v>70.2</v>
      </c>
      <c r="I127" s="5">
        <v>330</v>
      </c>
      <c r="J127">
        <f t="shared" si="3"/>
        <v>2017</v>
      </c>
      <c r="M127" s="2">
        <v>42698</v>
      </c>
    </row>
    <row r="128" spans="1:13" x14ac:dyDescent="0.25">
      <c r="A128" t="s">
        <v>11</v>
      </c>
      <c r="B128" s="2">
        <v>42788</v>
      </c>
      <c r="C128">
        <v>2017</v>
      </c>
      <c r="E128" t="s">
        <v>6</v>
      </c>
      <c r="F128">
        <v>93.9</v>
      </c>
      <c r="G128">
        <f t="shared" si="2"/>
        <v>93.9</v>
      </c>
      <c r="H128" s="5"/>
      <c r="I128" s="5">
        <v>330</v>
      </c>
      <c r="J128">
        <f t="shared" si="3"/>
        <v>2017</v>
      </c>
      <c r="M128" s="2">
        <v>42708</v>
      </c>
    </row>
    <row r="129" spans="1:13" x14ac:dyDescent="0.25">
      <c r="A129" t="s">
        <v>11</v>
      </c>
      <c r="B129" s="2">
        <v>42789</v>
      </c>
      <c r="C129">
        <v>2017</v>
      </c>
      <c r="E129" t="s">
        <v>6</v>
      </c>
      <c r="F129">
        <v>84.1</v>
      </c>
      <c r="G129">
        <f t="shared" si="2"/>
        <v>84.1</v>
      </c>
      <c r="I129" s="5">
        <v>330</v>
      </c>
      <c r="J129">
        <f t="shared" si="3"/>
        <v>2017</v>
      </c>
      <c r="M129" s="2">
        <v>42693</v>
      </c>
    </row>
    <row r="130" spans="1:13" x14ac:dyDescent="0.25">
      <c r="A130" t="s">
        <v>11</v>
      </c>
      <c r="B130" s="2">
        <v>42789</v>
      </c>
      <c r="C130">
        <v>2017</v>
      </c>
      <c r="E130" t="s">
        <v>6</v>
      </c>
      <c r="F130">
        <v>96</v>
      </c>
      <c r="G130">
        <f t="shared" si="2"/>
        <v>96</v>
      </c>
      <c r="I130" s="5">
        <v>330</v>
      </c>
      <c r="J130">
        <f t="shared" si="3"/>
        <v>2017</v>
      </c>
      <c r="M130" s="2">
        <v>42692</v>
      </c>
    </row>
    <row r="131" spans="1:13" x14ac:dyDescent="0.25">
      <c r="A131" t="s">
        <v>11</v>
      </c>
      <c r="B131" s="2">
        <v>42789</v>
      </c>
      <c r="C131">
        <v>2017</v>
      </c>
      <c r="E131" t="s">
        <v>6</v>
      </c>
      <c r="F131">
        <v>85.8</v>
      </c>
      <c r="G131">
        <f t="shared" ref="G131:G194" si="4">F131</f>
        <v>85.8</v>
      </c>
      <c r="I131" s="5">
        <v>330</v>
      </c>
      <c r="J131">
        <f t="shared" ref="J131:J194" si="5">YEAR(B131)</f>
        <v>2017</v>
      </c>
      <c r="M131" s="2">
        <v>42696</v>
      </c>
    </row>
    <row r="132" spans="1:13" x14ac:dyDescent="0.25">
      <c r="A132" t="s">
        <v>11</v>
      </c>
      <c r="B132" s="2">
        <v>42803</v>
      </c>
      <c r="C132">
        <v>2017</v>
      </c>
      <c r="E132" t="s">
        <v>6</v>
      </c>
      <c r="F132">
        <v>107.9</v>
      </c>
      <c r="G132">
        <f t="shared" si="4"/>
        <v>107.9</v>
      </c>
      <c r="I132" s="5">
        <v>330</v>
      </c>
      <c r="J132">
        <f t="shared" si="5"/>
        <v>2017</v>
      </c>
      <c r="M132" s="2">
        <v>42693</v>
      </c>
    </row>
    <row r="133" spans="1:13" x14ac:dyDescent="0.25">
      <c r="A133" t="s">
        <v>11</v>
      </c>
      <c r="B133" s="2">
        <v>42803</v>
      </c>
      <c r="C133">
        <v>2017</v>
      </c>
      <c r="E133" t="s">
        <v>6</v>
      </c>
      <c r="F133">
        <v>102.9</v>
      </c>
      <c r="G133">
        <f t="shared" si="4"/>
        <v>102.9</v>
      </c>
      <c r="I133" s="5">
        <v>330</v>
      </c>
      <c r="J133">
        <f t="shared" si="5"/>
        <v>2017</v>
      </c>
      <c r="M133" s="2">
        <v>42701</v>
      </c>
    </row>
    <row r="134" spans="1:13" x14ac:dyDescent="0.25">
      <c r="A134" t="s">
        <v>11</v>
      </c>
      <c r="B134" s="2">
        <v>42804</v>
      </c>
      <c r="C134">
        <v>2017</v>
      </c>
      <c r="E134" t="s">
        <v>6</v>
      </c>
      <c r="F134">
        <v>94.6</v>
      </c>
      <c r="G134">
        <f t="shared" si="4"/>
        <v>94.6</v>
      </c>
      <c r="I134" s="5">
        <v>330</v>
      </c>
      <c r="J134">
        <f t="shared" si="5"/>
        <v>2017</v>
      </c>
      <c r="M134" s="2">
        <v>42708</v>
      </c>
    </row>
    <row r="135" spans="1:13" x14ac:dyDescent="0.25">
      <c r="A135" t="s">
        <v>11</v>
      </c>
      <c r="B135" s="2">
        <v>42804</v>
      </c>
      <c r="C135">
        <v>2017</v>
      </c>
      <c r="E135" t="s">
        <v>6</v>
      </c>
      <c r="F135">
        <v>98.9</v>
      </c>
      <c r="G135">
        <f t="shared" si="4"/>
        <v>98.9</v>
      </c>
      <c r="I135" s="5">
        <v>330</v>
      </c>
      <c r="J135">
        <f t="shared" si="5"/>
        <v>2017</v>
      </c>
      <c r="M135" s="2">
        <v>42698</v>
      </c>
    </row>
    <row r="136" spans="1:13" x14ac:dyDescent="0.25">
      <c r="A136" t="s">
        <v>11</v>
      </c>
      <c r="B136" s="2">
        <v>42816</v>
      </c>
      <c r="C136">
        <v>2017</v>
      </c>
      <c r="E136" t="s">
        <v>6</v>
      </c>
      <c r="F136">
        <v>110.9</v>
      </c>
      <c r="G136">
        <f t="shared" si="4"/>
        <v>110.9</v>
      </c>
      <c r="I136" s="5">
        <v>330</v>
      </c>
      <c r="J136">
        <f t="shared" si="5"/>
        <v>2017</v>
      </c>
      <c r="M136" s="2">
        <v>42692</v>
      </c>
    </row>
    <row r="137" spans="1:13" x14ac:dyDescent="0.25">
      <c r="A137" t="s">
        <v>11</v>
      </c>
      <c r="B137" s="2">
        <v>42817</v>
      </c>
      <c r="C137">
        <v>2017</v>
      </c>
      <c r="E137" t="s">
        <v>6</v>
      </c>
      <c r="F137">
        <v>101.5</v>
      </c>
      <c r="G137">
        <f t="shared" si="4"/>
        <v>101.5</v>
      </c>
      <c r="I137" s="5">
        <v>330</v>
      </c>
      <c r="J137">
        <f t="shared" si="5"/>
        <v>2017</v>
      </c>
      <c r="M137" s="2">
        <v>42696</v>
      </c>
    </row>
    <row r="138" spans="1:13" x14ac:dyDescent="0.25">
      <c r="A138" t="s">
        <v>11</v>
      </c>
      <c r="B138" s="2">
        <v>42817</v>
      </c>
      <c r="C138">
        <v>2017</v>
      </c>
      <c r="E138" t="s">
        <v>6</v>
      </c>
      <c r="F138">
        <v>112.1</v>
      </c>
      <c r="G138">
        <f t="shared" si="4"/>
        <v>112.1</v>
      </c>
      <c r="I138" s="5">
        <v>330</v>
      </c>
      <c r="J138">
        <f t="shared" si="5"/>
        <v>2017</v>
      </c>
      <c r="M138" s="2">
        <v>42693</v>
      </c>
    </row>
    <row r="139" spans="1:13" x14ac:dyDescent="0.25">
      <c r="A139" t="s">
        <v>11</v>
      </c>
      <c r="B139" s="2">
        <v>42817</v>
      </c>
      <c r="C139">
        <v>2017</v>
      </c>
      <c r="E139" t="s">
        <v>6</v>
      </c>
      <c r="F139">
        <v>105.8</v>
      </c>
      <c r="G139">
        <f t="shared" si="4"/>
        <v>105.8</v>
      </c>
      <c r="I139" s="5">
        <v>330</v>
      </c>
      <c r="J139">
        <f t="shared" si="5"/>
        <v>2017</v>
      </c>
      <c r="M139" s="2">
        <v>42701</v>
      </c>
    </row>
    <row r="140" spans="1:13" x14ac:dyDescent="0.25">
      <c r="A140" t="s">
        <v>11</v>
      </c>
      <c r="B140" s="2">
        <v>42831</v>
      </c>
      <c r="C140">
        <v>2017</v>
      </c>
      <c r="E140" t="s">
        <v>6</v>
      </c>
      <c r="F140">
        <v>126.1</v>
      </c>
      <c r="G140">
        <f t="shared" si="4"/>
        <v>126.1</v>
      </c>
      <c r="I140" s="5">
        <v>330</v>
      </c>
      <c r="J140">
        <f t="shared" si="5"/>
        <v>2017</v>
      </c>
      <c r="M140" s="2">
        <v>42693</v>
      </c>
    </row>
    <row r="141" spans="1:13" x14ac:dyDescent="0.25">
      <c r="A141" t="s">
        <v>11</v>
      </c>
      <c r="B141" s="2">
        <v>42832</v>
      </c>
      <c r="C141">
        <v>2017</v>
      </c>
      <c r="E141" t="s">
        <v>6</v>
      </c>
      <c r="F141">
        <v>109.7</v>
      </c>
      <c r="G141">
        <f t="shared" si="4"/>
        <v>109.7</v>
      </c>
      <c r="I141" s="5">
        <v>330</v>
      </c>
      <c r="J141">
        <f t="shared" si="5"/>
        <v>2017</v>
      </c>
      <c r="M141" s="2">
        <v>42698</v>
      </c>
    </row>
    <row r="142" spans="1:13" x14ac:dyDescent="0.25">
      <c r="A142" t="s">
        <v>11</v>
      </c>
      <c r="B142" s="2">
        <v>42832</v>
      </c>
      <c r="C142">
        <v>2017</v>
      </c>
      <c r="E142" t="s">
        <v>6</v>
      </c>
      <c r="F142">
        <v>123.2</v>
      </c>
      <c r="G142">
        <f t="shared" si="4"/>
        <v>123.2</v>
      </c>
      <c r="I142" s="5">
        <v>330</v>
      </c>
      <c r="J142">
        <f t="shared" si="5"/>
        <v>2017</v>
      </c>
      <c r="M142" s="2">
        <v>42708</v>
      </c>
    </row>
    <row r="143" spans="1:13" x14ac:dyDescent="0.25">
      <c r="A143" t="s">
        <v>11</v>
      </c>
      <c r="B143" s="2">
        <v>42832</v>
      </c>
      <c r="C143">
        <v>2017</v>
      </c>
      <c r="E143" t="s">
        <v>6</v>
      </c>
      <c r="F143">
        <v>116.9</v>
      </c>
      <c r="G143">
        <f t="shared" si="4"/>
        <v>116.9</v>
      </c>
      <c r="I143" s="5">
        <v>330</v>
      </c>
      <c r="J143">
        <f t="shared" si="5"/>
        <v>2017</v>
      </c>
      <c r="M143" s="2">
        <v>42693</v>
      </c>
    </row>
    <row r="144" spans="1:13" x14ac:dyDescent="0.25">
      <c r="A144" t="s">
        <v>11</v>
      </c>
      <c r="B144" s="2">
        <v>42837</v>
      </c>
      <c r="C144">
        <v>2017</v>
      </c>
      <c r="E144" t="s">
        <v>6</v>
      </c>
      <c r="F144">
        <v>128.69999999999999</v>
      </c>
      <c r="G144">
        <f t="shared" si="4"/>
        <v>128.69999999999999</v>
      </c>
      <c r="I144" s="5">
        <v>330</v>
      </c>
      <c r="J144">
        <f t="shared" si="5"/>
        <v>2017</v>
      </c>
      <c r="M144" s="2">
        <v>42696</v>
      </c>
    </row>
    <row r="145" spans="1:13" x14ac:dyDescent="0.25">
      <c r="A145" t="s">
        <v>11</v>
      </c>
      <c r="B145" s="2">
        <v>42838</v>
      </c>
      <c r="C145">
        <v>2017</v>
      </c>
      <c r="E145" t="s">
        <v>6</v>
      </c>
      <c r="F145">
        <v>115.1</v>
      </c>
      <c r="G145">
        <f t="shared" si="4"/>
        <v>115.1</v>
      </c>
      <c r="I145" s="5">
        <v>330</v>
      </c>
      <c r="J145">
        <f t="shared" si="5"/>
        <v>2017</v>
      </c>
      <c r="M145" s="2">
        <v>42701</v>
      </c>
    </row>
    <row r="146" spans="1:13" x14ac:dyDescent="0.25">
      <c r="A146" t="s">
        <v>11</v>
      </c>
      <c r="B146" s="2">
        <v>42838</v>
      </c>
      <c r="C146">
        <v>2017</v>
      </c>
      <c r="E146" t="s">
        <v>6</v>
      </c>
      <c r="F146">
        <v>127.2</v>
      </c>
      <c r="G146">
        <f t="shared" si="4"/>
        <v>127.2</v>
      </c>
      <c r="I146" s="5">
        <v>330</v>
      </c>
      <c r="J146">
        <f t="shared" si="5"/>
        <v>2017</v>
      </c>
      <c r="M146" s="2">
        <v>42692</v>
      </c>
    </row>
    <row r="147" spans="1:13" x14ac:dyDescent="0.25">
      <c r="A147" t="s">
        <v>11</v>
      </c>
      <c r="B147" s="2">
        <v>42838</v>
      </c>
      <c r="C147">
        <v>2017</v>
      </c>
      <c r="E147" t="s">
        <v>6</v>
      </c>
      <c r="F147">
        <v>119.1</v>
      </c>
      <c r="G147">
        <f t="shared" si="4"/>
        <v>119.1</v>
      </c>
      <c r="I147" s="5">
        <v>330</v>
      </c>
      <c r="J147">
        <f t="shared" si="5"/>
        <v>2017</v>
      </c>
      <c r="M147" s="2">
        <v>42693</v>
      </c>
    </row>
    <row r="148" spans="1:13" x14ac:dyDescent="0.25">
      <c r="A148" t="s">
        <v>11</v>
      </c>
      <c r="B148" s="2">
        <v>42844</v>
      </c>
      <c r="C148">
        <v>2017</v>
      </c>
      <c r="E148" t="s">
        <v>6</v>
      </c>
      <c r="F148">
        <v>131.69999999999999</v>
      </c>
      <c r="G148">
        <f t="shared" si="4"/>
        <v>131.69999999999999</v>
      </c>
      <c r="I148" s="5">
        <v>330</v>
      </c>
      <c r="J148">
        <f t="shared" si="5"/>
        <v>2017</v>
      </c>
      <c r="M148" s="2">
        <v>42698</v>
      </c>
    </row>
    <row r="149" spans="1:13" x14ac:dyDescent="0.25">
      <c r="A149" t="s">
        <v>11</v>
      </c>
      <c r="B149" s="2">
        <v>42845</v>
      </c>
      <c r="C149">
        <v>2017</v>
      </c>
      <c r="E149" t="s">
        <v>6</v>
      </c>
      <c r="F149">
        <v>116</v>
      </c>
      <c r="G149">
        <f t="shared" si="4"/>
        <v>116</v>
      </c>
      <c r="I149" s="5">
        <v>330</v>
      </c>
      <c r="J149">
        <f t="shared" si="5"/>
        <v>2017</v>
      </c>
      <c r="M149" s="2">
        <v>42708</v>
      </c>
    </row>
    <row r="150" spans="1:13" x14ac:dyDescent="0.25">
      <c r="A150" t="s">
        <v>11</v>
      </c>
      <c r="B150" s="2">
        <v>42845</v>
      </c>
      <c r="C150">
        <v>2017</v>
      </c>
      <c r="E150" t="s">
        <v>6</v>
      </c>
      <c r="F150">
        <v>125.3</v>
      </c>
      <c r="G150">
        <f t="shared" si="4"/>
        <v>125.3</v>
      </c>
      <c r="I150" s="5">
        <v>330</v>
      </c>
      <c r="J150">
        <f t="shared" si="5"/>
        <v>2017</v>
      </c>
      <c r="M150" s="2">
        <v>42693</v>
      </c>
    </row>
    <row r="151" spans="1:13" x14ac:dyDescent="0.25">
      <c r="A151" t="s">
        <v>11</v>
      </c>
      <c r="B151" s="2">
        <v>42845</v>
      </c>
      <c r="C151">
        <v>2017</v>
      </c>
      <c r="E151" t="s">
        <v>6</v>
      </c>
      <c r="F151">
        <v>120.2</v>
      </c>
      <c r="G151">
        <f t="shared" si="4"/>
        <v>120.2</v>
      </c>
      <c r="I151" s="5">
        <v>330</v>
      </c>
      <c r="J151">
        <f t="shared" si="5"/>
        <v>2017</v>
      </c>
      <c r="M151" s="2">
        <v>42692</v>
      </c>
    </row>
    <row r="152" spans="1:13" x14ac:dyDescent="0.25">
      <c r="A152" t="s">
        <v>11</v>
      </c>
      <c r="B152" s="2">
        <v>42853</v>
      </c>
      <c r="C152">
        <v>2017</v>
      </c>
      <c r="E152" t="s">
        <v>6</v>
      </c>
      <c r="F152">
        <v>114.2</v>
      </c>
      <c r="G152">
        <f t="shared" si="4"/>
        <v>114.2</v>
      </c>
      <c r="I152" s="5">
        <v>330</v>
      </c>
      <c r="J152">
        <f t="shared" si="5"/>
        <v>2017</v>
      </c>
      <c r="M152" s="2">
        <v>42696</v>
      </c>
    </row>
    <row r="153" spans="1:13" x14ac:dyDescent="0.25">
      <c r="A153" t="s">
        <v>11</v>
      </c>
      <c r="B153" s="2">
        <v>42853</v>
      </c>
      <c r="C153">
        <v>2017</v>
      </c>
      <c r="E153" t="s">
        <v>6</v>
      </c>
      <c r="F153">
        <v>125.6</v>
      </c>
      <c r="G153">
        <f t="shared" si="4"/>
        <v>125.6</v>
      </c>
      <c r="I153" s="5">
        <v>330</v>
      </c>
      <c r="J153">
        <f t="shared" si="5"/>
        <v>2017</v>
      </c>
      <c r="M153" s="2">
        <v>42693</v>
      </c>
    </row>
    <row r="154" spans="1:13" x14ac:dyDescent="0.25">
      <c r="A154" t="s">
        <v>11</v>
      </c>
      <c r="B154" s="2">
        <v>42853</v>
      </c>
      <c r="C154">
        <v>2017</v>
      </c>
      <c r="E154" t="s">
        <v>6</v>
      </c>
      <c r="F154">
        <v>120.9</v>
      </c>
      <c r="G154">
        <f t="shared" si="4"/>
        <v>120.9</v>
      </c>
      <c r="I154" s="5">
        <v>330</v>
      </c>
      <c r="J154">
        <f t="shared" si="5"/>
        <v>2017</v>
      </c>
      <c r="M154" s="2">
        <v>42701</v>
      </c>
    </row>
    <row r="155" spans="1:13" x14ac:dyDescent="0.25">
      <c r="A155" t="s">
        <v>11</v>
      </c>
      <c r="B155" s="2">
        <v>42853</v>
      </c>
      <c r="C155">
        <v>2017</v>
      </c>
      <c r="E155" t="s">
        <v>6</v>
      </c>
      <c r="F155">
        <v>130.30000000000001</v>
      </c>
      <c r="G155">
        <f t="shared" si="4"/>
        <v>130.30000000000001</v>
      </c>
      <c r="I155" s="5">
        <v>330</v>
      </c>
      <c r="J155">
        <f t="shared" si="5"/>
        <v>2017</v>
      </c>
      <c r="M155" s="2">
        <v>42698</v>
      </c>
    </row>
    <row r="156" spans="1:13" x14ac:dyDescent="0.25">
      <c r="A156" t="s">
        <v>11</v>
      </c>
      <c r="B156" s="2">
        <v>42858</v>
      </c>
      <c r="C156">
        <v>2017</v>
      </c>
      <c r="E156" t="s">
        <v>6</v>
      </c>
      <c r="F156">
        <v>135.9</v>
      </c>
      <c r="G156">
        <f t="shared" si="4"/>
        <v>135.9</v>
      </c>
      <c r="I156" s="5">
        <v>330</v>
      </c>
      <c r="J156">
        <f t="shared" si="5"/>
        <v>2017</v>
      </c>
      <c r="M156" s="2">
        <v>42708</v>
      </c>
    </row>
    <row r="157" spans="1:13" x14ac:dyDescent="0.25">
      <c r="A157" t="s">
        <v>11</v>
      </c>
      <c r="B157" s="2">
        <v>42859</v>
      </c>
      <c r="C157">
        <v>2017</v>
      </c>
      <c r="E157" t="s">
        <v>6</v>
      </c>
      <c r="F157">
        <v>128.4</v>
      </c>
      <c r="G157">
        <f t="shared" si="4"/>
        <v>128.4</v>
      </c>
      <c r="I157" s="5">
        <v>330</v>
      </c>
      <c r="J157">
        <f t="shared" si="5"/>
        <v>2017</v>
      </c>
      <c r="M157" s="2">
        <v>42693</v>
      </c>
    </row>
    <row r="158" spans="1:13" x14ac:dyDescent="0.25">
      <c r="A158" t="s">
        <v>11</v>
      </c>
      <c r="B158" s="2">
        <v>42860</v>
      </c>
      <c r="C158">
        <v>2017</v>
      </c>
      <c r="E158" t="s">
        <v>6</v>
      </c>
      <c r="F158">
        <v>116</v>
      </c>
      <c r="G158">
        <f t="shared" si="4"/>
        <v>116</v>
      </c>
      <c r="I158" s="5">
        <v>330</v>
      </c>
      <c r="J158">
        <f t="shared" si="5"/>
        <v>2017</v>
      </c>
      <c r="M158" s="2">
        <v>42692</v>
      </c>
    </row>
    <row r="159" spans="1:13" x14ac:dyDescent="0.25">
      <c r="A159" t="s">
        <v>11</v>
      </c>
      <c r="B159" s="2">
        <v>42860</v>
      </c>
      <c r="C159">
        <v>2017</v>
      </c>
      <c r="E159" t="s">
        <v>6</v>
      </c>
      <c r="F159">
        <v>121.5</v>
      </c>
      <c r="G159">
        <f t="shared" si="4"/>
        <v>121.5</v>
      </c>
      <c r="I159" s="5">
        <v>330</v>
      </c>
      <c r="J159">
        <f t="shared" si="5"/>
        <v>2017</v>
      </c>
      <c r="M159" s="2">
        <v>42696</v>
      </c>
    </row>
    <row r="160" spans="1:13" x14ac:dyDescent="0.25">
      <c r="A160" t="s">
        <v>11</v>
      </c>
      <c r="B160" s="2">
        <v>42872</v>
      </c>
      <c r="C160">
        <v>2017</v>
      </c>
      <c r="E160" t="s">
        <v>6</v>
      </c>
      <c r="F160">
        <v>130.30000000000001</v>
      </c>
      <c r="G160">
        <f t="shared" si="4"/>
        <v>130.30000000000001</v>
      </c>
      <c r="I160" s="5">
        <v>330</v>
      </c>
      <c r="J160">
        <f t="shared" si="5"/>
        <v>2017</v>
      </c>
      <c r="M160" s="2">
        <v>42693</v>
      </c>
    </row>
    <row r="161" spans="1:13" x14ac:dyDescent="0.25">
      <c r="A161" t="s">
        <v>11</v>
      </c>
      <c r="B161" s="2">
        <v>42873</v>
      </c>
      <c r="C161">
        <v>2017</v>
      </c>
      <c r="E161" t="s">
        <v>6</v>
      </c>
      <c r="F161">
        <v>121.6</v>
      </c>
      <c r="G161">
        <f t="shared" si="4"/>
        <v>121.6</v>
      </c>
      <c r="I161" s="5">
        <v>330</v>
      </c>
      <c r="J161">
        <f t="shared" si="5"/>
        <v>2017</v>
      </c>
      <c r="M161" s="2">
        <v>42701</v>
      </c>
    </row>
    <row r="162" spans="1:13" x14ac:dyDescent="0.25">
      <c r="A162" t="s">
        <v>11</v>
      </c>
      <c r="B162" s="2">
        <v>42873</v>
      </c>
      <c r="C162">
        <v>2017</v>
      </c>
      <c r="E162" t="s">
        <v>6</v>
      </c>
      <c r="F162">
        <v>131.6</v>
      </c>
      <c r="G162">
        <f t="shared" si="4"/>
        <v>131.6</v>
      </c>
      <c r="I162" s="5">
        <v>330</v>
      </c>
      <c r="J162">
        <f t="shared" si="5"/>
        <v>2017</v>
      </c>
      <c r="M162" s="2">
        <v>42698</v>
      </c>
    </row>
    <row r="163" spans="1:13" x14ac:dyDescent="0.25">
      <c r="A163" t="s">
        <v>11</v>
      </c>
      <c r="B163" s="2">
        <v>42873</v>
      </c>
      <c r="C163">
        <v>2017</v>
      </c>
      <c r="E163" t="s">
        <v>6</v>
      </c>
      <c r="F163">
        <v>123</v>
      </c>
      <c r="G163">
        <f t="shared" si="4"/>
        <v>123</v>
      </c>
      <c r="I163" s="5">
        <v>330</v>
      </c>
      <c r="J163">
        <f t="shared" si="5"/>
        <v>2017</v>
      </c>
      <c r="M163" s="2">
        <v>42692</v>
      </c>
    </row>
    <row r="164" spans="1:13" x14ac:dyDescent="0.25">
      <c r="A164" t="s">
        <v>11</v>
      </c>
      <c r="B164" s="2">
        <v>42886</v>
      </c>
      <c r="C164">
        <v>2017</v>
      </c>
      <c r="E164" t="s">
        <v>6</v>
      </c>
      <c r="F164">
        <v>133.1</v>
      </c>
      <c r="G164">
        <f t="shared" si="4"/>
        <v>133.1</v>
      </c>
      <c r="I164" s="5">
        <v>330</v>
      </c>
      <c r="J164">
        <f t="shared" si="5"/>
        <v>2017</v>
      </c>
      <c r="M164" s="2">
        <v>42708</v>
      </c>
    </row>
    <row r="165" spans="1:13" x14ac:dyDescent="0.25">
      <c r="A165" t="s">
        <v>11</v>
      </c>
      <c r="B165" s="2">
        <v>42887</v>
      </c>
      <c r="C165">
        <v>2017</v>
      </c>
      <c r="E165" t="s">
        <v>6</v>
      </c>
      <c r="F165">
        <v>116.4</v>
      </c>
      <c r="G165">
        <f t="shared" si="4"/>
        <v>116.4</v>
      </c>
      <c r="I165" s="5">
        <v>330</v>
      </c>
      <c r="J165">
        <f t="shared" si="5"/>
        <v>2017</v>
      </c>
      <c r="M165" s="2">
        <v>42693</v>
      </c>
    </row>
    <row r="166" spans="1:13" x14ac:dyDescent="0.25">
      <c r="A166" t="s">
        <v>11</v>
      </c>
      <c r="B166" s="2">
        <v>42887</v>
      </c>
      <c r="C166">
        <v>2017</v>
      </c>
      <c r="E166" t="s">
        <v>6</v>
      </c>
      <c r="F166">
        <v>131.9</v>
      </c>
      <c r="G166">
        <f t="shared" si="4"/>
        <v>131.9</v>
      </c>
      <c r="I166" s="5">
        <v>330</v>
      </c>
      <c r="J166">
        <f t="shared" si="5"/>
        <v>2017</v>
      </c>
      <c r="M166" s="2">
        <v>42701</v>
      </c>
    </row>
    <row r="167" spans="1:13" x14ac:dyDescent="0.25">
      <c r="A167" t="s">
        <v>11</v>
      </c>
      <c r="B167" s="2">
        <v>42887</v>
      </c>
      <c r="C167">
        <v>2017</v>
      </c>
      <c r="E167" t="s">
        <v>6</v>
      </c>
      <c r="F167">
        <v>124.7</v>
      </c>
      <c r="G167">
        <f t="shared" si="4"/>
        <v>124.7</v>
      </c>
      <c r="I167" s="5">
        <v>330</v>
      </c>
      <c r="J167">
        <f t="shared" si="5"/>
        <v>2017</v>
      </c>
      <c r="M167" s="2">
        <v>42693</v>
      </c>
    </row>
    <row r="168" spans="1:13" x14ac:dyDescent="0.25">
      <c r="A168" t="s">
        <v>11</v>
      </c>
      <c r="B168" s="2">
        <v>42893</v>
      </c>
      <c r="C168">
        <v>2017</v>
      </c>
      <c r="E168" t="s">
        <v>6</v>
      </c>
      <c r="F168">
        <v>119</v>
      </c>
      <c r="G168">
        <f t="shared" si="4"/>
        <v>119</v>
      </c>
      <c r="I168" s="5">
        <v>330</v>
      </c>
      <c r="J168">
        <f t="shared" si="5"/>
        <v>2017</v>
      </c>
      <c r="M168" s="2">
        <v>42698</v>
      </c>
    </row>
    <row r="169" spans="1:13" x14ac:dyDescent="0.25">
      <c r="A169" t="s">
        <v>11</v>
      </c>
      <c r="B169" s="2">
        <v>42893</v>
      </c>
      <c r="C169">
        <v>2017</v>
      </c>
      <c r="E169" t="s">
        <v>6</v>
      </c>
      <c r="F169">
        <v>121.2</v>
      </c>
      <c r="G169">
        <f t="shared" si="4"/>
        <v>121.2</v>
      </c>
      <c r="I169" s="5">
        <v>330</v>
      </c>
      <c r="J169">
        <f t="shared" si="5"/>
        <v>2017</v>
      </c>
      <c r="M169" s="2">
        <v>42692</v>
      </c>
    </row>
    <row r="170" spans="1:13" x14ac:dyDescent="0.25">
      <c r="A170" t="s">
        <v>11</v>
      </c>
      <c r="B170" s="2">
        <v>42894</v>
      </c>
      <c r="C170">
        <v>2017</v>
      </c>
      <c r="E170" t="s">
        <v>6</v>
      </c>
      <c r="F170">
        <v>132.6</v>
      </c>
      <c r="G170">
        <f t="shared" si="4"/>
        <v>132.6</v>
      </c>
      <c r="I170" s="5">
        <v>330</v>
      </c>
      <c r="J170">
        <f t="shared" si="5"/>
        <v>2017</v>
      </c>
      <c r="M170" s="2">
        <v>42708</v>
      </c>
    </row>
    <row r="171" spans="1:13" x14ac:dyDescent="0.25">
      <c r="A171" t="s">
        <v>11</v>
      </c>
      <c r="B171" s="2">
        <v>42907</v>
      </c>
      <c r="C171">
        <v>2017</v>
      </c>
      <c r="E171" t="s">
        <v>6</v>
      </c>
      <c r="F171">
        <v>117.5</v>
      </c>
      <c r="G171">
        <f t="shared" si="4"/>
        <v>117.5</v>
      </c>
      <c r="I171" s="5">
        <v>330</v>
      </c>
      <c r="J171">
        <f t="shared" si="5"/>
        <v>2017</v>
      </c>
      <c r="M171" s="2">
        <v>42693</v>
      </c>
    </row>
    <row r="172" spans="1:13" x14ac:dyDescent="0.25">
      <c r="A172" t="s">
        <v>11</v>
      </c>
      <c r="B172" s="2">
        <v>42907</v>
      </c>
      <c r="C172">
        <v>2017</v>
      </c>
      <c r="E172" t="s">
        <v>6</v>
      </c>
      <c r="F172">
        <v>121.7</v>
      </c>
      <c r="G172">
        <f t="shared" si="4"/>
        <v>121.7</v>
      </c>
      <c r="I172" s="5">
        <v>330</v>
      </c>
      <c r="J172">
        <f t="shared" si="5"/>
        <v>2017</v>
      </c>
      <c r="M172" s="2">
        <v>42701</v>
      </c>
    </row>
    <row r="173" spans="1:13" x14ac:dyDescent="0.25">
      <c r="A173" t="s">
        <v>11</v>
      </c>
      <c r="B173" s="2">
        <v>42908</v>
      </c>
      <c r="C173">
        <v>2017</v>
      </c>
      <c r="E173" t="s">
        <v>6</v>
      </c>
      <c r="F173">
        <v>130.1</v>
      </c>
      <c r="G173">
        <f t="shared" si="4"/>
        <v>130.1</v>
      </c>
      <c r="H173" t="s">
        <v>32</v>
      </c>
      <c r="I173" s="5">
        <v>330</v>
      </c>
      <c r="J173">
        <f t="shared" si="5"/>
        <v>2017</v>
      </c>
      <c r="M173" s="2">
        <v>42693</v>
      </c>
    </row>
    <row r="174" spans="1:13" x14ac:dyDescent="0.25">
      <c r="A174" t="s">
        <v>12</v>
      </c>
      <c r="B174" s="2">
        <v>43116</v>
      </c>
      <c r="C174">
        <v>2018</v>
      </c>
      <c r="E174" t="s">
        <v>6</v>
      </c>
      <c r="F174">
        <v>62.4</v>
      </c>
      <c r="G174">
        <f t="shared" si="4"/>
        <v>62.4</v>
      </c>
      <c r="I174" s="5">
        <v>331</v>
      </c>
      <c r="J174">
        <f t="shared" si="5"/>
        <v>2018</v>
      </c>
      <c r="M174" s="2">
        <v>43065</v>
      </c>
    </row>
    <row r="175" spans="1:13" x14ac:dyDescent="0.25">
      <c r="A175" t="s">
        <v>12</v>
      </c>
      <c r="B175" s="2">
        <v>43116</v>
      </c>
      <c r="C175">
        <v>2018</v>
      </c>
      <c r="E175" t="s">
        <v>6</v>
      </c>
      <c r="F175">
        <v>57.1</v>
      </c>
      <c r="G175">
        <f t="shared" si="4"/>
        <v>57.1</v>
      </c>
      <c r="I175" s="5">
        <v>331</v>
      </c>
      <c r="J175">
        <f t="shared" si="5"/>
        <v>2018</v>
      </c>
      <c r="M175" s="2">
        <v>43060</v>
      </c>
    </row>
    <row r="176" spans="1:13" x14ac:dyDescent="0.25">
      <c r="A176" t="s">
        <v>12</v>
      </c>
      <c r="B176" s="2">
        <v>43151</v>
      </c>
      <c r="C176">
        <v>2018</v>
      </c>
      <c r="E176" t="s">
        <v>6</v>
      </c>
      <c r="F176">
        <v>82.1</v>
      </c>
      <c r="G176">
        <f t="shared" si="4"/>
        <v>82.1</v>
      </c>
      <c r="I176" s="5">
        <v>331</v>
      </c>
      <c r="J176">
        <f t="shared" si="5"/>
        <v>2018</v>
      </c>
      <c r="M176" s="2">
        <v>43065</v>
      </c>
    </row>
    <row r="177" spans="1:13" x14ac:dyDescent="0.25">
      <c r="A177" t="s">
        <v>12</v>
      </c>
      <c r="B177" s="2">
        <v>43151</v>
      </c>
      <c r="C177">
        <v>2018</v>
      </c>
      <c r="E177" t="s">
        <v>6</v>
      </c>
      <c r="F177">
        <v>79.7</v>
      </c>
      <c r="G177">
        <f t="shared" si="4"/>
        <v>79.7</v>
      </c>
      <c r="H177" s="5"/>
      <c r="I177" s="5">
        <v>331</v>
      </c>
      <c r="J177">
        <f t="shared" si="5"/>
        <v>2018</v>
      </c>
      <c r="M177" s="2">
        <v>43061</v>
      </c>
    </row>
    <row r="178" spans="1:13" x14ac:dyDescent="0.25">
      <c r="A178" t="s">
        <v>12</v>
      </c>
      <c r="B178" s="2">
        <v>43165</v>
      </c>
      <c r="C178">
        <v>2018</v>
      </c>
      <c r="E178" t="s">
        <v>6</v>
      </c>
      <c r="F178">
        <v>89.9</v>
      </c>
      <c r="G178">
        <f t="shared" si="4"/>
        <v>89.9</v>
      </c>
      <c r="I178" s="5">
        <v>331</v>
      </c>
      <c r="J178">
        <f t="shared" si="5"/>
        <v>2018</v>
      </c>
      <c r="M178" s="2">
        <v>43070</v>
      </c>
    </row>
    <row r="179" spans="1:13" x14ac:dyDescent="0.25">
      <c r="A179" t="s">
        <v>12</v>
      </c>
      <c r="B179" s="2">
        <v>43165</v>
      </c>
      <c r="C179">
        <v>2018</v>
      </c>
      <c r="E179" t="s">
        <v>6</v>
      </c>
      <c r="F179">
        <v>87.6</v>
      </c>
      <c r="G179">
        <f t="shared" si="4"/>
        <v>87.6</v>
      </c>
      <c r="I179" s="5">
        <v>331</v>
      </c>
      <c r="J179">
        <f t="shared" si="5"/>
        <v>2018</v>
      </c>
      <c r="M179" s="2">
        <v>43064</v>
      </c>
    </row>
    <row r="180" spans="1:13" x14ac:dyDescent="0.25">
      <c r="A180" t="s">
        <v>12</v>
      </c>
      <c r="B180" s="2">
        <v>43179</v>
      </c>
      <c r="C180">
        <v>2018</v>
      </c>
      <c r="E180" t="s">
        <v>6</v>
      </c>
      <c r="F180">
        <v>93.2</v>
      </c>
      <c r="G180">
        <f t="shared" si="4"/>
        <v>93.2</v>
      </c>
      <c r="I180" s="5">
        <v>331</v>
      </c>
      <c r="J180">
        <f t="shared" si="5"/>
        <v>2018</v>
      </c>
      <c r="M180" s="2">
        <v>43068</v>
      </c>
    </row>
    <row r="181" spans="1:13" x14ac:dyDescent="0.25">
      <c r="A181" t="s">
        <v>12</v>
      </c>
      <c r="B181" s="2">
        <v>43179</v>
      </c>
      <c r="C181">
        <v>2018</v>
      </c>
      <c r="E181" t="s">
        <v>6</v>
      </c>
      <c r="F181">
        <v>90.1</v>
      </c>
      <c r="G181">
        <f t="shared" si="4"/>
        <v>90.1</v>
      </c>
      <c r="I181" s="5">
        <v>331</v>
      </c>
      <c r="J181">
        <f t="shared" si="5"/>
        <v>2018</v>
      </c>
      <c r="M181" s="2">
        <v>43065</v>
      </c>
    </row>
    <row r="182" spans="1:13" x14ac:dyDescent="0.25">
      <c r="A182" t="s">
        <v>12</v>
      </c>
      <c r="B182" s="2">
        <v>43195</v>
      </c>
      <c r="C182">
        <v>2018</v>
      </c>
      <c r="E182" t="s">
        <v>6</v>
      </c>
      <c r="F182">
        <v>102.3</v>
      </c>
      <c r="G182">
        <f t="shared" si="4"/>
        <v>102.3</v>
      </c>
      <c r="I182" s="5">
        <v>331</v>
      </c>
      <c r="J182">
        <f t="shared" si="5"/>
        <v>2018</v>
      </c>
      <c r="M182" s="2">
        <v>43060</v>
      </c>
    </row>
    <row r="183" spans="1:13" x14ac:dyDescent="0.25">
      <c r="A183" t="s">
        <v>12</v>
      </c>
      <c r="B183" s="2">
        <v>43195</v>
      </c>
      <c r="C183">
        <v>2018</v>
      </c>
      <c r="E183" t="s">
        <v>6</v>
      </c>
      <c r="F183">
        <v>98.2</v>
      </c>
      <c r="G183">
        <f t="shared" si="4"/>
        <v>98.2</v>
      </c>
      <c r="I183" s="5">
        <v>331</v>
      </c>
      <c r="J183">
        <f t="shared" si="5"/>
        <v>2018</v>
      </c>
      <c r="M183" s="2">
        <v>43065</v>
      </c>
    </row>
    <row r="184" spans="1:13" x14ac:dyDescent="0.25">
      <c r="A184" t="s">
        <v>12</v>
      </c>
      <c r="B184" s="2">
        <v>43201</v>
      </c>
      <c r="C184">
        <v>2018</v>
      </c>
      <c r="E184" t="s">
        <v>6</v>
      </c>
      <c r="F184">
        <v>105.5</v>
      </c>
      <c r="G184">
        <f t="shared" si="4"/>
        <v>105.5</v>
      </c>
      <c r="I184" s="5">
        <v>331</v>
      </c>
      <c r="J184">
        <f t="shared" si="5"/>
        <v>2018</v>
      </c>
      <c r="M184" s="2">
        <v>43061</v>
      </c>
    </row>
    <row r="185" spans="1:13" x14ac:dyDescent="0.25">
      <c r="A185" t="s">
        <v>12</v>
      </c>
      <c r="B185" s="2">
        <v>43201</v>
      </c>
      <c r="C185">
        <v>2018</v>
      </c>
      <c r="E185" t="s">
        <v>6</v>
      </c>
      <c r="F185">
        <v>98.8</v>
      </c>
      <c r="G185">
        <f t="shared" si="4"/>
        <v>98.8</v>
      </c>
      <c r="I185" s="5">
        <v>331</v>
      </c>
      <c r="J185">
        <f t="shared" si="5"/>
        <v>2018</v>
      </c>
      <c r="M185" s="2">
        <v>43070</v>
      </c>
    </row>
    <row r="186" spans="1:13" x14ac:dyDescent="0.25">
      <c r="A186" t="s">
        <v>12</v>
      </c>
      <c r="B186" s="2">
        <v>43209</v>
      </c>
      <c r="C186">
        <v>2018</v>
      </c>
      <c r="E186" t="s">
        <v>6</v>
      </c>
      <c r="F186">
        <v>110</v>
      </c>
      <c r="G186">
        <f t="shared" si="4"/>
        <v>110</v>
      </c>
      <c r="I186" s="5">
        <v>331</v>
      </c>
      <c r="J186">
        <f t="shared" si="5"/>
        <v>2018</v>
      </c>
      <c r="M186" s="2">
        <v>43064</v>
      </c>
    </row>
    <row r="187" spans="1:13" x14ac:dyDescent="0.25">
      <c r="A187" t="s">
        <v>12</v>
      </c>
      <c r="B187" s="2">
        <v>43209</v>
      </c>
      <c r="C187">
        <v>2018</v>
      </c>
      <c r="E187" t="s">
        <v>6</v>
      </c>
      <c r="F187">
        <v>99.3</v>
      </c>
      <c r="G187">
        <f t="shared" si="4"/>
        <v>99.3</v>
      </c>
      <c r="I187" s="5">
        <v>331</v>
      </c>
      <c r="J187">
        <f t="shared" si="5"/>
        <v>2018</v>
      </c>
      <c r="M187" s="2">
        <v>43068</v>
      </c>
    </row>
    <row r="188" spans="1:13" x14ac:dyDescent="0.25">
      <c r="A188" t="s">
        <v>12</v>
      </c>
      <c r="B188" s="2">
        <v>43215</v>
      </c>
      <c r="C188">
        <v>2018</v>
      </c>
      <c r="E188" t="s">
        <v>6</v>
      </c>
      <c r="F188">
        <v>113.2</v>
      </c>
      <c r="G188">
        <f t="shared" si="4"/>
        <v>113.2</v>
      </c>
      <c r="I188" s="5">
        <v>331</v>
      </c>
      <c r="J188">
        <f t="shared" si="5"/>
        <v>2018</v>
      </c>
      <c r="M188" s="2">
        <v>43065</v>
      </c>
    </row>
    <row r="189" spans="1:13" x14ac:dyDescent="0.25">
      <c r="A189" t="s">
        <v>12</v>
      </c>
      <c r="B189" s="2">
        <v>43215</v>
      </c>
      <c r="C189">
        <v>2018</v>
      </c>
      <c r="E189" t="s">
        <v>6</v>
      </c>
      <c r="F189">
        <v>106.4</v>
      </c>
      <c r="G189">
        <f t="shared" si="4"/>
        <v>106.4</v>
      </c>
      <c r="I189" s="5">
        <v>331</v>
      </c>
      <c r="J189">
        <f t="shared" si="5"/>
        <v>2018</v>
      </c>
      <c r="M189" s="2">
        <v>43060</v>
      </c>
    </row>
    <row r="190" spans="1:13" x14ac:dyDescent="0.25">
      <c r="A190" t="s">
        <v>12</v>
      </c>
      <c r="B190" s="2">
        <v>43221</v>
      </c>
      <c r="C190">
        <v>2018</v>
      </c>
      <c r="E190" t="s">
        <v>6</v>
      </c>
      <c r="F190">
        <v>117.6</v>
      </c>
      <c r="G190">
        <f t="shared" si="4"/>
        <v>117.6</v>
      </c>
      <c r="I190" s="5">
        <v>331</v>
      </c>
      <c r="J190">
        <f t="shared" si="5"/>
        <v>2018</v>
      </c>
      <c r="M190" s="2">
        <v>43065</v>
      </c>
    </row>
    <row r="191" spans="1:13" x14ac:dyDescent="0.25">
      <c r="A191" t="s">
        <v>12</v>
      </c>
      <c r="B191" s="2">
        <v>43221</v>
      </c>
      <c r="C191">
        <v>2018</v>
      </c>
      <c r="E191" t="s">
        <v>6</v>
      </c>
      <c r="F191">
        <v>109</v>
      </c>
      <c r="G191">
        <f t="shared" si="4"/>
        <v>109</v>
      </c>
      <c r="I191" s="5">
        <v>331</v>
      </c>
      <c r="J191">
        <f t="shared" si="5"/>
        <v>2018</v>
      </c>
      <c r="M191" s="2">
        <v>43061</v>
      </c>
    </row>
    <row r="192" spans="1:13" x14ac:dyDescent="0.25">
      <c r="A192" t="s">
        <v>12</v>
      </c>
      <c r="B192" s="2">
        <v>43235</v>
      </c>
      <c r="C192">
        <v>2018</v>
      </c>
      <c r="E192" t="s">
        <v>6</v>
      </c>
      <c r="F192">
        <v>115.1</v>
      </c>
      <c r="G192">
        <f t="shared" si="4"/>
        <v>115.1</v>
      </c>
      <c r="I192" s="5">
        <v>331</v>
      </c>
      <c r="J192">
        <f t="shared" si="5"/>
        <v>2018</v>
      </c>
      <c r="M192" s="2">
        <v>43070</v>
      </c>
    </row>
    <row r="193" spans="1:13" x14ac:dyDescent="0.25">
      <c r="A193" t="s">
        <v>12</v>
      </c>
      <c r="B193" s="2">
        <v>43235</v>
      </c>
      <c r="C193">
        <v>2018</v>
      </c>
      <c r="E193" t="s">
        <v>6</v>
      </c>
      <c r="F193">
        <v>108.3</v>
      </c>
      <c r="G193">
        <f t="shared" si="4"/>
        <v>108.3</v>
      </c>
      <c r="I193" s="5">
        <v>331</v>
      </c>
      <c r="J193">
        <f t="shared" si="5"/>
        <v>2018</v>
      </c>
      <c r="M193" s="2">
        <v>43064</v>
      </c>
    </row>
    <row r="194" spans="1:13" x14ac:dyDescent="0.25">
      <c r="A194" t="s">
        <v>12</v>
      </c>
      <c r="B194" s="2">
        <v>43249</v>
      </c>
      <c r="C194">
        <v>2018</v>
      </c>
      <c r="E194" t="s">
        <v>6</v>
      </c>
      <c r="F194">
        <v>114.4</v>
      </c>
      <c r="G194">
        <f t="shared" si="4"/>
        <v>114.4</v>
      </c>
      <c r="I194" s="5">
        <v>331</v>
      </c>
      <c r="J194">
        <f t="shared" si="5"/>
        <v>2018</v>
      </c>
      <c r="M194" s="2">
        <v>43068</v>
      </c>
    </row>
    <row r="195" spans="1:13" x14ac:dyDescent="0.25">
      <c r="A195" t="s">
        <v>12</v>
      </c>
      <c r="B195" s="2">
        <v>43249</v>
      </c>
      <c r="C195">
        <v>2018</v>
      </c>
      <c r="E195" t="s">
        <v>6</v>
      </c>
      <c r="F195">
        <v>105.5</v>
      </c>
      <c r="G195">
        <f t="shared" ref="G195:G258" si="6">F195</f>
        <v>105.5</v>
      </c>
      <c r="H195" t="s">
        <v>32</v>
      </c>
      <c r="I195" s="5">
        <v>331</v>
      </c>
      <c r="J195">
        <f t="shared" ref="J195:J258" si="7">YEAR(B195)</f>
        <v>2018</v>
      </c>
      <c r="M195" s="2">
        <v>43065</v>
      </c>
    </row>
    <row r="196" spans="1:13" x14ac:dyDescent="0.25">
      <c r="A196" t="s">
        <v>12</v>
      </c>
      <c r="B196" s="2">
        <v>43116</v>
      </c>
      <c r="C196">
        <v>2018</v>
      </c>
      <c r="E196" t="s">
        <v>6</v>
      </c>
      <c r="F196">
        <v>61.5</v>
      </c>
      <c r="G196">
        <f t="shared" si="6"/>
        <v>61.5</v>
      </c>
      <c r="I196" s="5">
        <v>330</v>
      </c>
      <c r="J196">
        <f t="shared" si="7"/>
        <v>2018</v>
      </c>
      <c r="M196" s="2">
        <v>43060</v>
      </c>
    </row>
    <row r="197" spans="1:13" x14ac:dyDescent="0.25">
      <c r="A197" t="s">
        <v>12</v>
      </c>
      <c r="B197" s="2">
        <v>43151</v>
      </c>
      <c r="C197">
        <v>2018</v>
      </c>
      <c r="E197" t="s">
        <v>6</v>
      </c>
      <c r="F197">
        <v>82.5</v>
      </c>
      <c r="G197">
        <f t="shared" si="6"/>
        <v>82.5</v>
      </c>
      <c r="I197" s="5">
        <v>330</v>
      </c>
      <c r="J197">
        <f t="shared" si="7"/>
        <v>2018</v>
      </c>
      <c r="M197" s="2">
        <v>43065</v>
      </c>
    </row>
    <row r="198" spans="1:13" x14ac:dyDescent="0.25">
      <c r="A198" t="s">
        <v>12</v>
      </c>
      <c r="B198" s="2">
        <v>43165</v>
      </c>
      <c r="C198">
        <v>2018</v>
      </c>
      <c r="E198" t="s">
        <v>6</v>
      </c>
      <c r="F198">
        <v>93.7</v>
      </c>
      <c r="G198">
        <f t="shared" si="6"/>
        <v>93.7</v>
      </c>
      <c r="I198" s="5">
        <v>330</v>
      </c>
      <c r="J198">
        <f t="shared" si="7"/>
        <v>2018</v>
      </c>
      <c r="M198" s="2">
        <v>43061</v>
      </c>
    </row>
    <row r="199" spans="1:13" x14ac:dyDescent="0.25">
      <c r="A199" t="s">
        <v>12</v>
      </c>
      <c r="B199" s="2">
        <v>43179</v>
      </c>
      <c r="C199">
        <v>2018</v>
      </c>
      <c r="E199" t="s">
        <v>6</v>
      </c>
      <c r="F199">
        <v>95.8</v>
      </c>
      <c r="G199">
        <f t="shared" si="6"/>
        <v>95.8</v>
      </c>
      <c r="H199" s="5"/>
      <c r="I199" s="5">
        <v>330</v>
      </c>
      <c r="J199">
        <f t="shared" si="7"/>
        <v>2018</v>
      </c>
      <c r="M199" s="2">
        <v>43070</v>
      </c>
    </row>
    <row r="200" spans="1:13" x14ac:dyDescent="0.25">
      <c r="A200" t="s">
        <v>12</v>
      </c>
      <c r="B200" s="2">
        <v>43194</v>
      </c>
      <c r="C200">
        <v>2018</v>
      </c>
      <c r="E200" t="s">
        <v>6</v>
      </c>
      <c r="F200">
        <v>105.4</v>
      </c>
      <c r="G200">
        <f t="shared" si="6"/>
        <v>105.4</v>
      </c>
      <c r="I200" s="5">
        <v>330</v>
      </c>
      <c r="J200">
        <f t="shared" si="7"/>
        <v>2018</v>
      </c>
      <c r="M200" s="2">
        <v>43064</v>
      </c>
    </row>
    <row r="201" spans="1:13" x14ac:dyDescent="0.25">
      <c r="A201" t="s">
        <v>12</v>
      </c>
      <c r="B201" s="2">
        <v>43201</v>
      </c>
      <c r="C201">
        <v>2018</v>
      </c>
      <c r="E201" t="s">
        <v>6</v>
      </c>
      <c r="F201">
        <v>106.4</v>
      </c>
      <c r="G201">
        <f t="shared" si="6"/>
        <v>106.4</v>
      </c>
      <c r="I201" s="5">
        <v>330</v>
      </c>
      <c r="J201">
        <f t="shared" si="7"/>
        <v>2018</v>
      </c>
      <c r="M201" s="2">
        <v>43068</v>
      </c>
    </row>
    <row r="202" spans="1:13" x14ac:dyDescent="0.25">
      <c r="A202" t="s">
        <v>12</v>
      </c>
      <c r="B202" s="2">
        <v>43209</v>
      </c>
      <c r="C202">
        <v>2018</v>
      </c>
      <c r="E202" t="s">
        <v>6</v>
      </c>
      <c r="F202">
        <v>108.9</v>
      </c>
      <c r="G202">
        <f t="shared" si="6"/>
        <v>108.9</v>
      </c>
      <c r="I202" s="5">
        <v>330</v>
      </c>
      <c r="J202">
        <f t="shared" si="7"/>
        <v>2018</v>
      </c>
      <c r="M202" s="2">
        <v>43065</v>
      </c>
    </row>
    <row r="203" spans="1:13" x14ac:dyDescent="0.25">
      <c r="A203" t="s">
        <v>12</v>
      </c>
      <c r="B203" s="2">
        <v>43215</v>
      </c>
      <c r="C203">
        <v>2018</v>
      </c>
      <c r="E203" t="s">
        <v>6</v>
      </c>
      <c r="F203">
        <v>112.6</v>
      </c>
      <c r="G203">
        <f t="shared" si="6"/>
        <v>112.6</v>
      </c>
      <c r="I203" s="5">
        <v>330</v>
      </c>
      <c r="J203">
        <f t="shared" si="7"/>
        <v>2018</v>
      </c>
      <c r="M203" s="2">
        <v>43068</v>
      </c>
    </row>
    <row r="204" spans="1:13" x14ac:dyDescent="0.25">
      <c r="A204" t="s">
        <v>12</v>
      </c>
      <c r="B204" s="2">
        <v>43221</v>
      </c>
      <c r="C204">
        <v>2018</v>
      </c>
      <c r="E204" t="s">
        <v>6</v>
      </c>
      <c r="F204">
        <v>116.3</v>
      </c>
      <c r="G204">
        <f t="shared" si="6"/>
        <v>116.3</v>
      </c>
      <c r="I204" s="5">
        <v>330</v>
      </c>
      <c r="J204">
        <f t="shared" si="7"/>
        <v>2018</v>
      </c>
      <c r="M204" s="2">
        <v>43060</v>
      </c>
    </row>
    <row r="205" spans="1:13" x14ac:dyDescent="0.25">
      <c r="A205" t="s">
        <v>12</v>
      </c>
      <c r="B205" s="2">
        <v>43235</v>
      </c>
      <c r="C205">
        <v>2018</v>
      </c>
      <c r="E205" t="s">
        <v>6</v>
      </c>
      <c r="F205">
        <v>115.2</v>
      </c>
      <c r="G205">
        <f t="shared" si="6"/>
        <v>115.2</v>
      </c>
      <c r="I205" s="5">
        <v>330</v>
      </c>
      <c r="J205">
        <f t="shared" si="7"/>
        <v>2018</v>
      </c>
      <c r="M205" s="2">
        <v>43065</v>
      </c>
    </row>
    <row r="206" spans="1:13" x14ac:dyDescent="0.25">
      <c r="A206" t="s">
        <v>12</v>
      </c>
      <c r="B206" s="2">
        <v>43249</v>
      </c>
      <c r="C206">
        <v>2018</v>
      </c>
      <c r="E206" t="s">
        <v>6</v>
      </c>
      <c r="F206">
        <v>115.4</v>
      </c>
      <c r="G206">
        <f t="shared" si="6"/>
        <v>115.4</v>
      </c>
      <c r="H206" t="s">
        <v>32</v>
      </c>
      <c r="I206" s="5">
        <v>330</v>
      </c>
      <c r="J206">
        <f t="shared" si="7"/>
        <v>2018</v>
      </c>
      <c r="M206" s="2">
        <v>43061</v>
      </c>
    </row>
    <row r="207" spans="1:13" x14ac:dyDescent="0.25">
      <c r="A207" t="s">
        <v>12</v>
      </c>
      <c r="B207" s="2">
        <v>43115</v>
      </c>
      <c r="C207">
        <v>2018</v>
      </c>
      <c r="E207" t="s">
        <v>6</v>
      </c>
      <c r="F207">
        <v>59.6</v>
      </c>
      <c r="G207">
        <f t="shared" si="6"/>
        <v>59.6</v>
      </c>
      <c r="I207" s="5">
        <v>331</v>
      </c>
      <c r="J207">
        <f t="shared" si="7"/>
        <v>2018</v>
      </c>
      <c r="M207" s="2">
        <v>43070</v>
      </c>
    </row>
    <row r="208" spans="1:13" x14ac:dyDescent="0.25">
      <c r="A208" t="s">
        <v>12</v>
      </c>
      <c r="B208" s="2">
        <v>43115</v>
      </c>
      <c r="C208">
        <v>2018</v>
      </c>
      <c r="E208" t="s">
        <v>6</v>
      </c>
      <c r="F208">
        <v>67.7</v>
      </c>
      <c r="G208">
        <f t="shared" si="6"/>
        <v>67.7</v>
      </c>
      <c r="I208" s="5">
        <v>331</v>
      </c>
      <c r="J208">
        <f t="shared" si="7"/>
        <v>2018</v>
      </c>
      <c r="M208" s="2">
        <v>43064</v>
      </c>
    </row>
    <row r="209" spans="1:13" x14ac:dyDescent="0.25">
      <c r="A209" t="s">
        <v>12</v>
      </c>
      <c r="B209" s="2">
        <v>43116</v>
      </c>
      <c r="C209">
        <v>2018</v>
      </c>
      <c r="E209" t="s">
        <v>6</v>
      </c>
      <c r="F209">
        <v>63.1</v>
      </c>
      <c r="G209">
        <f t="shared" si="6"/>
        <v>63.1</v>
      </c>
      <c r="I209" s="5">
        <v>331</v>
      </c>
      <c r="J209">
        <f t="shared" si="7"/>
        <v>2018</v>
      </c>
      <c r="M209" s="2">
        <v>43065</v>
      </c>
    </row>
    <row r="210" spans="1:13" x14ac:dyDescent="0.25">
      <c r="A210" t="s">
        <v>12</v>
      </c>
      <c r="B210" s="2">
        <v>43116</v>
      </c>
      <c r="C210">
        <v>2018</v>
      </c>
      <c r="E210" t="s">
        <v>6</v>
      </c>
      <c r="F210">
        <v>68.400000000000006</v>
      </c>
      <c r="G210">
        <f t="shared" si="6"/>
        <v>68.400000000000006</v>
      </c>
      <c r="I210" s="5">
        <v>331</v>
      </c>
      <c r="J210">
        <f t="shared" si="7"/>
        <v>2018</v>
      </c>
      <c r="M210" s="2">
        <v>43060</v>
      </c>
    </row>
    <row r="211" spans="1:13" x14ac:dyDescent="0.25">
      <c r="A211" t="s">
        <v>12</v>
      </c>
      <c r="B211" s="2">
        <v>43150</v>
      </c>
      <c r="C211">
        <v>2018</v>
      </c>
      <c r="E211" t="s">
        <v>6</v>
      </c>
      <c r="F211">
        <v>81.5</v>
      </c>
      <c r="G211">
        <f t="shared" si="6"/>
        <v>81.5</v>
      </c>
      <c r="I211" s="5">
        <v>331</v>
      </c>
      <c r="J211">
        <f t="shared" si="7"/>
        <v>2018</v>
      </c>
      <c r="M211" s="2">
        <v>43065</v>
      </c>
    </row>
    <row r="212" spans="1:13" x14ac:dyDescent="0.25">
      <c r="A212" t="s">
        <v>12</v>
      </c>
      <c r="B212" s="2">
        <v>43150</v>
      </c>
      <c r="C212">
        <v>2018</v>
      </c>
      <c r="E212" t="s">
        <v>6</v>
      </c>
      <c r="F212">
        <v>88</v>
      </c>
      <c r="G212">
        <f t="shared" si="6"/>
        <v>88</v>
      </c>
      <c r="I212" s="5">
        <v>331</v>
      </c>
      <c r="J212">
        <f t="shared" si="7"/>
        <v>2018</v>
      </c>
      <c r="M212" s="2">
        <v>43061</v>
      </c>
    </row>
    <row r="213" spans="1:13" x14ac:dyDescent="0.25">
      <c r="A213" t="s">
        <v>12</v>
      </c>
      <c r="B213" s="2">
        <v>43151</v>
      </c>
      <c r="C213">
        <v>2018</v>
      </c>
      <c r="E213" t="s">
        <v>6</v>
      </c>
      <c r="F213">
        <v>77.2</v>
      </c>
      <c r="G213">
        <f t="shared" si="6"/>
        <v>77.2</v>
      </c>
      <c r="I213" s="5">
        <v>331</v>
      </c>
      <c r="J213">
        <f t="shared" si="7"/>
        <v>2018</v>
      </c>
      <c r="M213" s="2">
        <v>43070</v>
      </c>
    </row>
    <row r="214" spans="1:13" x14ac:dyDescent="0.25">
      <c r="A214" t="s">
        <v>12</v>
      </c>
      <c r="B214" s="2">
        <v>43151</v>
      </c>
      <c r="C214">
        <v>2018</v>
      </c>
      <c r="E214" t="s">
        <v>6</v>
      </c>
      <c r="F214">
        <v>84.2</v>
      </c>
      <c r="G214">
        <f t="shared" si="6"/>
        <v>84.2</v>
      </c>
      <c r="I214" s="5">
        <v>331</v>
      </c>
      <c r="J214">
        <f t="shared" si="7"/>
        <v>2018</v>
      </c>
      <c r="M214" s="2">
        <v>43064</v>
      </c>
    </row>
    <row r="215" spans="1:13" x14ac:dyDescent="0.25">
      <c r="A215" t="s">
        <v>12</v>
      </c>
      <c r="B215" s="2">
        <v>43164</v>
      </c>
      <c r="C215">
        <v>2018</v>
      </c>
      <c r="E215" t="s">
        <v>6</v>
      </c>
      <c r="F215">
        <v>88.9</v>
      </c>
      <c r="G215">
        <f t="shared" si="6"/>
        <v>88.9</v>
      </c>
      <c r="I215" s="5">
        <v>331</v>
      </c>
      <c r="J215">
        <f t="shared" si="7"/>
        <v>2018</v>
      </c>
      <c r="M215" s="2">
        <v>43068</v>
      </c>
    </row>
    <row r="216" spans="1:13" x14ac:dyDescent="0.25">
      <c r="A216" t="s">
        <v>12</v>
      </c>
      <c r="B216" s="2">
        <v>43164</v>
      </c>
      <c r="C216">
        <v>2018</v>
      </c>
      <c r="E216" t="s">
        <v>6</v>
      </c>
      <c r="F216">
        <v>93.5</v>
      </c>
      <c r="G216">
        <f t="shared" si="6"/>
        <v>93.5</v>
      </c>
      <c r="I216" s="5">
        <v>331</v>
      </c>
      <c r="J216">
        <f t="shared" si="7"/>
        <v>2018</v>
      </c>
      <c r="M216" s="2">
        <v>43065</v>
      </c>
    </row>
    <row r="217" spans="1:13" x14ac:dyDescent="0.25">
      <c r="A217" t="s">
        <v>12</v>
      </c>
      <c r="B217" s="2">
        <v>43165</v>
      </c>
      <c r="C217">
        <v>2018</v>
      </c>
      <c r="E217" t="s">
        <v>6</v>
      </c>
      <c r="F217">
        <v>88.1</v>
      </c>
      <c r="G217">
        <f t="shared" si="6"/>
        <v>88.1</v>
      </c>
      <c r="I217" s="5">
        <v>331</v>
      </c>
      <c r="J217">
        <f t="shared" si="7"/>
        <v>2018</v>
      </c>
      <c r="M217" s="2">
        <v>43060</v>
      </c>
    </row>
    <row r="218" spans="1:13" x14ac:dyDescent="0.25">
      <c r="A218" t="s">
        <v>12</v>
      </c>
      <c r="B218" s="2">
        <v>43165</v>
      </c>
      <c r="C218">
        <v>2018</v>
      </c>
      <c r="E218" t="s">
        <v>6</v>
      </c>
      <c r="F218">
        <v>94.7</v>
      </c>
      <c r="G218">
        <f t="shared" si="6"/>
        <v>94.7</v>
      </c>
      <c r="I218" s="5">
        <v>331</v>
      </c>
      <c r="J218">
        <f t="shared" si="7"/>
        <v>2018</v>
      </c>
      <c r="M218" s="2">
        <v>43065</v>
      </c>
    </row>
    <row r="219" spans="1:13" x14ac:dyDescent="0.25">
      <c r="A219" t="s">
        <v>12</v>
      </c>
      <c r="B219" s="2">
        <v>43178</v>
      </c>
      <c r="C219">
        <v>2018</v>
      </c>
      <c r="E219" t="s">
        <v>6</v>
      </c>
      <c r="F219">
        <v>92.8</v>
      </c>
      <c r="G219">
        <f t="shared" si="6"/>
        <v>92.8</v>
      </c>
      <c r="I219" s="5">
        <v>331</v>
      </c>
      <c r="J219">
        <f t="shared" si="7"/>
        <v>2018</v>
      </c>
      <c r="M219" s="2">
        <v>43061</v>
      </c>
    </row>
    <row r="220" spans="1:13" x14ac:dyDescent="0.25">
      <c r="A220" t="s">
        <v>12</v>
      </c>
      <c r="B220" s="2">
        <v>43178</v>
      </c>
      <c r="C220">
        <v>2018</v>
      </c>
      <c r="E220" t="s">
        <v>6</v>
      </c>
      <c r="F220">
        <v>100.4</v>
      </c>
      <c r="G220">
        <f t="shared" si="6"/>
        <v>100.4</v>
      </c>
      <c r="H220" s="5"/>
      <c r="I220" s="5">
        <v>331</v>
      </c>
      <c r="J220">
        <f t="shared" si="7"/>
        <v>2018</v>
      </c>
      <c r="M220" s="2">
        <v>43070</v>
      </c>
    </row>
    <row r="221" spans="1:13" x14ac:dyDescent="0.25">
      <c r="A221" t="s">
        <v>12</v>
      </c>
      <c r="B221" s="2">
        <v>43179</v>
      </c>
      <c r="C221">
        <v>2018</v>
      </c>
      <c r="E221" t="s">
        <v>6</v>
      </c>
      <c r="F221">
        <v>93.1</v>
      </c>
      <c r="G221">
        <f t="shared" si="6"/>
        <v>93.1</v>
      </c>
      <c r="I221" s="5">
        <v>331</v>
      </c>
      <c r="J221">
        <f t="shared" si="7"/>
        <v>2018</v>
      </c>
      <c r="M221" s="2">
        <v>43064</v>
      </c>
    </row>
    <row r="222" spans="1:13" x14ac:dyDescent="0.25">
      <c r="A222" t="s">
        <v>12</v>
      </c>
      <c r="B222" s="2">
        <v>43179</v>
      </c>
      <c r="C222">
        <v>2018</v>
      </c>
      <c r="E222" t="s">
        <v>6</v>
      </c>
      <c r="F222">
        <v>96.3</v>
      </c>
      <c r="G222">
        <f t="shared" si="6"/>
        <v>96.3</v>
      </c>
      <c r="I222" s="5">
        <v>331</v>
      </c>
      <c r="J222">
        <f t="shared" si="7"/>
        <v>2018</v>
      </c>
      <c r="M222" s="2">
        <v>43068</v>
      </c>
    </row>
    <row r="223" spans="1:13" x14ac:dyDescent="0.25">
      <c r="A223" t="s">
        <v>12</v>
      </c>
      <c r="B223" s="2">
        <v>43194</v>
      </c>
      <c r="C223">
        <v>2018</v>
      </c>
      <c r="E223" t="s">
        <v>6</v>
      </c>
      <c r="F223">
        <v>102.6</v>
      </c>
      <c r="G223">
        <f t="shared" si="6"/>
        <v>102.6</v>
      </c>
      <c r="I223" s="5">
        <v>331</v>
      </c>
      <c r="J223">
        <f t="shared" si="7"/>
        <v>2018</v>
      </c>
      <c r="M223" s="2">
        <v>43065</v>
      </c>
    </row>
    <row r="224" spans="1:13" x14ac:dyDescent="0.25">
      <c r="A224" t="s">
        <v>12</v>
      </c>
      <c r="B224" s="2">
        <v>43194</v>
      </c>
      <c r="C224">
        <v>2018</v>
      </c>
      <c r="E224" t="s">
        <v>6</v>
      </c>
      <c r="F224">
        <v>110.1</v>
      </c>
      <c r="G224">
        <f t="shared" si="6"/>
        <v>110.1</v>
      </c>
      <c r="I224" s="5">
        <v>331</v>
      </c>
      <c r="J224">
        <f t="shared" si="7"/>
        <v>2018</v>
      </c>
      <c r="M224" s="2">
        <v>43061</v>
      </c>
    </row>
    <row r="225" spans="1:13" x14ac:dyDescent="0.25">
      <c r="A225" t="s">
        <v>12</v>
      </c>
      <c r="B225" s="2">
        <v>43195</v>
      </c>
      <c r="C225">
        <v>2018</v>
      </c>
      <c r="E225" t="s">
        <v>6</v>
      </c>
      <c r="F225">
        <v>98.9</v>
      </c>
      <c r="G225">
        <f t="shared" si="6"/>
        <v>98.9</v>
      </c>
      <c r="I225" s="5">
        <v>331</v>
      </c>
      <c r="J225">
        <f t="shared" si="7"/>
        <v>2018</v>
      </c>
      <c r="M225" s="2">
        <v>43065</v>
      </c>
    </row>
    <row r="226" spans="1:13" x14ac:dyDescent="0.25">
      <c r="A226" t="s">
        <v>12</v>
      </c>
      <c r="B226" s="2">
        <v>43195</v>
      </c>
      <c r="C226">
        <v>2018</v>
      </c>
      <c r="E226" t="s">
        <v>6</v>
      </c>
      <c r="F226">
        <v>105.7</v>
      </c>
      <c r="G226">
        <f t="shared" si="6"/>
        <v>105.7</v>
      </c>
      <c r="I226" s="5">
        <v>331</v>
      </c>
      <c r="J226">
        <f t="shared" si="7"/>
        <v>2018</v>
      </c>
      <c r="M226" s="2">
        <v>43070</v>
      </c>
    </row>
    <row r="227" spans="1:13" x14ac:dyDescent="0.25">
      <c r="A227" t="s">
        <v>12</v>
      </c>
      <c r="B227" s="2">
        <v>43200</v>
      </c>
      <c r="C227">
        <v>2018</v>
      </c>
      <c r="E227" t="s">
        <v>6</v>
      </c>
      <c r="F227">
        <v>100.4</v>
      </c>
      <c r="G227">
        <f t="shared" si="6"/>
        <v>100.4</v>
      </c>
      <c r="I227" s="5">
        <v>331</v>
      </c>
      <c r="J227">
        <f t="shared" si="7"/>
        <v>2018</v>
      </c>
      <c r="M227" s="2">
        <v>43064</v>
      </c>
    </row>
    <row r="228" spans="1:13" x14ac:dyDescent="0.25">
      <c r="A228" t="s">
        <v>12</v>
      </c>
      <c r="B228" s="2">
        <v>43200</v>
      </c>
      <c r="C228">
        <v>2018</v>
      </c>
      <c r="E228" t="s">
        <v>6</v>
      </c>
      <c r="F228">
        <v>111.8</v>
      </c>
      <c r="G228">
        <f t="shared" si="6"/>
        <v>111.8</v>
      </c>
      <c r="I228" s="5">
        <v>331</v>
      </c>
      <c r="J228">
        <f t="shared" si="7"/>
        <v>2018</v>
      </c>
      <c r="M228" s="2">
        <v>43068</v>
      </c>
    </row>
    <row r="229" spans="1:13" x14ac:dyDescent="0.25">
      <c r="A229" t="s">
        <v>12</v>
      </c>
      <c r="B229" s="2">
        <v>43201</v>
      </c>
      <c r="C229">
        <v>2018</v>
      </c>
      <c r="E229" t="s">
        <v>6</v>
      </c>
      <c r="F229">
        <v>100.7</v>
      </c>
      <c r="G229">
        <f t="shared" si="6"/>
        <v>100.7</v>
      </c>
      <c r="I229" s="5">
        <v>331</v>
      </c>
      <c r="J229">
        <f t="shared" si="7"/>
        <v>2018</v>
      </c>
      <c r="M229" s="2">
        <v>43060</v>
      </c>
    </row>
    <row r="230" spans="1:13" x14ac:dyDescent="0.25">
      <c r="A230" t="s">
        <v>12</v>
      </c>
      <c r="B230" s="2">
        <v>43201</v>
      </c>
      <c r="C230">
        <v>2018</v>
      </c>
      <c r="E230" t="s">
        <v>6</v>
      </c>
      <c r="F230">
        <v>109.4</v>
      </c>
      <c r="G230">
        <f t="shared" si="6"/>
        <v>109.4</v>
      </c>
      <c r="I230" s="5">
        <v>331</v>
      </c>
      <c r="J230">
        <f t="shared" si="7"/>
        <v>2018</v>
      </c>
      <c r="M230" s="2">
        <v>43065</v>
      </c>
    </row>
    <row r="231" spans="1:13" x14ac:dyDescent="0.25">
      <c r="A231" t="s">
        <v>12</v>
      </c>
      <c r="B231" s="2">
        <v>43206</v>
      </c>
      <c r="C231">
        <v>2018</v>
      </c>
      <c r="E231" t="s">
        <v>6</v>
      </c>
      <c r="F231">
        <v>102.3</v>
      </c>
      <c r="G231">
        <f t="shared" si="6"/>
        <v>102.3</v>
      </c>
      <c r="I231" s="5">
        <v>331</v>
      </c>
      <c r="J231">
        <f t="shared" si="7"/>
        <v>2018</v>
      </c>
      <c r="M231" s="2">
        <v>43061</v>
      </c>
    </row>
    <row r="232" spans="1:13" x14ac:dyDescent="0.25">
      <c r="A232" t="s">
        <v>12</v>
      </c>
      <c r="B232" s="2">
        <v>43206</v>
      </c>
      <c r="C232">
        <v>2018</v>
      </c>
      <c r="E232" t="s">
        <v>6</v>
      </c>
      <c r="F232">
        <v>111.2</v>
      </c>
      <c r="G232">
        <f t="shared" si="6"/>
        <v>111.2</v>
      </c>
      <c r="I232" s="5">
        <v>331</v>
      </c>
      <c r="J232">
        <f t="shared" si="7"/>
        <v>2018</v>
      </c>
      <c r="M232" s="2">
        <v>43065</v>
      </c>
    </row>
    <row r="233" spans="1:13" x14ac:dyDescent="0.25">
      <c r="A233" t="s">
        <v>12</v>
      </c>
      <c r="B233" s="2">
        <v>43209</v>
      </c>
      <c r="C233">
        <v>2018</v>
      </c>
      <c r="E233" t="s">
        <v>6</v>
      </c>
      <c r="F233">
        <v>103.4</v>
      </c>
      <c r="G233">
        <f t="shared" si="6"/>
        <v>103.4</v>
      </c>
      <c r="I233" s="5">
        <v>331</v>
      </c>
      <c r="J233">
        <f t="shared" si="7"/>
        <v>2018</v>
      </c>
      <c r="M233" s="2">
        <v>43070</v>
      </c>
    </row>
    <row r="234" spans="1:13" x14ac:dyDescent="0.25">
      <c r="A234" t="s">
        <v>12</v>
      </c>
      <c r="B234" s="2">
        <v>43209</v>
      </c>
      <c r="C234">
        <v>2018</v>
      </c>
      <c r="E234" t="s">
        <v>6</v>
      </c>
      <c r="F234">
        <v>114.4</v>
      </c>
      <c r="G234">
        <f t="shared" si="6"/>
        <v>114.4</v>
      </c>
      <c r="I234" s="5">
        <v>331</v>
      </c>
      <c r="J234">
        <f t="shared" si="7"/>
        <v>2018</v>
      </c>
      <c r="M234" s="2">
        <v>43064</v>
      </c>
    </row>
    <row r="235" spans="1:13" x14ac:dyDescent="0.25">
      <c r="A235" t="s">
        <v>12</v>
      </c>
      <c r="B235" s="2">
        <v>43215</v>
      </c>
      <c r="C235">
        <v>2018</v>
      </c>
      <c r="E235" t="s">
        <v>6</v>
      </c>
      <c r="F235">
        <v>100.7</v>
      </c>
      <c r="G235">
        <f t="shared" si="6"/>
        <v>100.7</v>
      </c>
      <c r="I235" s="5">
        <v>331</v>
      </c>
      <c r="J235">
        <f t="shared" si="7"/>
        <v>2018</v>
      </c>
      <c r="M235" s="2">
        <v>43068</v>
      </c>
    </row>
    <row r="236" spans="1:13" x14ac:dyDescent="0.25">
      <c r="A236" t="s">
        <v>12</v>
      </c>
      <c r="B236" s="2">
        <v>43215</v>
      </c>
      <c r="C236">
        <v>2018</v>
      </c>
      <c r="E236" t="s">
        <v>6</v>
      </c>
      <c r="F236">
        <v>106.2</v>
      </c>
      <c r="G236">
        <f t="shared" si="6"/>
        <v>106.2</v>
      </c>
      <c r="I236" s="5">
        <v>331</v>
      </c>
      <c r="J236">
        <f t="shared" si="7"/>
        <v>2018</v>
      </c>
      <c r="M236" s="2">
        <v>43060</v>
      </c>
    </row>
    <row r="237" spans="1:13" x14ac:dyDescent="0.25">
      <c r="A237" t="s">
        <v>12</v>
      </c>
      <c r="B237" s="2">
        <v>43215</v>
      </c>
      <c r="C237">
        <v>2018</v>
      </c>
      <c r="E237" t="s">
        <v>6</v>
      </c>
      <c r="F237">
        <v>118.2</v>
      </c>
      <c r="G237">
        <f t="shared" si="6"/>
        <v>118.2</v>
      </c>
      <c r="I237" s="5">
        <v>331</v>
      </c>
      <c r="J237">
        <f t="shared" si="7"/>
        <v>2018</v>
      </c>
      <c r="M237" s="2">
        <v>43065</v>
      </c>
    </row>
    <row r="238" spans="1:13" x14ac:dyDescent="0.25">
      <c r="A238" t="s">
        <v>12</v>
      </c>
      <c r="B238" s="2">
        <v>43215</v>
      </c>
      <c r="C238">
        <v>2018</v>
      </c>
      <c r="E238" t="s">
        <v>6</v>
      </c>
      <c r="F238">
        <v>114.1</v>
      </c>
      <c r="G238">
        <f t="shared" si="6"/>
        <v>114.1</v>
      </c>
      <c r="I238" s="5">
        <v>331</v>
      </c>
      <c r="J238">
        <f t="shared" si="7"/>
        <v>2018</v>
      </c>
      <c r="M238" s="2">
        <v>43060</v>
      </c>
    </row>
    <row r="239" spans="1:13" x14ac:dyDescent="0.25">
      <c r="A239" t="s">
        <v>12</v>
      </c>
      <c r="B239" s="2">
        <v>43221</v>
      </c>
      <c r="C239">
        <v>2018</v>
      </c>
      <c r="E239" t="s">
        <v>6</v>
      </c>
      <c r="F239">
        <v>109.9</v>
      </c>
      <c r="G239">
        <f t="shared" si="6"/>
        <v>109.9</v>
      </c>
      <c r="I239" s="5">
        <v>331</v>
      </c>
      <c r="J239">
        <f t="shared" si="7"/>
        <v>2018</v>
      </c>
      <c r="M239" s="2">
        <v>43065</v>
      </c>
    </row>
    <row r="240" spans="1:13" x14ac:dyDescent="0.25">
      <c r="A240" t="s">
        <v>12</v>
      </c>
      <c r="B240" s="2">
        <v>43221</v>
      </c>
      <c r="C240">
        <v>2018</v>
      </c>
      <c r="E240" t="s">
        <v>6</v>
      </c>
      <c r="F240">
        <v>114.4</v>
      </c>
      <c r="G240">
        <f t="shared" si="6"/>
        <v>114.4</v>
      </c>
      <c r="I240" s="5">
        <v>331</v>
      </c>
      <c r="J240">
        <f t="shared" si="7"/>
        <v>2018</v>
      </c>
      <c r="M240" s="2">
        <v>43061</v>
      </c>
    </row>
    <row r="241" spans="1:13" x14ac:dyDescent="0.25">
      <c r="A241" t="s">
        <v>12</v>
      </c>
      <c r="B241" s="2">
        <v>43221</v>
      </c>
      <c r="C241">
        <v>2018</v>
      </c>
      <c r="E241" t="s">
        <v>6</v>
      </c>
      <c r="F241">
        <v>118.9</v>
      </c>
      <c r="G241">
        <f t="shared" si="6"/>
        <v>118.9</v>
      </c>
      <c r="I241" s="5">
        <v>331</v>
      </c>
      <c r="J241">
        <f t="shared" si="7"/>
        <v>2018</v>
      </c>
      <c r="M241" s="2">
        <v>43070</v>
      </c>
    </row>
    <row r="242" spans="1:13" x14ac:dyDescent="0.25">
      <c r="A242" t="s">
        <v>12</v>
      </c>
      <c r="B242" s="2">
        <v>43221</v>
      </c>
      <c r="C242">
        <v>2018</v>
      </c>
      <c r="E242" t="s">
        <v>6</v>
      </c>
      <c r="F242">
        <v>120.6</v>
      </c>
      <c r="G242">
        <f t="shared" si="6"/>
        <v>120.6</v>
      </c>
      <c r="I242" s="5">
        <v>331</v>
      </c>
      <c r="J242">
        <f t="shared" si="7"/>
        <v>2018</v>
      </c>
      <c r="M242" s="2">
        <v>43064</v>
      </c>
    </row>
    <row r="243" spans="1:13" x14ac:dyDescent="0.25">
      <c r="A243" t="s">
        <v>12</v>
      </c>
      <c r="B243" s="2">
        <v>43234</v>
      </c>
      <c r="C243">
        <v>2018</v>
      </c>
      <c r="E243" t="s">
        <v>6</v>
      </c>
      <c r="F243">
        <v>109.5</v>
      </c>
      <c r="G243">
        <f t="shared" si="6"/>
        <v>109.5</v>
      </c>
      <c r="I243" s="5">
        <v>331</v>
      </c>
      <c r="J243">
        <f t="shared" si="7"/>
        <v>2018</v>
      </c>
      <c r="M243" s="2">
        <v>43068</v>
      </c>
    </row>
    <row r="244" spans="1:13" x14ac:dyDescent="0.25">
      <c r="A244" t="s">
        <v>12</v>
      </c>
      <c r="B244" s="2">
        <v>43234</v>
      </c>
      <c r="C244">
        <v>2018</v>
      </c>
      <c r="E244" t="s">
        <v>6</v>
      </c>
      <c r="F244">
        <v>118.4</v>
      </c>
      <c r="G244">
        <f t="shared" si="6"/>
        <v>118.4</v>
      </c>
      <c r="I244" s="5">
        <v>331</v>
      </c>
      <c r="J244">
        <f t="shared" si="7"/>
        <v>2018</v>
      </c>
      <c r="M244" s="2">
        <v>43065</v>
      </c>
    </row>
    <row r="245" spans="1:13" x14ac:dyDescent="0.25">
      <c r="A245" t="s">
        <v>12</v>
      </c>
      <c r="B245" s="2">
        <v>43235</v>
      </c>
      <c r="C245">
        <v>2018</v>
      </c>
      <c r="E245" t="s">
        <v>6</v>
      </c>
      <c r="F245">
        <v>107</v>
      </c>
      <c r="G245">
        <f t="shared" si="6"/>
        <v>107</v>
      </c>
      <c r="I245" s="5">
        <v>331</v>
      </c>
      <c r="J245">
        <f t="shared" si="7"/>
        <v>2018</v>
      </c>
      <c r="M245" s="2">
        <v>43060</v>
      </c>
    </row>
    <row r="246" spans="1:13" x14ac:dyDescent="0.25">
      <c r="A246" t="s">
        <v>12</v>
      </c>
      <c r="B246" s="2">
        <v>43235</v>
      </c>
      <c r="C246">
        <v>2018</v>
      </c>
      <c r="E246" t="s">
        <v>6</v>
      </c>
      <c r="F246">
        <v>116.6</v>
      </c>
      <c r="G246">
        <f t="shared" si="6"/>
        <v>116.6</v>
      </c>
      <c r="I246" s="5">
        <v>331</v>
      </c>
      <c r="J246">
        <f t="shared" si="7"/>
        <v>2018</v>
      </c>
      <c r="M246" s="2">
        <v>43065</v>
      </c>
    </row>
    <row r="247" spans="1:13" x14ac:dyDescent="0.25">
      <c r="A247" t="s">
        <v>12</v>
      </c>
      <c r="B247" s="2">
        <v>43248</v>
      </c>
      <c r="C247">
        <v>2018</v>
      </c>
      <c r="E247" t="s">
        <v>6</v>
      </c>
      <c r="F247">
        <v>112.9</v>
      </c>
      <c r="G247">
        <f t="shared" si="6"/>
        <v>112.9</v>
      </c>
      <c r="I247" s="5">
        <v>331</v>
      </c>
      <c r="J247">
        <f t="shared" si="7"/>
        <v>2018</v>
      </c>
      <c r="M247" s="2">
        <v>43061</v>
      </c>
    </row>
    <row r="248" spans="1:13" x14ac:dyDescent="0.25">
      <c r="A248" t="s">
        <v>12</v>
      </c>
      <c r="B248" s="2">
        <v>43248</v>
      </c>
      <c r="C248">
        <v>2018</v>
      </c>
      <c r="E248" t="s">
        <v>6</v>
      </c>
      <c r="F248">
        <v>118.1</v>
      </c>
      <c r="G248">
        <f t="shared" si="6"/>
        <v>118.1</v>
      </c>
      <c r="I248" s="5">
        <v>331</v>
      </c>
      <c r="J248">
        <f t="shared" si="7"/>
        <v>2018</v>
      </c>
      <c r="M248" s="2">
        <v>43070</v>
      </c>
    </row>
    <row r="249" spans="1:13" x14ac:dyDescent="0.25">
      <c r="A249" t="s">
        <v>12</v>
      </c>
      <c r="B249" s="2">
        <v>43249</v>
      </c>
      <c r="C249">
        <v>2018</v>
      </c>
      <c r="E249" t="s">
        <v>6</v>
      </c>
      <c r="F249">
        <v>104.3</v>
      </c>
      <c r="G249">
        <f t="shared" si="6"/>
        <v>104.3</v>
      </c>
      <c r="I249" s="5">
        <v>331</v>
      </c>
      <c r="J249">
        <f t="shared" si="7"/>
        <v>2018</v>
      </c>
      <c r="M249" s="2">
        <v>43064</v>
      </c>
    </row>
    <row r="250" spans="1:13" x14ac:dyDescent="0.25">
      <c r="A250" t="s">
        <v>12</v>
      </c>
      <c r="B250" s="2">
        <v>43249</v>
      </c>
      <c r="C250">
        <v>2018</v>
      </c>
      <c r="E250" t="s">
        <v>6</v>
      </c>
      <c r="F250">
        <v>118.2</v>
      </c>
      <c r="G250">
        <f t="shared" si="6"/>
        <v>118.2</v>
      </c>
      <c r="H250" t="s">
        <v>32</v>
      </c>
      <c r="I250" s="5">
        <v>331</v>
      </c>
      <c r="J250">
        <f t="shared" si="7"/>
        <v>2018</v>
      </c>
      <c r="M250" s="2">
        <v>43068</v>
      </c>
    </row>
    <row r="251" spans="1:13" x14ac:dyDescent="0.25">
      <c r="A251" t="s">
        <v>13</v>
      </c>
      <c r="B251" s="2">
        <v>43479</v>
      </c>
      <c r="C251">
        <v>2019</v>
      </c>
      <c r="E251" t="s">
        <v>6</v>
      </c>
      <c r="F251">
        <v>52.3</v>
      </c>
      <c r="G251">
        <f t="shared" si="6"/>
        <v>52.3</v>
      </c>
      <c r="I251" s="5">
        <v>328</v>
      </c>
      <c r="J251">
        <f t="shared" si="7"/>
        <v>2019</v>
      </c>
      <c r="M251" s="2">
        <v>43423</v>
      </c>
    </row>
    <row r="252" spans="1:13" x14ac:dyDescent="0.25">
      <c r="A252" t="s">
        <v>13</v>
      </c>
      <c r="B252" s="2">
        <v>43515</v>
      </c>
      <c r="C252">
        <v>2019</v>
      </c>
      <c r="E252" t="s">
        <v>6</v>
      </c>
      <c r="F252">
        <v>72.099999999999994</v>
      </c>
      <c r="G252">
        <f t="shared" si="6"/>
        <v>72.099999999999994</v>
      </c>
      <c r="I252" s="5">
        <v>328</v>
      </c>
      <c r="J252">
        <f t="shared" si="7"/>
        <v>2019</v>
      </c>
      <c r="M252" s="2">
        <v>43428</v>
      </c>
    </row>
    <row r="253" spans="1:13" x14ac:dyDescent="0.25">
      <c r="A253" t="s">
        <v>13</v>
      </c>
      <c r="B253" s="2">
        <v>43529</v>
      </c>
      <c r="C253">
        <v>2019</v>
      </c>
      <c r="E253" t="s">
        <v>6</v>
      </c>
      <c r="F253">
        <v>78.900000000000006</v>
      </c>
      <c r="G253">
        <f t="shared" si="6"/>
        <v>78.900000000000006</v>
      </c>
      <c r="I253" s="5">
        <v>328</v>
      </c>
      <c r="J253">
        <f t="shared" si="7"/>
        <v>2019</v>
      </c>
      <c r="M253" s="2">
        <v>43432</v>
      </c>
    </row>
    <row r="254" spans="1:13" x14ac:dyDescent="0.25">
      <c r="A254" t="s">
        <v>13</v>
      </c>
      <c r="B254" s="2">
        <v>43543</v>
      </c>
      <c r="C254">
        <v>2019</v>
      </c>
      <c r="E254" t="s">
        <v>6</v>
      </c>
      <c r="F254">
        <v>90.7</v>
      </c>
      <c r="G254">
        <f t="shared" si="6"/>
        <v>90.7</v>
      </c>
      <c r="I254" s="5">
        <v>328</v>
      </c>
      <c r="J254">
        <f t="shared" si="7"/>
        <v>2019</v>
      </c>
      <c r="M254" s="2">
        <v>43424</v>
      </c>
    </row>
    <row r="255" spans="1:13" x14ac:dyDescent="0.25">
      <c r="A255" t="s">
        <v>13</v>
      </c>
      <c r="B255" s="2">
        <v>43557</v>
      </c>
      <c r="C255">
        <v>2019</v>
      </c>
      <c r="E255" t="s">
        <v>6</v>
      </c>
      <c r="F255">
        <v>98</v>
      </c>
      <c r="G255">
        <f t="shared" si="6"/>
        <v>98</v>
      </c>
      <c r="I255" s="5">
        <v>328</v>
      </c>
      <c r="J255">
        <f t="shared" si="7"/>
        <v>2019</v>
      </c>
      <c r="M255" s="2">
        <v>43430</v>
      </c>
    </row>
    <row r="256" spans="1:13" x14ac:dyDescent="0.25">
      <c r="A256" t="s">
        <v>13</v>
      </c>
      <c r="B256" s="2">
        <v>43564</v>
      </c>
      <c r="C256">
        <v>2019</v>
      </c>
      <c r="E256" t="s">
        <v>6</v>
      </c>
      <c r="F256">
        <v>100.2</v>
      </c>
      <c r="G256">
        <f t="shared" si="6"/>
        <v>100.2</v>
      </c>
      <c r="I256" s="5">
        <v>328</v>
      </c>
      <c r="J256">
        <f t="shared" si="7"/>
        <v>2019</v>
      </c>
      <c r="M256" s="2">
        <v>43424</v>
      </c>
    </row>
    <row r="257" spans="1:13" x14ac:dyDescent="0.25">
      <c r="A257" t="s">
        <v>13</v>
      </c>
      <c r="B257" s="2">
        <v>43570</v>
      </c>
      <c r="C257">
        <v>2019</v>
      </c>
      <c r="E257" t="s">
        <v>6</v>
      </c>
      <c r="F257">
        <v>104.2</v>
      </c>
      <c r="G257">
        <f t="shared" si="6"/>
        <v>104.2</v>
      </c>
      <c r="I257" s="5">
        <v>328</v>
      </c>
      <c r="J257">
        <f t="shared" si="7"/>
        <v>2019</v>
      </c>
      <c r="M257" s="2">
        <v>43423</v>
      </c>
    </row>
    <row r="258" spans="1:13" x14ac:dyDescent="0.25">
      <c r="A258" t="s">
        <v>13</v>
      </c>
      <c r="B258" s="2">
        <v>43577</v>
      </c>
      <c r="C258">
        <v>2019</v>
      </c>
      <c r="E258" t="s">
        <v>6</v>
      </c>
      <c r="F258">
        <v>100.3</v>
      </c>
      <c r="G258">
        <f t="shared" si="6"/>
        <v>100.3</v>
      </c>
      <c r="I258" s="5">
        <v>328</v>
      </c>
      <c r="J258">
        <f t="shared" si="7"/>
        <v>2019</v>
      </c>
      <c r="M258" s="2">
        <v>43428</v>
      </c>
    </row>
    <row r="259" spans="1:13" x14ac:dyDescent="0.25">
      <c r="A259" t="s">
        <v>13</v>
      </c>
      <c r="B259" s="2">
        <v>43584</v>
      </c>
      <c r="C259">
        <v>2019</v>
      </c>
      <c r="E259" t="s">
        <v>6</v>
      </c>
      <c r="F259">
        <v>93.8</v>
      </c>
      <c r="G259">
        <f t="shared" ref="G259:G322" si="8">F259</f>
        <v>93.8</v>
      </c>
      <c r="H259" s="5"/>
      <c r="I259" s="5">
        <v>328</v>
      </c>
      <c r="J259">
        <f t="shared" ref="J259:J322" si="9">YEAR(B259)</f>
        <v>2019</v>
      </c>
      <c r="M259" s="2">
        <v>43424</v>
      </c>
    </row>
    <row r="260" spans="1:13" x14ac:dyDescent="0.25">
      <c r="A260" t="s">
        <v>13</v>
      </c>
      <c r="B260" s="2">
        <v>43613</v>
      </c>
      <c r="C260">
        <v>2019</v>
      </c>
      <c r="E260" t="s">
        <v>6</v>
      </c>
      <c r="F260">
        <v>105.9</v>
      </c>
      <c r="G260">
        <f t="shared" si="8"/>
        <v>105.9</v>
      </c>
      <c r="I260" s="5">
        <v>328</v>
      </c>
      <c r="J260">
        <f t="shared" si="9"/>
        <v>2019</v>
      </c>
      <c r="M260" s="2">
        <v>43424</v>
      </c>
    </row>
    <row r="261" spans="1:13" x14ac:dyDescent="0.25">
      <c r="A261" t="s">
        <v>13</v>
      </c>
      <c r="B261" s="2">
        <v>43479</v>
      </c>
      <c r="C261">
        <v>2019</v>
      </c>
      <c r="E261" t="s">
        <v>6</v>
      </c>
      <c r="F261">
        <v>56.6</v>
      </c>
      <c r="G261">
        <f t="shared" si="8"/>
        <v>56.6</v>
      </c>
      <c r="I261" s="5">
        <v>328</v>
      </c>
      <c r="J261">
        <f t="shared" si="9"/>
        <v>2019</v>
      </c>
      <c r="M261" s="2">
        <v>43432</v>
      </c>
    </row>
    <row r="262" spans="1:13" x14ac:dyDescent="0.25">
      <c r="A262" t="s">
        <v>13</v>
      </c>
      <c r="B262" s="2">
        <v>43515</v>
      </c>
      <c r="C262">
        <v>2019</v>
      </c>
      <c r="E262" t="s">
        <v>6</v>
      </c>
      <c r="F262">
        <v>75.3</v>
      </c>
      <c r="G262">
        <f t="shared" si="8"/>
        <v>75.3</v>
      </c>
      <c r="I262" s="5">
        <v>328</v>
      </c>
      <c r="J262">
        <f t="shared" si="9"/>
        <v>2019</v>
      </c>
      <c r="M262" s="2">
        <v>43430</v>
      </c>
    </row>
    <row r="263" spans="1:13" x14ac:dyDescent="0.25">
      <c r="A263" t="s">
        <v>13</v>
      </c>
      <c r="B263" s="2">
        <v>43529</v>
      </c>
      <c r="C263">
        <v>2019</v>
      </c>
      <c r="E263" t="s">
        <v>6</v>
      </c>
      <c r="F263">
        <v>82.6</v>
      </c>
      <c r="G263">
        <f t="shared" si="8"/>
        <v>82.6</v>
      </c>
      <c r="I263" s="5">
        <v>328</v>
      </c>
      <c r="J263">
        <f t="shared" si="9"/>
        <v>2019</v>
      </c>
      <c r="M263" s="2">
        <v>43428</v>
      </c>
    </row>
    <row r="264" spans="1:13" x14ac:dyDescent="0.25">
      <c r="A264" t="s">
        <v>13</v>
      </c>
      <c r="B264" s="2">
        <v>43543</v>
      </c>
      <c r="C264">
        <v>2019</v>
      </c>
      <c r="E264" t="s">
        <v>6</v>
      </c>
      <c r="F264">
        <v>92.1</v>
      </c>
      <c r="G264">
        <f t="shared" si="8"/>
        <v>92.1</v>
      </c>
      <c r="I264" s="5">
        <v>328</v>
      </c>
      <c r="J264">
        <f t="shared" si="9"/>
        <v>2019</v>
      </c>
      <c r="M264" s="2">
        <v>43424</v>
      </c>
    </row>
    <row r="265" spans="1:13" x14ac:dyDescent="0.25">
      <c r="A265" t="s">
        <v>13</v>
      </c>
      <c r="B265" s="2">
        <v>43557</v>
      </c>
      <c r="C265">
        <v>2019</v>
      </c>
      <c r="E265" t="s">
        <v>6</v>
      </c>
      <c r="F265">
        <v>104</v>
      </c>
      <c r="G265">
        <f t="shared" si="8"/>
        <v>104</v>
      </c>
      <c r="I265" s="5">
        <v>328</v>
      </c>
      <c r="J265">
        <f t="shared" si="9"/>
        <v>2019</v>
      </c>
      <c r="M265" s="2">
        <v>43424</v>
      </c>
    </row>
    <row r="266" spans="1:13" x14ac:dyDescent="0.25">
      <c r="A266" t="s">
        <v>13</v>
      </c>
      <c r="B266" s="2">
        <v>43564</v>
      </c>
      <c r="C266">
        <v>2019</v>
      </c>
      <c r="E266" t="s">
        <v>6</v>
      </c>
      <c r="F266">
        <v>100.7</v>
      </c>
      <c r="G266">
        <f t="shared" si="8"/>
        <v>100.7</v>
      </c>
      <c r="I266" s="5">
        <v>328</v>
      </c>
      <c r="J266">
        <f t="shared" si="9"/>
        <v>2019</v>
      </c>
      <c r="M266" s="2">
        <v>43423</v>
      </c>
    </row>
    <row r="267" spans="1:13" x14ac:dyDescent="0.25">
      <c r="A267" t="s">
        <v>13</v>
      </c>
      <c r="B267" s="2">
        <v>43570</v>
      </c>
      <c r="C267">
        <v>2019</v>
      </c>
      <c r="E267" t="s">
        <v>6</v>
      </c>
      <c r="F267">
        <v>100.9</v>
      </c>
      <c r="G267">
        <f t="shared" si="8"/>
        <v>100.9</v>
      </c>
      <c r="I267" s="5">
        <v>328</v>
      </c>
      <c r="J267">
        <f t="shared" si="9"/>
        <v>2019</v>
      </c>
      <c r="M267" s="2">
        <v>43432</v>
      </c>
    </row>
    <row r="268" spans="1:13" x14ac:dyDescent="0.25">
      <c r="A268" t="s">
        <v>13</v>
      </c>
      <c r="B268" s="2">
        <v>43577</v>
      </c>
      <c r="C268">
        <v>2019</v>
      </c>
      <c r="E268" t="s">
        <v>6</v>
      </c>
      <c r="F268">
        <v>105.2</v>
      </c>
      <c r="G268">
        <f t="shared" si="8"/>
        <v>105.2</v>
      </c>
      <c r="I268" s="5">
        <v>328</v>
      </c>
      <c r="J268">
        <f t="shared" si="9"/>
        <v>2019</v>
      </c>
      <c r="M268" s="2">
        <v>43430</v>
      </c>
    </row>
    <row r="269" spans="1:13" x14ac:dyDescent="0.25">
      <c r="A269" t="s">
        <v>13</v>
      </c>
      <c r="B269" s="2">
        <v>43584</v>
      </c>
      <c r="C269">
        <v>2019</v>
      </c>
      <c r="E269" t="s">
        <v>6</v>
      </c>
      <c r="F269">
        <v>93.4</v>
      </c>
      <c r="G269">
        <f t="shared" si="8"/>
        <v>93.4</v>
      </c>
      <c r="I269" s="5">
        <v>328</v>
      </c>
      <c r="J269">
        <f t="shared" si="9"/>
        <v>2019</v>
      </c>
      <c r="M269" s="2">
        <v>43424</v>
      </c>
    </row>
    <row r="270" spans="1:13" x14ac:dyDescent="0.25">
      <c r="A270" t="s">
        <v>13</v>
      </c>
      <c r="B270" s="2">
        <v>43613</v>
      </c>
      <c r="C270">
        <v>2019</v>
      </c>
      <c r="E270" t="s">
        <v>6</v>
      </c>
      <c r="F270">
        <v>109.8</v>
      </c>
      <c r="G270">
        <f t="shared" si="8"/>
        <v>109.8</v>
      </c>
      <c r="H270" t="s">
        <v>32</v>
      </c>
      <c r="I270" s="5">
        <v>328</v>
      </c>
      <c r="J270">
        <f t="shared" si="9"/>
        <v>2019</v>
      </c>
      <c r="M270" s="2">
        <v>43424</v>
      </c>
    </row>
    <row r="271" spans="1:13" x14ac:dyDescent="0.25">
      <c r="A271" t="s">
        <v>13</v>
      </c>
      <c r="B271" s="2">
        <v>43479</v>
      </c>
      <c r="C271">
        <v>2019</v>
      </c>
      <c r="E271" t="s">
        <v>6</v>
      </c>
      <c r="F271">
        <v>58.2</v>
      </c>
      <c r="G271">
        <f t="shared" si="8"/>
        <v>58.2</v>
      </c>
      <c r="I271" s="5">
        <v>328</v>
      </c>
      <c r="J271">
        <f t="shared" si="9"/>
        <v>2019</v>
      </c>
      <c r="M271" s="2">
        <v>43423</v>
      </c>
    </row>
    <row r="272" spans="1:13" x14ac:dyDescent="0.25">
      <c r="A272" t="s">
        <v>13</v>
      </c>
      <c r="B272" s="2">
        <v>43479</v>
      </c>
      <c r="C272">
        <v>2019</v>
      </c>
      <c r="E272" t="s">
        <v>6</v>
      </c>
      <c r="F272">
        <v>57.8</v>
      </c>
      <c r="G272">
        <f t="shared" si="8"/>
        <v>57.8</v>
      </c>
      <c r="I272" s="5">
        <v>328</v>
      </c>
      <c r="J272">
        <f t="shared" si="9"/>
        <v>2019</v>
      </c>
      <c r="M272" s="2">
        <v>43432</v>
      </c>
    </row>
    <row r="273" spans="1:13" x14ac:dyDescent="0.25">
      <c r="A273" t="s">
        <v>13</v>
      </c>
      <c r="B273" s="2">
        <v>43479</v>
      </c>
      <c r="C273">
        <v>2019</v>
      </c>
      <c r="E273" t="s">
        <v>6</v>
      </c>
      <c r="F273">
        <v>64.400000000000006</v>
      </c>
      <c r="G273">
        <f t="shared" si="8"/>
        <v>64.400000000000006</v>
      </c>
      <c r="I273" s="5">
        <v>328</v>
      </c>
      <c r="J273">
        <f t="shared" si="9"/>
        <v>2019</v>
      </c>
      <c r="M273" s="2">
        <v>43430</v>
      </c>
    </row>
    <row r="274" spans="1:13" x14ac:dyDescent="0.25">
      <c r="A274" t="s">
        <v>13</v>
      </c>
      <c r="B274" s="2">
        <v>43479</v>
      </c>
      <c r="C274">
        <v>2019</v>
      </c>
      <c r="E274" t="s">
        <v>6</v>
      </c>
      <c r="F274">
        <v>50.5</v>
      </c>
      <c r="G274">
        <f t="shared" si="8"/>
        <v>50.5</v>
      </c>
      <c r="I274" s="5">
        <v>328</v>
      </c>
      <c r="J274">
        <f t="shared" si="9"/>
        <v>2019</v>
      </c>
      <c r="M274" s="2">
        <v>43423</v>
      </c>
    </row>
    <row r="275" spans="1:13" x14ac:dyDescent="0.25">
      <c r="A275" t="s">
        <v>13</v>
      </c>
      <c r="B275" s="2">
        <v>43514</v>
      </c>
      <c r="C275">
        <v>2019</v>
      </c>
      <c r="E275" t="s">
        <v>6</v>
      </c>
      <c r="F275">
        <v>81.599999999999994</v>
      </c>
      <c r="G275">
        <f t="shared" si="8"/>
        <v>81.599999999999994</v>
      </c>
      <c r="H275" s="5"/>
      <c r="I275" s="5">
        <v>328</v>
      </c>
      <c r="J275">
        <f t="shared" si="9"/>
        <v>2019</v>
      </c>
      <c r="M275" s="2">
        <v>43428</v>
      </c>
    </row>
    <row r="276" spans="1:13" x14ac:dyDescent="0.25">
      <c r="A276" t="s">
        <v>13</v>
      </c>
      <c r="B276" s="2">
        <v>43514</v>
      </c>
      <c r="C276">
        <v>2019</v>
      </c>
      <c r="E276" t="s">
        <v>6</v>
      </c>
      <c r="F276">
        <v>85.6</v>
      </c>
      <c r="G276">
        <f t="shared" si="8"/>
        <v>85.6</v>
      </c>
      <c r="I276" s="5">
        <v>328</v>
      </c>
      <c r="J276">
        <f t="shared" si="9"/>
        <v>2019</v>
      </c>
      <c r="M276" s="2">
        <v>43432</v>
      </c>
    </row>
    <row r="277" spans="1:13" x14ac:dyDescent="0.25">
      <c r="A277" t="s">
        <v>13</v>
      </c>
      <c r="B277" s="2">
        <v>43514</v>
      </c>
      <c r="C277">
        <v>2019</v>
      </c>
      <c r="E277" t="s">
        <v>6</v>
      </c>
      <c r="F277">
        <v>87.8</v>
      </c>
      <c r="G277">
        <f t="shared" si="8"/>
        <v>87.8</v>
      </c>
      <c r="I277" s="5">
        <v>328</v>
      </c>
      <c r="J277">
        <f t="shared" si="9"/>
        <v>2019</v>
      </c>
      <c r="M277" s="2">
        <v>43424</v>
      </c>
    </row>
    <row r="278" spans="1:13" x14ac:dyDescent="0.25">
      <c r="A278" t="s">
        <v>13</v>
      </c>
      <c r="B278" s="2">
        <v>43514</v>
      </c>
      <c r="C278">
        <v>2019</v>
      </c>
      <c r="E278" t="s">
        <v>6</v>
      </c>
      <c r="F278">
        <v>74.099999999999994</v>
      </c>
      <c r="G278">
        <f t="shared" si="8"/>
        <v>74.099999999999994</v>
      </c>
      <c r="I278" s="5">
        <v>328</v>
      </c>
      <c r="J278">
        <f t="shared" si="9"/>
        <v>2019</v>
      </c>
      <c r="M278" s="2">
        <v>43430</v>
      </c>
    </row>
    <row r="279" spans="1:13" x14ac:dyDescent="0.25">
      <c r="A279" t="s">
        <v>13</v>
      </c>
      <c r="B279" s="2">
        <v>43528</v>
      </c>
      <c r="C279">
        <v>2019</v>
      </c>
      <c r="E279" t="s">
        <v>6</v>
      </c>
      <c r="F279">
        <v>90.8</v>
      </c>
      <c r="G279">
        <f t="shared" si="8"/>
        <v>90.8</v>
      </c>
      <c r="I279" s="5">
        <v>328</v>
      </c>
      <c r="J279">
        <f t="shared" si="9"/>
        <v>2019</v>
      </c>
      <c r="M279" s="2">
        <v>43424</v>
      </c>
    </row>
    <row r="280" spans="1:13" x14ac:dyDescent="0.25">
      <c r="A280" t="s">
        <v>13</v>
      </c>
      <c r="B280" s="2">
        <v>43528</v>
      </c>
      <c r="C280">
        <v>2019</v>
      </c>
      <c r="E280" t="s">
        <v>6</v>
      </c>
      <c r="F280">
        <v>73.5</v>
      </c>
      <c r="G280">
        <f t="shared" si="8"/>
        <v>73.5</v>
      </c>
      <c r="I280" s="5">
        <v>328</v>
      </c>
      <c r="J280">
        <f t="shared" si="9"/>
        <v>2019</v>
      </c>
      <c r="M280" s="2">
        <v>43423</v>
      </c>
    </row>
    <row r="281" spans="1:13" x14ac:dyDescent="0.25">
      <c r="A281" t="s">
        <v>13</v>
      </c>
      <c r="B281" s="2">
        <v>43529</v>
      </c>
      <c r="C281">
        <v>2019</v>
      </c>
      <c r="E281" t="s">
        <v>6</v>
      </c>
      <c r="F281">
        <v>83.8</v>
      </c>
      <c r="G281">
        <f t="shared" si="8"/>
        <v>83.8</v>
      </c>
      <c r="I281" s="5">
        <v>328</v>
      </c>
      <c r="J281">
        <f t="shared" si="9"/>
        <v>2019</v>
      </c>
      <c r="M281" s="2">
        <v>43428</v>
      </c>
    </row>
    <row r="282" spans="1:13" x14ac:dyDescent="0.25">
      <c r="A282" t="s">
        <v>13</v>
      </c>
      <c r="B282" s="2">
        <v>43542</v>
      </c>
      <c r="C282">
        <v>2019</v>
      </c>
      <c r="E282" t="s">
        <v>6</v>
      </c>
      <c r="F282">
        <v>98.2</v>
      </c>
      <c r="G282">
        <f t="shared" si="8"/>
        <v>98.2</v>
      </c>
      <c r="I282" s="5">
        <v>328</v>
      </c>
      <c r="J282">
        <f t="shared" si="9"/>
        <v>2019</v>
      </c>
      <c r="M282" s="2">
        <v>43432</v>
      </c>
    </row>
    <row r="283" spans="1:13" x14ac:dyDescent="0.25">
      <c r="A283" t="s">
        <v>13</v>
      </c>
      <c r="B283" s="2">
        <v>43542</v>
      </c>
      <c r="C283">
        <v>2019</v>
      </c>
      <c r="E283" t="s">
        <v>6</v>
      </c>
      <c r="F283">
        <v>81.7</v>
      </c>
      <c r="G283">
        <f t="shared" si="8"/>
        <v>81.7</v>
      </c>
      <c r="I283" s="5">
        <v>328</v>
      </c>
      <c r="J283">
        <f t="shared" si="9"/>
        <v>2019</v>
      </c>
      <c r="M283" s="2">
        <v>43424</v>
      </c>
    </row>
    <row r="284" spans="1:13" x14ac:dyDescent="0.25">
      <c r="A284" t="s">
        <v>13</v>
      </c>
      <c r="B284" s="2">
        <v>43543</v>
      </c>
      <c r="C284">
        <v>2019</v>
      </c>
      <c r="E284" t="s">
        <v>6</v>
      </c>
      <c r="F284">
        <v>95.2</v>
      </c>
      <c r="G284">
        <f t="shared" si="8"/>
        <v>95.2</v>
      </c>
      <c r="I284" s="5">
        <v>328</v>
      </c>
      <c r="J284">
        <f t="shared" si="9"/>
        <v>2019</v>
      </c>
      <c r="M284" s="2">
        <v>43430</v>
      </c>
    </row>
    <row r="285" spans="1:13" x14ac:dyDescent="0.25">
      <c r="A285" t="s">
        <v>13</v>
      </c>
      <c r="B285" s="2">
        <v>43557</v>
      </c>
      <c r="C285">
        <v>2019</v>
      </c>
      <c r="E285" t="s">
        <v>6</v>
      </c>
      <c r="F285">
        <v>100.7</v>
      </c>
      <c r="G285">
        <f t="shared" si="8"/>
        <v>100.7</v>
      </c>
      <c r="I285" s="5">
        <v>328</v>
      </c>
      <c r="J285">
        <f t="shared" si="9"/>
        <v>2019</v>
      </c>
      <c r="M285" s="2">
        <v>43424</v>
      </c>
    </row>
    <row r="286" spans="1:13" x14ac:dyDescent="0.25">
      <c r="A286" t="s">
        <v>13</v>
      </c>
      <c r="B286" s="2">
        <v>43557</v>
      </c>
      <c r="C286">
        <v>2019</v>
      </c>
      <c r="E286" t="s">
        <v>6</v>
      </c>
      <c r="F286">
        <v>106</v>
      </c>
      <c r="G286">
        <f t="shared" si="8"/>
        <v>106</v>
      </c>
      <c r="I286" s="5">
        <v>328</v>
      </c>
      <c r="J286">
        <f t="shared" si="9"/>
        <v>2019</v>
      </c>
      <c r="M286" s="2">
        <v>43423</v>
      </c>
    </row>
    <row r="287" spans="1:13" x14ac:dyDescent="0.25">
      <c r="A287" t="s">
        <v>13</v>
      </c>
      <c r="B287" s="2">
        <v>43557</v>
      </c>
      <c r="C287">
        <v>2019</v>
      </c>
      <c r="E287" t="s">
        <v>6</v>
      </c>
      <c r="F287">
        <v>107.4</v>
      </c>
      <c r="G287">
        <f t="shared" si="8"/>
        <v>107.4</v>
      </c>
      <c r="I287" s="5">
        <v>328</v>
      </c>
      <c r="J287">
        <f t="shared" si="9"/>
        <v>2019</v>
      </c>
      <c r="M287" s="2">
        <v>43428</v>
      </c>
    </row>
    <row r="288" spans="1:13" x14ac:dyDescent="0.25">
      <c r="A288" t="s">
        <v>13</v>
      </c>
      <c r="B288" s="2">
        <v>43557</v>
      </c>
      <c r="C288">
        <v>2019</v>
      </c>
      <c r="E288" t="s">
        <v>6</v>
      </c>
      <c r="F288">
        <v>89.5</v>
      </c>
      <c r="G288">
        <f t="shared" si="8"/>
        <v>89.5</v>
      </c>
      <c r="I288" s="5">
        <v>328</v>
      </c>
      <c r="J288">
        <f t="shared" si="9"/>
        <v>2019</v>
      </c>
      <c r="M288" s="2">
        <v>43432</v>
      </c>
    </row>
    <row r="289" spans="1:13" x14ac:dyDescent="0.25">
      <c r="A289" t="s">
        <v>13</v>
      </c>
      <c r="B289" s="2">
        <v>43564</v>
      </c>
      <c r="C289">
        <v>2019</v>
      </c>
      <c r="E289" t="s">
        <v>6</v>
      </c>
      <c r="F289">
        <v>102.5</v>
      </c>
      <c r="G289">
        <f t="shared" si="8"/>
        <v>102.5</v>
      </c>
      <c r="I289" s="5">
        <v>328</v>
      </c>
      <c r="J289">
        <f t="shared" si="9"/>
        <v>2019</v>
      </c>
      <c r="M289" s="2">
        <v>43424</v>
      </c>
    </row>
    <row r="290" spans="1:13" x14ac:dyDescent="0.25">
      <c r="A290" t="s">
        <v>13</v>
      </c>
      <c r="B290" s="2">
        <v>43564</v>
      </c>
      <c r="C290">
        <v>2019</v>
      </c>
      <c r="E290" t="s">
        <v>6</v>
      </c>
      <c r="F290">
        <v>110.4</v>
      </c>
      <c r="G290">
        <f t="shared" si="8"/>
        <v>110.4</v>
      </c>
      <c r="I290" s="5">
        <v>328</v>
      </c>
      <c r="J290">
        <f t="shared" si="9"/>
        <v>2019</v>
      </c>
      <c r="M290" s="2">
        <v>43430</v>
      </c>
    </row>
    <row r="291" spans="1:13" x14ac:dyDescent="0.25">
      <c r="A291" t="s">
        <v>13</v>
      </c>
      <c r="B291" s="2">
        <v>43564</v>
      </c>
      <c r="C291">
        <v>2019</v>
      </c>
      <c r="E291" t="s">
        <v>6</v>
      </c>
      <c r="F291">
        <v>109</v>
      </c>
      <c r="G291">
        <f t="shared" si="8"/>
        <v>109</v>
      </c>
      <c r="I291" s="5">
        <v>328</v>
      </c>
      <c r="J291">
        <f t="shared" si="9"/>
        <v>2019</v>
      </c>
      <c r="M291" s="2">
        <v>43424</v>
      </c>
    </row>
    <row r="292" spans="1:13" x14ac:dyDescent="0.25">
      <c r="A292" t="s">
        <v>13</v>
      </c>
      <c r="B292" s="2">
        <v>43564</v>
      </c>
      <c r="C292">
        <v>2019</v>
      </c>
      <c r="E292" t="s">
        <v>6</v>
      </c>
      <c r="F292">
        <v>94.3</v>
      </c>
      <c r="G292">
        <f t="shared" si="8"/>
        <v>94.3</v>
      </c>
      <c r="I292" s="5">
        <v>328</v>
      </c>
      <c r="J292">
        <f t="shared" si="9"/>
        <v>2019</v>
      </c>
      <c r="M292" s="2">
        <v>43423</v>
      </c>
    </row>
    <row r="293" spans="1:13" x14ac:dyDescent="0.25">
      <c r="A293" t="s">
        <v>13</v>
      </c>
      <c r="B293" s="2">
        <v>43570</v>
      </c>
      <c r="C293">
        <v>2019</v>
      </c>
      <c r="E293" t="s">
        <v>6</v>
      </c>
      <c r="F293">
        <v>104.4</v>
      </c>
      <c r="G293">
        <f t="shared" si="8"/>
        <v>104.4</v>
      </c>
      <c r="I293" s="5">
        <v>328</v>
      </c>
      <c r="J293">
        <f t="shared" si="9"/>
        <v>2019</v>
      </c>
      <c r="M293" s="2">
        <v>43428</v>
      </c>
    </row>
    <row r="294" spans="1:13" x14ac:dyDescent="0.25">
      <c r="A294" t="s">
        <v>13</v>
      </c>
      <c r="B294" s="2">
        <v>43570</v>
      </c>
      <c r="C294">
        <v>2019</v>
      </c>
      <c r="E294" t="s">
        <v>6</v>
      </c>
      <c r="F294">
        <v>108</v>
      </c>
      <c r="G294">
        <f t="shared" si="8"/>
        <v>108</v>
      </c>
      <c r="I294" s="5">
        <v>328</v>
      </c>
      <c r="J294">
        <f t="shared" si="9"/>
        <v>2019</v>
      </c>
      <c r="M294" s="2">
        <v>43432</v>
      </c>
    </row>
    <row r="295" spans="1:13" x14ac:dyDescent="0.25">
      <c r="A295" t="s">
        <v>13</v>
      </c>
      <c r="B295" s="2">
        <v>43570</v>
      </c>
      <c r="C295">
        <v>2019</v>
      </c>
      <c r="E295" t="s">
        <v>6</v>
      </c>
      <c r="F295">
        <v>113.2</v>
      </c>
      <c r="G295">
        <f t="shared" si="8"/>
        <v>113.2</v>
      </c>
      <c r="I295" s="5">
        <v>328</v>
      </c>
      <c r="J295">
        <f t="shared" si="9"/>
        <v>2019</v>
      </c>
      <c r="M295" s="2">
        <v>43424</v>
      </c>
    </row>
    <row r="296" spans="1:13" x14ac:dyDescent="0.25">
      <c r="A296" t="s">
        <v>13</v>
      </c>
      <c r="B296" s="2">
        <v>43570</v>
      </c>
      <c r="C296">
        <v>2019</v>
      </c>
      <c r="E296" t="s">
        <v>6</v>
      </c>
      <c r="F296">
        <v>94.4</v>
      </c>
      <c r="G296">
        <f t="shared" si="8"/>
        <v>94.4</v>
      </c>
      <c r="I296" s="5">
        <v>328</v>
      </c>
      <c r="J296">
        <f t="shared" si="9"/>
        <v>2019</v>
      </c>
      <c r="M296" s="2">
        <v>43430</v>
      </c>
    </row>
    <row r="297" spans="1:13" x14ac:dyDescent="0.25">
      <c r="A297" t="s">
        <v>13</v>
      </c>
      <c r="B297" s="2">
        <v>43577</v>
      </c>
      <c r="C297">
        <v>2019</v>
      </c>
      <c r="E297" t="s">
        <v>6</v>
      </c>
      <c r="F297">
        <v>102.6</v>
      </c>
      <c r="G297">
        <f t="shared" si="8"/>
        <v>102.6</v>
      </c>
      <c r="I297" s="5">
        <v>328</v>
      </c>
      <c r="J297">
        <f t="shared" si="9"/>
        <v>2019</v>
      </c>
      <c r="M297" s="2">
        <v>43424</v>
      </c>
    </row>
    <row r="298" spans="1:13" x14ac:dyDescent="0.25">
      <c r="A298" t="s">
        <v>13</v>
      </c>
      <c r="B298" s="2">
        <v>43577</v>
      </c>
      <c r="C298">
        <v>2019</v>
      </c>
      <c r="E298" t="s">
        <v>6</v>
      </c>
      <c r="F298">
        <v>110.5</v>
      </c>
      <c r="G298">
        <f t="shared" si="8"/>
        <v>110.5</v>
      </c>
      <c r="I298" s="5">
        <v>328</v>
      </c>
      <c r="J298">
        <f t="shared" si="9"/>
        <v>2019</v>
      </c>
      <c r="M298" s="2">
        <v>43423</v>
      </c>
    </row>
    <row r="299" spans="1:13" x14ac:dyDescent="0.25">
      <c r="A299" t="s">
        <v>13</v>
      </c>
      <c r="B299" s="2">
        <v>43577</v>
      </c>
      <c r="C299">
        <v>2019</v>
      </c>
      <c r="E299" t="s">
        <v>6</v>
      </c>
      <c r="F299">
        <v>108.9</v>
      </c>
      <c r="G299">
        <f t="shared" si="8"/>
        <v>108.9</v>
      </c>
      <c r="I299" s="5">
        <v>328</v>
      </c>
      <c r="J299">
        <f t="shared" si="9"/>
        <v>2019</v>
      </c>
      <c r="M299" s="2">
        <v>43428</v>
      </c>
    </row>
    <row r="300" spans="1:13" x14ac:dyDescent="0.25">
      <c r="A300" t="s">
        <v>13</v>
      </c>
      <c r="B300" s="2">
        <v>43577</v>
      </c>
      <c r="C300">
        <v>2019</v>
      </c>
      <c r="E300" t="s">
        <v>6</v>
      </c>
      <c r="F300">
        <v>95</v>
      </c>
      <c r="G300">
        <f t="shared" si="8"/>
        <v>95</v>
      </c>
      <c r="I300" s="5">
        <v>328</v>
      </c>
      <c r="J300">
        <f t="shared" si="9"/>
        <v>2019</v>
      </c>
      <c r="M300" s="2">
        <v>43432</v>
      </c>
    </row>
    <row r="301" spans="1:13" x14ac:dyDescent="0.25">
      <c r="A301" t="s">
        <v>13</v>
      </c>
      <c r="B301" s="2">
        <v>43584</v>
      </c>
      <c r="C301">
        <v>2019</v>
      </c>
      <c r="E301" t="s">
        <v>6</v>
      </c>
      <c r="F301">
        <v>93.8</v>
      </c>
      <c r="G301">
        <f t="shared" si="8"/>
        <v>93.8</v>
      </c>
      <c r="I301" s="5">
        <v>328</v>
      </c>
      <c r="J301">
        <f t="shared" si="9"/>
        <v>2019</v>
      </c>
      <c r="M301" s="2">
        <v>43424</v>
      </c>
    </row>
    <row r="302" spans="1:13" x14ac:dyDescent="0.25">
      <c r="A302" t="s">
        <v>13</v>
      </c>
      <c r="B302" s="2">
        <v>43584</v>
      </c>
      <c r="C302">
        <v>2019</v>
      </c>
      <c r="E302" t="s">
        <v>6</v>
      </c>
      <c r="F302">
        <v>98.5</v>
      </c>
      <c r="G302">
        <f t="shared" si="8"/>
        <v>98.5</v>
      </c>
      <c r="I302" s="5">
        <v>328</v>
      </c>
      <c r="J302">
        <f t="shared" si="9"/>
        <v>2019</v>
      </c>
      <c r="M302" s="2">
        <v>43430</v>
      </c>
    </row>
    <row r="303" spans="1:13" x14ac:dyDescent="0.25">
      <c r="A303" t="s">
        <v>13</v>
      </c>
      <c r="B303" s="2">
        <v>43584</v>
      </c>
      <c r="C303">
        <v>2019</v>
      </c>
      <c r="E303" t="s">
        <v>6</v>
      </c>
      <c r="F303">
        <v>102.3</v>
      </c>
      <c r="G303">
        <f t="shared" si="8"/>
        <v>102.3</v>
      </c>
      <c r="I303" s="5">
        <v>328</v>
      </c>
      <c r="J303">
        <f t="shared" si="9"/>
        <v>2019</v>
      </c>
      <c r="M303" s="2">
        <v>43424</v>
      </c>
    </row>
    <row r="304" spans="1:13" x14ac:dyDescent="0.25">
      <c r="A304" t="s">
        <v>13</v>
      </c>
      <c r="B304" s="2">
        <v>43584</v>
      </c>
      <c r="C304">
        <v>2019</v>
      </c>
      <c r="E304" t="s">
        <v>6</v>
      </c>
      <c r="F304">
        <v>85.4</v>
      </c>
      <c r="G304">
        <f t="shared" si="8"/>
        <v>85.4</v>
      </c>
      <c r="I304" s="5">
        <v>328</v>
      </c>
      <c r="J304">
        <f t="shared" si="9"/>
        <v>2019</v>
      </c>
      <c r="M304" s="2">
        <v>43423</v>
      </c>
    </row>
    <row r="305" spans="1:13" x14ac:dyDescent="0.25">
      <c r="A305" t="s">
        <v>13</v>
      </c>
      <c r="B305" s="2">
        <v>43612</v>
      </c>
      <c r="C305">
        <v>2019</v>
      </c>
      <c r="E305" t="s">
        <v>6</v>
      </c>
      <c r="F305">
        <v>116.6</v>
      </c>
      <c r="G305">
        <f t="shared" si="8"/>
        <v>116.6</v>
      </c>
      <c r="I305" s="5">
        <v>328</v>
      </c>
      <c r="J305">
        <f t="shared" si="9"/>
        <v>2019</v>
      </c>
      <c r="M305" s="2">
        <v>43428</v>
      </c>
    </row>
    <row r="306" spans="1:13" x14ac:dyDescent="0.25">
      <c r="A306" t="s">
        <v>13</v>
      </c>
      <c r="B306" s="2">
        <v>43612</v>
      </c>
      <c r="C306">
        <v>2019</v>
      </c>
      <c r="E306" t="s">
        <v>6</v>
      </c>
      <c r="F306">
        <v>97.5</v>
      </c>
      <c r="G306">
        <f t="shared" si="8"/>
        <v>97.5</v>
      </c>
      <c r="I306" s="5">
        <v>328</v>
      </c>
      <c r="J306">
        <f t="shared" si="9"/>
        <v>2019</v>
      </c>
      <c r="M306" s="2">
        <v>43432</v>
      </c>
    </row>
    <row r="307" spans="1:13" x14ac:dyDescent="0.25">
      <c r="A307" t="s">
        <v>13</v>
      </c>
      <c r="B307" s="2">
        <v>43613</v>
      </c>
      <c r="C307">
        <v>2019</v>
      </c>
      <c r="E307" t="s">
        <v>6</v>
      </c>
      <c r="F307">
        <v>104.5</v>
      </c>
      <c r="G307">
        <f t="shared" si="8"/>
        <v>104.5</v>
      </c>
      <c r="I307" s="5">
        <v>328</v>
      </c>
      <c r="J307">
        <f t="shared" si="9"/>
        <v>2019</v>
      </c>
      <c r="M307" s="2">
        <v>43424</v>
      </c>
    </row>
    <row r="308" spans="1:13" x14ac:dyDescent="0.25">
      <c r="A308" t="s">
        <v>13</v>
      </c>
      <c r="B308" s="2">
        <v>43613</v>
      </c>
      <c r="C308">
        <v>2019</v>
      </c>
      <c r="E308" t="s">
        <v>6</v>
      </c>
      <c r="F308">
        <v>114</v>
      </c>
      <c r="G308">
        <f t="shared" si="8"/>
        <v>114</v>
      </c>
      <c r="H308" t="s">
        <v>32</v>
      </c>
      <c r="I308" s="5">
        <v>328</v>
      </c>
      <c r="J308">
        <f t="shared" si="9"/>
        <v>2019</v>
      </c>
      <c r="M308" s="2">
        <v>43424</v>
      </c>
    </row>
    <row r="309" spans="1:13" x14ac:dyDescent="0.25">
      <c r="A309" t="s">
        <v>14</v>
      </c>
      <c r="B309" s="2">
        <v>43850</v>
      </c>
      <c r="C309">
        <v>2020</v>
      </c>
      <c r="E309" t="s">
        <v>6</v>
      </c>
      <c r="F309">
        <v>58.7</v>
      </c>
      <c r="G309">
        <f t="shared" si="8"/>
        <v>58.7</v>
      </c>
      <c r="I309" s="5">
        <v>328</v>
      </c>
      <c r="J309">
        <f t="shared" si="9"/>
        <v>2020</v>
      </c>
      <c r="M309" s="2">
        <v>43430</v>
      </c>
    </row>
    <row r="310" spans="1:13" x14ac:dyDescent="0.25">
      <c r="A310" t="s">
        <v>14</v>
      </c>
      <c r="B310" s="2">
        <v>43880</v>
      </c>
      <c r="C310">
        <v>2020</v>
      </c>
      <c r="E310" t="s">
        <v>6</v>
      </c>
      <c r="F310">
        <v>79.599999999999994</v>
      </c>
      <c r="G310">
        <f t="shared" si="8"/>
        <v>79.599999999999994</v>
      </c>
      <c r="I310" s="5">
        <v>328</v>
      </c>
      <c r="J310">
        <f t="shared" si="9"/>
        <v>2020</v>
      </c>
      <c r="M310" s="2">
        <v>43424</v>
      </c>
    </row>
    <row r="311" spans="1:13" x14ac:dyDescent="0.25">
      <c r="A311" t="s">
        <v>14</v>
      </c>
      <c r="B311" s="2">
        <v>43892</v>
      </c>
      <c r="C311">
        <v>2020</v>
      </c>
      <c r="E311" t="s">
        <v>6</v>
      </c>
      <c r="F311">
        <v>77.900000000000006</v>
      </c>
      <c r="G311">
        <f t="shared" si="8"/>
        <v>77.900000000000006</v>
      </c>
      <c r="I311" s="5">
        <v>328</v>
      </c>
      <c r="J311">
        <f t="shared" si="9"/>
        <v>2020</v>
      </c>
      <c r="M311" s="2">
        <v>43424</v>
      </c>
    </row>
    <row r="312" spans="1:13" x14ac:dyDescent="0.25">
      <c r="A312" t="s">
        <v>14</v>
      </c>
      <c r="B312" s="2">
        <v>43906</v>
      </c>
      <c r="C312">
        <v>2020</v>
      </c>
      <c r="E312" t="s">
        <v>6</v>
      </c>
      <c r="F312">
        <v>88</v>
      </c>
      <c r="G312">
        <f t="shared" si="8"/>
        <v>88</v>
      </c>
      <c r="I312" s="5">
        <v>328</v>
      </c>
      <c r="J312">
        <f t="shared" si="9"/>
        <v>2020</v>
      </c>
      <c r="M312" s="2">
        <v>43423</v>
      </c>
    </row>
    <row r="313" spans="1:13" x14ac:dyDescent="0.25">
      <c r="A313" t="s">
        <v>14</v>
      </c>
      <c r="B313" s="2">
        <v>43950</v>
      </c>
      <c r="C313">
        <v>2020</v>
      </c>
      <c r="E313" t="s">
        <v>6</v>
      </c>
      <c r="F313">
        <v>104.6</v>
      </c>
      <c r="G313">
        <f t="shared" si="8"/>
        <v>104.6</v>
      </c>
      <c r="I313" s="5">
        <v>328</v>
      </c>
      <c r="J313">
        <f t="shared" si="9"/>
        <v>2020</v>
      </c>
      <c r="M313" s="2">
        <v>43428</v>
      </c>
    </row>
    <row r="314" spans="1:13" x14ac:dyDescent="0.25">
      <c r="A314" t="s">
        <v>14</v>
      </c>
      <c r="B314" s="2">
        <v>43963</v>
      </c>
      <c r="C314">
        <v>2020</v>
      </c>
      <c r="E314" t="s">
        <v>6</v>
      </c>
      <c r="F314">
        <v>103.2</v>
      </c>
      <c r="G314">
        <f t="shared" si="8"/>
        <v>103.2</v>
      </c>
      <c r="I314" s="5">
        <v>328</v>
      </c>
      <c r="J314">
        <f t="shared" si="9"/>
        <v>2020</v>
      </c>
      <c r="M314" s="2">
        <v>43432</v>
      </c>
    </row>
    <row r="315" spans="1:13" x14ac:dyDescent="0.25">
      <c r="A315" t="s">
        <v>14</v>
      </c>
      <c r="B315" s="2">
        <v>43977</v>
      </c>
      <c r="C315">
        <v>2020</v>
      </c>
      <c r="E315" t="s">
        <v>6</v>
      </c>
      <c r="F315">
        <v>101.2</v>
      </c>
      <c r="G315">
        <f t="shared" si="8"/>
        <v>101.2</v>
      </c>
      <c r="H315" s="5"/>
      <c r="I315" s="5">
        <v>328</v>
      </c>
      <c r="J315">
        <f t="shared" si="9"/>
        <v>2020</v>
      </c>
      <c r="M315" s="2">
        <v>43430</v>
      </c>
    </row>
    <row r="316" spans="1:13" x14ac:dyDescent="0.25">
      <c r="A316" t="s">
        <v>14</v>
      </c>
      <c r="B316" s="2">
        <v>43851</v>
      </c>
      <c r="C316">
        <v>2020</v>
      </c>
      <c r="E316" t="s">
        <v>6</v>
      </c>
      <c r="F316">
        <v>61.3</v>
      </c>
      <c r="G316">
        <f t="shared" si="8"/>
        <v>61.3</v>
      </c>
      <c r="I316" s="5">
        <v>328</v>
      </c>
      <c r="J316">
        <f t="shared" si="9"/>
        <v>2020</v>
      </c>
      <c r="M316" s="2">
        <v>43792</v>
      </c>
    </row>
    <row r="317" spans="1:13" x14ac:dyDescent="0.25">
      <c r="A317" t="s">
        <v>14</v>
      </c>
      <c r="B317" s="2">
        <v>43880</v>
      </c>
      <c r="C317">
        <v>2020</v>
      </c>
      <c r="E317" t="s">
        <v>6</v>
      </c>
      <c r="F317">
        <v>85.2</v>
      </c>
      <c r="G317">
        <f t="shared" si="8"/>
        <v>85.2</v>
      </c>
      <c r="I317" s="5">
        <v>328</v>
      </c>
      <c r="J317">
        <f t="shared" si="9"/>
        <v>2020</v>
      </c>
      <c r="M317" s="2">
        <v>43792</v>
      </c>
    </row>
    <row r="318" spans="1:13" x14ac:dyDescent="0.25">
      <c r="A318" t="s">
        <v>14</v>
      </c>
      <c r="B318" s="2">
        <v>43894</v>
      </c>
      <c r="C318">
        <v>2020</v>
      </c>
      <c r="E318" t="s">
        <v>6</v>
      </c>
      <c r="F318">
        <v>82.7</v>
      </c>
      <c r="G318">
        <f t="shared" si="8"/>
        <v>82.7</v>
      </c>
      <c r="I318" s="5">
        <v>328</v>
      </c>
      <c r="J318">
        <f t="shared" si="9"/>
        <v>2020</v>
      </c>
      <c r="M318" s="2">
        <v>43802</v>
      </c>
    </row>
    <row r="319" spans="1:13" x14ac:dyDescent="0.25">
      <c r="A319" t="s">
        <v>14</v>
      </c>
      <c r="B319" s="2">
        <v>43907</v>
      </c>
      <c r="C319">
        <v>2020</v>
      </c>
      <c r="E319" t="s">
        <v>6</v>
      </c>
      <c r="F319">
        <v>93</v>
      </c>
      <c r="G319">
        <f t="shared" si="8"/>
        <v>93</v>
      </c>
      <c r="I319" s="5">
        <v>328</v>
      </c>
      <c r="J319">
        <f t="shared" si="9"/>
        <v>2020</v>
      </c>
      <c r="M319" s="2">
        <v>43789</v>
      </c>
    </row>
    <row r="320" spans="1:13" x14ac:dyDescent="0.25">
      <c r="A320" t="s">
        <v>14</v>
      </c>
      <c r="B320" s="2">
        <v>43951</v>
      </c>
      <c r="C320">
        <v>2020</v>
      </c>
      <c r="E320" t="s">
        <v>6</v>
      </c>
      <c r="F320">
        <v>108</v>
      </c>
      <c r="G320">
        <f t="shared" si="8"/>
        <v>108</v>
      </c>
      <c r="I320" s="5">
        <v>328</v>
      </c>
      <c r="J320">
        <f t="shared" si="9"/>
        <v>2020</v>
      </c>
      <c r="M320" s="2">
        <v>43792</v>
      </c>
    </row>
    <row r="321" spans="1:13" x14ac:dyDescent="0.25">
      <c r="A321" t="s">
        <v>14</v>
      </c>
      <c r="B321" s="2">
        <v>43963</v>
      </c>
      <c r="C321">
        <v>2020</v>
      </c>
      <c r="E321" t="s">
        <v>6</v>
      </c>
      <c r="F321">
        <v>107.8</v>
      </c>
      <c r="G321">
        <f t="shared" si="8"/>
        <v>107.8</v>
      </c>
      <c r="I321" s="5">
        <v>328</v>
      </c>
      <c r="J321">
        <f t="shared" si="9"/>
        <v>2020</v>
      </c>
      <c r="M321" s="2">
        <v>43792</v>
      </c>
    </row>
    <row r="322" spans="1:13" x14ac:dyDescent="0.25">
      <c r="A322" t="s">
        <v>14</v>
      </c>
      <c r="B322" s="2">
        <v>43979</v>
      </c>
      <c r="C322">
        <v>2020</v>
      </c>
      <c r="E322" t="s">
        <v>6</v>
      </c>
      <c r="F322">
        <v>107.9</v>
      </c>
      <c r="G322">
        <f t="shared" si="8"/>
        <v>107.9</v>
      </c>
      <c r="H322" t="s">
        <v>32</v>
      </c>
      <c r="I322" s="5">
        <v>328</v>
      </c>
      <c r="J322">
        <f t="shared" si="9"/>
        <v>2020</v>
      </c>
      <c r="M322" s="2">
        <v>43789</v>
      </c>
    </row>
    <row r="323" spans="1:13" x14ac:dyDescent="0.25">
      <c r="A323" t="s">
        <v>14</v>
      </c>
      <c r="B323" s="2">
        <v>43850</v>
      </c>
      <c r="C323">
        <v>2020</v>
      </c>
      <c r="E323" t="s">
        <v>6</v>
      </c>
      <c r="F323">
        <v>56.7</v>
      </c>
      <c r="G323">
        <f t="shared" ref="G323:G386" si="10">F323</f>
        <v>56.7</v>
      </c>
      <c r="I323" s="5">
        <v>330</v>
      </c>
      <c r="J323">
        <f t="shared" ref="J323:J386" si="11">YEAR(B323)</f>
        <v>2020</v>
      </c>
      <c r="M323" s="2">
        <v>43792</v>
      </c>
    </row>
    <row r="324" spans="1:13" x14ac:dyDescent="0.25">
      <c r="A324" t="s">
        <v>14</v>
      </c>
      <c r="B324" s="2">
        <v>43850</v>
      </c>
      <c r="C324">
        <v>2020</v>
      </c>
      <c r="E324" t="s">
        <v>6</v>
      </c>
      <c r="F324">
        <v>70.8</v>
      </c>
      <c r="G324">
        <f t="shared" si="10"/>
        <v>70.8</v>
      </c>
      <c r="I324" s="5">
        <v>330</v>
      </c>
      <c r="J324">
        <f t="shared" si="11"/>
        <v>2020</v>
      </c>
      <c r="M324" s="2">
        <v>43802</v>
      </c>
    </row>
    <row r="325" spans="1:13" x14ac:dyDescent="0.25">
      <c r="A325" t="s">
        <v>14</v>
      </c>
      <c r="B325" s="2">
        <v>43851</v>
      </c>
      <c r="C325">
        <v>2020</v>
      </c>
      <c r="E325" t="s">
        <v>6</v>
      </c>
      <c r="F325">
        <v>74.599999999999994</v>
      </c>
      <c r="G325">
        <f t="shared" si="10"/>
        <v>74.599999999999994</v>
      </c>
      <c r="I325" s="5">
        <v>330</v>
      </c>
      <c r="J325">
        <f t="shared" si="11"/>
        <v>2020</v>
      </c>
      <c r="M325" s="2">
        <v>43792</v>
      </c>
    </row>
    <row r="326" spans="1:13" x14ac:dyDescent="0.25">
      <c r="A326" t="s">
        <v>14</v>
      </c>
      <c r="B326" s="2">
        <v>43878</v>
      </c>
      <c r="C326">
        <v>2020</v>
      </c>
      <c r="E326" t="s">
        <v>6</v>
      </c>
      <c r="F326">
        <v>75.900000000000006</v>
      </c>
      <c r="G326">
        <f t="shared" si="10"/>
        <v>75.900000000000006</v>
      </c>
      <c r="I326" s="5">
        <v>330</v>
      </c>
      <c r="J326">
        <f t="shared" si="11"/>
        <v>2020</v>
      </c>
      <c r="M326" s="2">
        <v>43792</v>
      </c>
    </row>
    <row r="327" spans="1:13" x14ac:dyDescent="0.25">
      <c r="A327" t="s">
        <v>14</v>
      </c>
      <c r="B327" s="2">
        <v>43878</v>
      </c>
      <c r="C327">
        <v>2020</v>
      </c>
      <c r="E327" t="s">
        <v>6</v>
      </c>
      <c r="F327">
        <v>87.8</v>
      </c>
      <c r="G327">
        <f t="shared" si="10"/>
        <v>87.8</v>
      </c>
      <c r="I327" s="5">
        <v>330</v>
      </c>
      <c r="J327">
        <f t="shared" si="11"/>
        <v>2020</v>
      </c>
      <c r="M327" s="2">
        <v>43792</v>
      </c>
    </row>
    <row r="328" spans="1:13" x14ac:dyDescent="0.25">
      <c r="A328" t="s">
        <v>14</v>
      </c>
      <c r="B328" s="2">
        <v>43880</v>
      </c>
      <c r="C328">
        <v>2020</v>
      </c>
      <c r="E328" t="s">
        <v>6</v>
      </c>
      <c r="F328">
        <v>85.9</v>
      </c>
      <c r="G328">
        <f t="shared" si="10"/>
        <v>85.9</v>
      </c>
      <c r="I328" s="5">
        <v>330</v>
      </c>
      <c r="J328">
        <f t="shared" si="11"/>
        <v>2020</v>
      </c>
      <c r="M328" s="2">
        <v>43802</v>
      </c>
    </row>
    <row r="329" spans="1:13" x14ac:dyDescent="0.25">
      <c r="A329" t="s">
        <v>14</v>
      </c>
      <c r="B329" s="2">
        <v>43892</v>
      </c>
      <c r="C329">
        <v>2020</v>
      </c>
      <c r="E329" t="s">
        <v>6</v>
      </c>
      <c r="F329">
        <v>78.099999999999994</v>
      </c>
      <c r="G329">
        <f t="shared" si="10"/>
        <v>78.099999999999994</v>
      </c>
      <c r="I329" s="5">
        <v>330</v>
      </c>
      <c r="J329">
        <f t="shared" si="11"/>
        <v>2020</v>
      </c>
      <c r="M329" s="2">
        <v>43789</v>
      </c>
    </row>
    <row r="330" spans="1:13" x14ac:dyDescent="0.25">
      <c r="A330" t="s">
        <v>14</v>
      </c>
      <c r="B330" s="2">
        <v>43892</v>
      </c>
      <c r="C330">
        <v>2020</v>
      </c>
      <c r="E330" t="s">
        <v>6</v>
      </c>
      <c r="F330">
        <v>99.8</v>
      </c>
      <c r="G330">
        <f t="shared" si="10"/>
        <v>99.8</v>
      </c>
      <c r="H330" s="5"/>
      <c r="I330" s="5">
        <v>330</v>
      </c>
      <c r="J330">
        <f t="shared" si="11"/>
        <v>2020</v>
      </c>
      <c r="M330" s="2">
        <v>43792</v>
      </c>
    </row>
    <row r="331" spans="1:13" x14ac:dyDescent="0.25">
      <c r="A331" t="s">
        <v>14</v>
      </c>
      <c r="B331" s="2">
        <v>43894</v>
      </c>
      <c r="C331">
        <v>2020</v>
      </c>
      <c r="E331" t="s">
        <v>6</v>
      </c>
      <c r="F331">
        <v>92.5</v>
      </c>
      <c r="G331">
        <f t="shared" si="10"/>
        <v>92.5</v>
      </c>
      <c r="I331" s="5">
        <v>330</v>
      </c>
      <c r="J331">
        <f t="shared" si="11"/>
        <v>2020</v>
      </c>
      <c r="M331" s="2">
        <v>43792</v>
      </c>
    </row>
    <row r="332" spans="1:13" x14ac:dyDescent="0.25">
      <c r="A332" t="s">
        <v>14</v>
      </c>
      <c r="B332" s="2">
        <v>43906</v>
      </c>
      <c r="C332">
        <v>2020</v>
      </c>
      <c r="E332" t="s">
        <v>6</v>
      </c>
      <c r="F332">
        <v>84.3</v>
      </c>
      <c r="G332">
        <f t="shared" si="10"/>
        <v>84.3</v>
      </c>
      <c r="I332" s="5">
        <v>330</v>
      </c>
      <c r="J332">
        <f t="shared" si="11"/>
        <v>2020</v>
      </c>
      <c r="M332" s="2">
        <v>43792</v>
      </c>
    </row>
    <row r="333" spans="1:13" x14ac:dyDescent="0.25">
      <c r="A333" t="s">
        <v>14</v>
      </c>
      <c r="B333" s="2">
        <v>43906</v>
      </c>
      <c r="C333">
        <v>2020</v>
      </c>
      <c r="E333" t="s">
        <v>6</v>
      </c>
      <c r="F333">
        <v>108.8</v>
      </c>
      <c r="G333">
        <f t="shared" si="10"/>
        <v>108.8</v>
      </c>
      <c r="I333" s="5">
        <v>330</v>
      </c>
      <c r="J333">
        <f t="shared" si="11"/>
        <v>2020</v>
      </c>
      <c r="M333" s="2">
        <v>43802</v>
      </c>
    </row>
    <row r="334" spans="1:13" x14ac:dyDescent="0.25">
      <c r="A334" t="s">
        <v>14</v>
      </c>
      <c r="B334" s="2">
        <v>43907</v>
      </c>
      <c r="C334">
        <v>2020</v>
      </c>
      <c r="E334" t="s">
        <v>6</v>
      </c>
      <c r="F334">
        <v>99.9</v>
      </c>
      <c r="G334">
        <f t="shared" si="10"/>
        <v>99.9</v>
      </c>
      <c r="I334" s="5">
        <v>330</v>
      </c>
      <c r="J334">
        <f t="shared" si="11"/>
        <v>2020</v>
      </c>
      <c r="M334" s="2">
        <v>43789</v>
      </c>
    </row>
    <row r="335" spans="1:13" x14ac:dyDescent="0.25">
      <c r="A335" t="s">
        <v>14</v>
      </c>
      <c r="B335" s="2">
        <v>43950</v>
      </c>
      <c r="C335">
        <v>2020</v>
      </c>
      <c r="E335" t="s">
        <v>6</v>
      </c>
      <c r="F335">
        <v>94.6</v>
      </c>
      <c r="G335">
        <f t="shared" si="10"/>
        <v>94.6</v>
      </c>
      <c r="I335" s="5">
        <v>330</v>
      </c>
      <c r="J335">
        <f t="shared" si="11"/>
        <v>2020</v>
      </c>
      <c r="M335" s="2">
        <v>43792</v>
      </c>
    </row>
    <row r="336" spans="1:13" x14ac:dyDescent="0.25">
      <c r="A336" t="s">
        <v>14</v>
      </c>
      <c r="B336" s="2">
        <v>43950</v>
      </c>
      <c r="C336">
        <v>2020</v>
      </c>
      <c r="E336" t="s">
        <v>6</v>
      </c>
      <c r="F336">
        <v>121.5</v>
      </c>
      <c r="G336">
        <f t="shared" si="10"/>
        <v>121.5</v>
      </c>
      <c r="I336" s="5">
        <v>330</v>
      </c>
      <c r="J336">
        <f t="shared" si="11"/>
        <v>2020</v>
      </c>
      <c r="M336" s="2">
        <v>43792</v>
      </c>
    </row>
    <row r="337" spans="1:13" x14ac:dyDescent="0.25">
      <c r="A337" t="s">
        <v>14</v>
      </c>
      <c r="B337" s="2">
        <v>43950</v>
      </c>
      <c r="C337">
        <v>2020</v>
      </c>
      <c r="E337" t="s">
        <v>6</v>
      </c>
      <c r="F337">
        <v>113.2</v>
      </c>
      <c r="G337">
        <f t="shared" si="10"/>
        <v>113.2</v>
      </c>
      <c r="I337" s="5">
        <v>330</v>
      </c>
      <c r="J337">
        <f t="shared" si="11"/>
        <v>2020</v>
      </c>
      <c r="M337" s="2">
        <v>43792</v>
      </c>
    </row>
    <row r="338" spans="1:13" x14ac:dyDescent="0.25">
      <c r="A338" t="s">
        <v>14</v>
      </c>
      <c r="B338" s="2">
        <v>43963</v>
      </c>
      <c r="C338">
        <v>2020</v>
      </c>
      <c r="E338" t="s">
        <v>6</v>
      </c>
      <c r="F338">
        <v>122.7</v>
      </c>
      <c r="G338">
        <f t="shared" si="10"/>
        <v>122.7</v>
      </c>
      <c r="I338" s="5">
        <v>330</v>
      </c>
      <c r="J338">
        <f t="shared" si="11"/>
        <v>2020</v>
      </c>
      <c r="M338" s="2">
        <v>43802</v>
      </c>
    </row>
    <row r="339" spans="1:13" x14ac:dyDescent="0.25">
      <c r="A339" t="s">
        <v>14</v>
      </c>
      <c r="B339" s="2">
        <v>43964</v>
      </c>
      <c r="C339">
        <v>2020</v>
      </c>
      <c r="E339" t="s">
        <v>6</v>
      </c>
      <c r="F339">
        <v>99.3</v>
      </c>
      <c r="G339">
        <f t="shared" si="10"/>
        <v>99.3</v>
      </c>
      <c r="I339" s="5">
        <v>330</v>
      </c>
      <c r="J339">
        <f t="shared" si="11"/>
        <v>2020</v>
      </c>
      <c r="M339" s="2">
        <v>43789</v>
      </c>
    </row>
    <row r="340" spans="1:13" x14ac:dyDescent="0.25">
      <c r="A340" t="s">
        <v>14</v>
      </c>
      <c r="B340" s="2">
        <v>43964</v>
      </c>
      <c r="C340">
        <v>2020</v>
      </c>
      <c r="E340" t="s">
        <v>6</v>
      </c>
      <c r="F340">
        <v>120.8</v>
      </c>
      <c r="G340">
        <f t="shared" si="10"/>
        <v>120.8</v>
      </c>
      <c r="I340" s="5">
        <v>330</v>
      </c>
      <c r="J340">
        <f t="shared" si="11"/>
        <v>2020</v>
      </c>
      <c r="M340" s="2">
        <v>43792</v>
      </c>
    </row>
    <row r="341" spans="1:13" x14ac:dyDescent="0.25">
      <c r="A341" t="s">
        <v>14</v>
      </c>
      <c r="B341" s="2">
        <v>43978</v>
      </c>
      <c r="C341">
        <v>2020</v>
      </c>
      <c r="E341" t="s">
        <v>6</v>
      </c>
      <c r="F341">
        <v>91.7</v>
      </c>
      <c r="G341">
        <f t="shared" si="10"/>
        <v>91.7</v>
      </c>
      <c r="I341" s="5">
        <v>330</v>
      </c>
      <c r="J341">
        <f t="shared" si="11"/>
        <v>2020</v>
      </c>
      <c r="M341" s="2">
        <v>43792</v>
      </c>
    </row>
    <row r="342" spans="1:13" x14ac:dyDescent="0.25">
      <c r="A342" t="s">
        <v>14</v>
      </c>
      <c r="B342" s="2">
        <v>43978</v>
      </c>
      <c r="C342">
        <v>2020</v>
      </c>
      <c r="E342" t="s">
        <v>6</v>
      </c>
      <c r="F342">
        <v>115.7</v>
      </c>
      <c r="G342">
        <f t="shared" si="10"/>
        <v>115.7</v>
      </c>
      <c r="H342" t="s">
        <v>32</v>
      </c>
      <c r="I342" s="5">
        <v>330</v>
      </c>
      <c r="J342">
        <f t="shared" si="11"/>
        <v>2020</v>
      </c>
      <c r="M342" s="2">
        <v>43802</v>
      </c>
    </row>
    <row r="343" spans="1:13" x14ac:dyDescent="0.25">
      <c r="A343" t="s">
        <v>19</v>
      </c>
      <c r="B343" s="2">
        <v>43850</v>
      </c>
      <c r="C343">
        <v>2020</v>
      </c>
      <c r="E343" t="s">
        <v>9</v>
      </c>
      <c r="F343">
        <v>60.2</v>
      </c>
      <c r="G343">
        <f t="shared" si="10"/>
        <v>60.2</v>
      </c>
      <c r="I343" s="4">
        <v>326</v>
      </c>
      <c r="J343">
        <f t="shared" si="11"/>
        <v>2020</v>
      </c>
      <c r="M343" s="2">
        <v>43792</v>
      </c>
    </row>
    <row r="344" spans="1:13" x14ac:dyDescent="0.25">
      <c r="A344" t="s">
        <v>19</v>
      </c>
      <c r="B344" s="2">
        <v>43880</v>
      </c>
      <c r="C344">
        <v>2020</v>
      </c>
      <c r="E344" t="s">
        <v>9</v>
      </c>
      <c r="F344">
        <v>83.8</v>
      </c>
      <c r="G344">
        <f t="shared" si="10"/>
        <v>83.8</v>
      </c>
      <c r="I344" s="4">
        <v>326</v>
      </c>
      <c r="J344">
        <f t="shared" si="11"/>
        <v>2020</v>
      </c>
      <c r="M344" s="2">
        <v>43792</v>
      </c>
    </row>
    <row r="345" spans="1:13" x14ac:dyDescent="0.25">
      <c r="A345" t="s">
        <v>19</v>
      </c>
      <c r="B345" s="2">
        <v>43892</v>
      </c>
      <c r="C345">
        <v>2020</v>
      </c>
      <c r="E345" t="s">
        <v>9</v>
      </c>
      <c r="F345">
        <v>87.9</v>
      </c>
      <c r="G345">
        <f t="shared" si="10"/>
        <v>87.9</v>
      </c>
      <c r="I345" s="4">
        <v>326</v>
      </c>
      <c r="J345">
        <f t="shared" si="11"/>
        <v>2020</v>
      </c>
      <c r="M345" s="2">
        <v>43789</v>
      </c>
    </row>
    <row r="346" spans="1:13" x14ac:dyDescent="0.25">
      <c r="A346" t="s">
        <v>19</v>
      </c>
      <c r="B346" s="2">
        <v>43906</v>
      </c>
      <c r="C346">
        <v>2020</v>
      </c>
      <c r="E346" t="s">
        <v>9</v>
      </c>
      <c r="F346">
        <v>97.1</v>
      </c>
      <c r="G346">
        <f t="shared" si="10"/>
        <v>97.1</v>
      </c>
      <c r="I346" s="4">
        <v>326</v>
      </c>
      <c r="J346">
        <f t="shared" si="11"/>
        <v>2020</v>
      </c>
      <c r="M346" s="2">
        <v>43802</v>
      </c>
    </row>
    <row r="347" spans="1:13" x14ac:dyDescent="0.25">
      <c r="A347" t="s">
        <v>19</v>
      </c>
      <c r="B347" s="2">
        <v>43949</v>
      </c>
      <c r="C347">
        <v>2020</v>
      </c>
      <c r="E347" t="s">
        <v>9</v>
      </c>
      <c r="F347">
        <v>109.3</v>
      </c>
      <c r="G347">
        <f t="shared" si="10"/>
        <v>109.3</v>
      </c>
      <c r="I347" s="4">
        <v>326</v>
      </c>
      <c r="J347">
        <f t="shared" si="11"/>
        <v>2020</v>
      </c>
      <c r="M347" s="2">
        <v>43792</v>
      </c>
    </row>
    <row r="348" spans="1:13" x14ac:dyDescent="0.25">
      <c r="A348" t="s">
        <v>19</v>
      </c>
      <c r="B348" s="2">
        <v>43963</v>
      </c>
      <c r="C348">
        <v>2020</v>
      </c>
      <c r="E348" t="s">
        <v>9</v>
      </c>
      <c r="F348">
        <v>116.6</v>
      </c>
      <c r="G348">
        <f t="shared" si="10"/>
        <v>116.6</v>
      </c>
      <c r="I348" s="4">
        <v>326</v>
      </c>
      <c r="J348">
        <f t="shared" si="11"/>
        <v>2020</v>
      </c>
      <c r="M348" s="2">
        <v>43789</v>
      </c>
    </row>
    <row r="349" spans="1:13" x14ac:dyDescent="0.25">
      <c r="A349" t="s">
        <v>19</v>
      </c>
      <c r="B349" s="2">
        <v>43976</v>
      </c>
      <c r="C349">
        <v>2020</v>
      </c>
      <c r="E349" t="s">
        <v>9</v>
      </c>
      <c r="F349">
        <v>116.8</v>
      </c>
      <c r="G349">
        <f t="shared" si="10"/>
        <v>116.8</v>
      </c>
      <c r="H349" t="s">
        <v>32</v>
      </c>
      <c r="I349" s="4">
        <v>326</v>
      </c>
      <c r="J349">
        <f t="shared" si="11"/>
        <v>2020</v>
      </c>
      <c r="M349" s="2">
        <v>43792</v>
      </c>
    </row>
    <row r="350" spans="1:13" x14ac:dyDescent="0.25">
      <c r="A350" t="s">
        <v>15</v>
      </c>
      <c r="B350" s="2">
        <v>44223</v>
      </c>
      <c r="C350">
        <v>2021</v>
      </c>
      <c r="E350" t="s">
        <v>6</v>
      </c>
      <c r="F350">
        <v>70.474939759999998</v>
      </c>
      <c r="G350">
        <f t="shared" si="10"/>
        <v>70.474939759999998</v>
      </c>
      <c r="I350" s="5">
        <v>331</v>
      </c>
      <c r="J350">
        <f t="shared" si="11"/>
        <v>2021</v>
      </c>
      <c r="M350" s="2">
        <v>44157</v>
      </c>
    </row>
    <row r="351" spans="1:13" x14ac:dyDescent="0.25">
      <c r="A351" t="s">
        <v>15</v>
      </c>
      <c r="B351" s="2">
        <v>44244</v>
      </c>
      <c r="C351">
        <v>2021</v>
      </c>
      <c r="E351" t="s">
        <v>6</v>
      </c>
      <c r="F351">
        <v>78.175444440000007</v>
      </c>
      <c r="G351">
        <f t="shared" si="10"/>
        <v>78.175444440000007</v>
      </c>
      <c r="I351" s="5">
        <v>331</v>
      </c>
      <c r="J351">
        <f t="shared" si="11"/>
        <v>2021</v>
      </c>
      <c r="M351" s="2">
        <v>44163</v>
      </c>
    </row>
    <row r="352" spans="1:13" x14ac:dyDescent="0.25">
      <c r="A352" t="s">
        <v>15</v>
      </c>
      <c r="B352" s="2">
        <v>44258</v>
      </c>
      <c r="C352">
        <v>2021</v>
      </c>
      <c r="E352" t="s">
        <v>6</v>
      </c>
      <c r="F352">
        <v>89.277777779999994</v>
      </c>
      <c r="G352">
        <f t="shared" si="10"/>
        <v>89.277777779999994</v>
      </c>
      <c r="I352" s="5">
        <v>331</v>
      </c>
      <c r="J352">
        <f t="shared" si="11"/>
        <v>2021</v>
      </c>
      <c r="M352" s="2">
        <v>44157</v>
      </c>
    </row>
    <row r="353" spans="1:13" x14ac:dyDescent="0.25">
      <c r="A353" t="s">
        <v>15</v>
      </c>
      <c r="B353" s="2">
        <v>44272</v>
      </c>
      <c r="C353">
        <v>2021</v>
      </c>
      <c r="E353" t="s">
        <v>6</v>
      </c>
      <c r="F353">
        <v>96.960333329999997</v>
      </c>
      <c r="G353">
        <f t="shared" si="10"/>
        <v>96.960333329999997</v>
      </c>
      <c r="I353" s="5">
        <v>331</v>
      </c>
      <c r="J353">
        <f t="shared" si="11"/>
        <v>2021</v>
      </c>
      <c r="M353" s="2">
        <v>44159</v>
      </c>
    </row>
    <row r="354" spans="1:13" x14ac:dyDescent="0.25">
      <c r="A354" t="s">
        <v>15</v>
      </c>
      <c r="B354" s="2">
        <v>44286</v>
      </c>
      <c r="C354">
        <v>2021</v>
      </c>
      <c r="E354" t="s">
        <v>6</v>
      </c>
      <c r="F354">
        <v>105.0482222</v>
      </c>
      <c r="G354">
        <f t="shared" si="10"/>
        <v>105.0482222</v>
      </c>
      <c r="H354" s="5"/>
      <c r="I354" s="5">
        <v>331</v>
      </c>
      <c r="J354">
        <f t="shared" si="11"/>
        <v>2021</v>
      </c>
      <c r="M354" s="2">
        <v>44161</v>
      </c>
    </row>
    <row r="355" spans="1:13" x14ac:dyDescent="0.25">
      <c r="A355" t="s">
        <v>15</v>
      </c>
      <c r="B355" s="2">
        <v>44300</v>
      </c>
      <c r="C355">
        <v>2021</v>
      </c>
      <c r="E355" t="s">
        <v>6</v>
      </c>
      <c r="F355">
        <v>110.81411110000001</v>
      </c>
      <c r="G355">
        <f t="shared" si="10"/>
        <v>110.81411110000001</v>
      </c>
      <c r="I355" s="5">
        <v>331</v>
      </c>
      <c r="J355">
        <f t="shared" si="11"/>
        <v>2021</v>
      </c>
      <c r="M355" s="2">
        <v>44157</v>
      </c>
    </row>
    <row r="356" spans="1:13" x14ac:dyDescent="0.25">
      <c r="A356" t="s">
        <v>15</v>
      </c>
      <c r="B356" s="2">
        <v>44307</v>
      </c>
      <c r="C356">
        <v>2021</v>
      </c>
      <c r="E356" t="s">
        <v>6</v>
      </c>
      <c r="F356">
        <v>112.8977778</v>
      </c>
      <c r="G356">
        <f t="shared" si="10"/>
        <v>112.8977778</v>
      </c>
      <c r="I356" s="5">
        <v>331</v>
      </c>
      <c r="J356">
        <f t="shared" si="11"/>
        <v>2021</v>
      </c>
      <c r="M356" s="2">
        <v>44163</v>
      </c>
    </row>
    <row r="357" spans="1:13" x14ac:dyDescent="0.25">
      <c r="A357" t="s">
        <v>15</v>
      </c>
      <c r="B357" s="2">
        <v>44315</v>
      </c>
      <c r="C357">
        <v>2021</v>
      </c>
      <c r="E357" t="s">
        <v>6</v>
      </c>
      <c r="F357">
        <v>114.4113333</v>
      </c>
      <c r="G357">
        <f t="shared" si="10"/>
        <v>114.4113333</v>
      </c>
      <c r="I357" s="5">
        <v>331</v>
      </c>
      <c r="J357">
        <f t="shared" si="11"/>
        <v>2021</v>
      </c>
      <c r="M357" s="2">
        <v>44157</v>
      </c>
    </row>
    <row r="358" spans="1:13" x14ac:dyDescent="0.25">
      <c r="A358" t="s">
        <v>15</v>
      </c>
      <c r="B358" s="2">
        <v>44321</v>
      </c>
      <c r="C358">
        <v>2021</v>
      </c>
      <c r="E358" t="s">
        <v>6</v>
      </c>
      <c r="F358">
        <v>119.33077780000001</v>
      </c>
      <c r="G358">
        <f t="shared" si="10"/>
        <v>119.33077780000001</v>
      </c>
      <c r="I358" s="5">
        <v>331</v>
      </c>
      <c r="J358">
        <f t="shared" si="11"/>
        <v>2021</v>
      </c>
      <c r="M358" s="2">
        <v>44161</v>
      </c>
    </row>
    <row r="359" spans="1:13" x14ac:dyDescent="0.25">
      <c r="A359" t="s">
        <v>15</v>
      </c>
      <c r="B359" s="2">
        <v>44335</v>
      </c>
      <c r="C359">
        <v>2021</v>
      </c>
      <c r="E359" t="s">
        <v>6</v>
      </c>
      <c r="F359">
        <v>119.8372222</v>
      </c>
      <c r="G359">
        <f t="shared" si="10"/>
        <v>119.8372222</v>
      </c>
      <c r="I359" s="5">
        <v>331</v>
      </c>
      <c r="J359">
        <f t="shared" si="11"/>
        <v>2021</v>
      </c>
      <c r="M359" s="2">
        <v>44159</v>
      </c>
    </row>
    <row r="360" spans="1:13" x14ac:dyDescent="0.25">
      <c r="A360" t="s">
        <v>15</v>
      </c>
      <c r="B360" s="2">
        <v>44348</v>
      </c>
      <c r="C360">
        <v>2021</v>
      </c>
      <c r="E360" t="s">
        <v>6</v>
      </c>
      <c r="F360">
        <v>121.1773333</v>
      </c>
      <c r="G360">
        <f t="shared" si="10"/>
        <v>121.1773333</v>
      </c>
      <c r="H360" t="s">
        <v>32</v>
      </c>
      <c r="I360" s="5">
        <v>331</v>
      </c>
      <c r="J360">
        <f t="shared" si="11"/>
        <v>2021</v>
      </c>
      <c r="M360" s="2">
        <v>44161</v>
      </c>
    </row>
    <row r="361" spans="1:13" x14ac:dyDescent="0.25">
      <c r="A361" t="s">
        <v>15</v>
      </c>
      <c r="B361" s="2">
        <v>44223</v>
      </c>
      <c r="C361">
        <v>2021</v>
      </c>
      <c r="E361" t="s">
        <v>6</v>
      </c>
      <c r="F361">
        <v>68.09566667</v>
      </c>
      <c r="G361">
        <f t="shared" si="10"/>
        <v>68.09566667</v>
      </c>
      <c r="I361" s="5">
        <v>330</v>
      </c>
      <c r="J361">
        <f t="shared" si="11"/>
        <v>2021</v>
      </c>
      <c r="M361" s="2">
        <v>44157</v>
      </c>
    </row>
    <row r="362" spans="1:13" x14ac:dyDescent="0.25">
      <c r="A362" t="s">
        <v>15</v>
      </c>
      <c r="B362" s="2">
        <v>44258</v>
      </c>
      <c r="C362">
        <v>2021</v>
      </c>
      <c r="E362" t="s">
        <v>6</v>
      </c>
      <c r="F362">
        <v>88.180795450000005</v>
      </c>
      <c r="G362">
        <f t="shared" si="10"/>
        <v>88.180795450000005</v>
      </c>
      <c r="I362" s="5">
        <v>330</v>
      </c>
      <c r="J362">
        <f t="shared" si="11"/>
        <v>2021</v>
      </c>
      <c r="M362" s="2">
        <v>44163</v>
      </c>
    </row>
    <row r="363" spans="1:13" x14ac:dyDescent="0.25">
      <c r="A363" t="s">
        <v>15</v>
      </c>
      <c r="B363" s="2">
        <v>44272</v>
      </c>
      <c r="C363">
        <v>2021</v>
      </c>
      <c r="E363" t="s">
        <v>6</v>
      </c>
      <c r="F363">
        <v>97.313999999999993</v>
      </c>
      <c r="G363">
        <f t="shared" si="10"/>
        <v>97.313999999999993</v>
      </c>
      <c r="I363" s="5">
        <v>330</v>
      </c>
      <c r="J363">
        <f t="shared" si="11"/>
        <v>2021</v>
      </c>
      <c r="M363" s="2">
        <v>44157</v>
      </c>
    </row>
    <row r="364" spans="1:13" x14ac:dyDescent="0.25">
      <c r="A364" t="s">
        <v>15</v>
      </c>
      <c r="B364" s="2">
        <v>44286</v>
      </c>
      <c r="C364">
        <v>2021</v>
      </c>
      <c r="E364" t="s">
        <v>6</v>
      </c>
      <c r="F364">
        <v>100.2647778</v>
      </c>
      <c r="G364">
        <f t="shared" si="10"/>
        <v>100.2647778</v>
      </c>
      <c r="I364" s="5">
        <v>330</v>
      </c>
      <c r="J364">
        <f t="shared" si="11"/>
        <v>2021</v>
      </c>
      <c r="M364" s="2">
        <v>44159</v>
      </c>
    </row>
    <row r="365" spans="1:13" x14ac:dyDescent="0.25">
      <c r="A365" t="s">
        <v>15</v>
      </c>
      <c r="B365" s="2">
        <v>44300</v>
      </c>
      <c r="C365">
        <v>2021</v>
      </c>
      <c r="E365" t="s">
        <v>6</v>
      </c>
      <c r="F365">
        <v>104.94333330000001</v>
      </c>
      <c r="G365">
        <f t="shared" si="10"/>
        <v>104.94333330000001</v>
      </c>
      <c r="H365" s="5"/>
      <c r="I365" s="5">
        <v>330</v>
      </c>
      <c r="J365">
        <f t="shared" si="11"/>
        <v>2021</v>
      </c>
      <c r="M365" s="2">
        <v>44161</v>
      </c>
    </row>
    <row r="366" spans="1:13" x14ac:dyDescent="0.25">
      <c r="A366" t="s">
        <v>15</v>
      </c>
      <c r="B366" s="2">
        <v>44307</v>
      </c>
      <c r="C366">
        <v>2021</v>
      </c>
      <c r="E366" t="s">
        <v>6</v>
      </c>
      <c r="F366">
        <v>104.7833333</v>
      </c>
      <c r="G366">
        <f t="shared" si="10"/>
        <v>104.7833333</v>
      </c>
      <c r="I366" s="5">
        <v>330</v>
      </c>
      <c r="J366">
        <f t="shared" si="11"/>
        <v>2021</v>
      </c>
      <c r="M366" s="2">
        <v>44157</v>
      </c>
    </row>
    <row r="367" spans="1:13" x14ac:dyDescent="0.25">
      <c r="A367" t="s">
        <v>15</v>
      </c>
      <c r="B367" s="2">
        <v>44315</v>
      </c>
      <c r="C367">
        <v>2021</v>
      </c>
      <c r="E367" t="s">
        <v>6</v>
      </c>
      <c r="F367">
        <v>107.1852222</v>
      </c>
      <c r="G367">
        <f t="shared" si="10"/>
        <v>107.1852222</v>
      </c>
      <c r="I367" s="5">
        <v>330</v>
      </c>
      <c r="J367">
        <f t="shared" si="11"/>
        <v>2021</v>
      </c>
      <c r="M367" s="2">
        <v>44163</v>
      </c>
    </row>
    <row r="368" spans="1:13" x14ac:dyDescent="0.25">
      <c r="A368" t="s">
        <v>15</v>
      </c>
      <c r="B368" s="2">
        <v>44321</v>
      </c>
      <c r="C368">
        <v>2021</v>
      </c>
      <c r="E368" t="s">
        <v>6</v>
      </c>
      <c r="F368">
        <v>97.25755556</v>
      </c>
      <c r="G368">
        <f t="shared" si="10"/>
        <v>97.25755556</v>
      </c>
      <c r="I368" s="5">
        <v>330</v>
      </c>
      <c r="J368">
        <f t="shared" si="11"/>
        <v>2021</v>
      </c>
      <c r="M368" s="2">
        <v>44157</v>
      </c>
    </row>
    <row r="369" spans="1:13" x14ac:dyDescent="0.25">
      <c r="A369" t="s">
        <v>15</v>
      </c>
      <c r="B369" s="2">
        <v>44335</v>
      </c>
      <c r="C369">
        <v>2021</v>
      </c>
      <c r="E369" t="s">
        <v>6</v>
      </c>
      <c r="F369">
        <v>110.47156630000001</v>
      </c>
      <c r="G369">
        <f t="shared" si="10"/>
        <v>110.47156630000001</v>
      </c>
      <c r="I369" s="5">
        <v>330</v>
      </c>
      <c r="J369">
        <f t="shared" si="11"/>
        <v>2021</v>
      </c>
      <c r="M369" s="2">
        <v>44159</v>
      </c>
    </row>
    <row r="370" spans="1:13" x14ac:dyDescent="0.25">
      <c r="A370" t="s">
        <v>15</v>
      </c>
      <c r="B370" s="2">
        <v>44348</v>
      </c>
      <c r="C370">
        <v>2021</v>
      </c>
      <c r="E370" t="s">
        <v>6</v>
      </c>
      <c r="F370">
        <v>104.2146667</v>
      </c>
      <c r="G370">
        <f t="shared" si="10"/>
        <v>104.2146667</v>
      </c>
      <c r="H370" t="s">
        <v>32</v>
      </c>
      <c r="I370" s="5">
        <v>330</v>
      </c>
      <c r="J370">
        <f t="shared" si="11"/>
        <v>2021</v>
      </c>
      <c r="M370" s="2">
        <v>44157</v>
      </c>
    </row>
    <row r="371" spans="1:13" x14ac:dyDescent="0.25">
      <c r="A371" t="s">
        <v>15</v>
      </c>
      <c r="B371" s="2">
        <v>44223</v>
      </c>
      <c r="C371">
        <v>2021</v>
      </c>
      <c r="E371" t="s">
        <v>6</v>
      </c>
      <c r="F371">
        <v>68.366222219999997</v>
      </c>
      <c r="G371">
        <f t="shared" si="10"/>
        <v>68.366222219999997</v>
      </c>
      <c r="I371" s="5">
        <v>330</v>
      </c>
      <c r="J371">
        <f t="shared" si="11"/>
        <v>2021</v>
      </c>
      <c r="M371" s="2">
        <v>44163</v>
      </c>
    </row>
    <row r="372" spans="1:13" x14ac:dyDescent="0.25">
      <c r="A372" t="s">
        <v>15</v>
      </c>
      <c r="B372" s="2">
        <v>44223</v>
      </c>
      <c r="C372">
        <v>2021</v>
      </c>
      <c r="E372" t="s">
        <v>6</v>
      </c>
      <c r="F372">
        <v>60.43444444</v>
      </c>
      <c r="G372">
        <f t="shared" si="10"/>
        <v>60.43444444</v>
      </c>
      <c r="I372" s="5">
        <v>330</v>
      </c>
      <c r="J372">
        <f t="shared" si="11"/>
        <v>2021</v>
      </c>
      <c r="M372" s="2">
        <v>44157</v>
      </c>
    </row>
    <row r="373" spans="1:13" x14ac:dyDescent="0.25">
      <c r="A373" t="s">
        <v>15</v>
      </c>
      <c r="B373" s="2">
        <v>44224</v>
      </c>
      <c r="C373">
        <v>2021</v>
      </c>
      <c r="E373" t="s">
        <v>6</v>
      </c>
      <c r="F373">
        <v>59.576333329999997</v>
      </c>
      <c r="G373">
        <f t="shared" si="10"/>
        <v>59.576333329999997</v>
      </c>
      <c r="I373" s="5">
        <v>330</v>
      </c>
      <c r="J373">
        <f t="shared" si="11"/>
        <v>2021</v>
      </c>
      <c r="M373" s="2">
        <v>44161</v>
      </c>
    </row>
    <row r="374" spans="1:13" x14ac:dyDescent="0.25">
      <c r="A374" t="s">
        <v>15</v>
      </c>
      <c r="B374" s="2">
        <v>44244</v>
      </c>
      <c r="C374">
        <v>2021</v>
      </c>
      <c r="E374" t="s">
        <v>6</v>
      </c>
      <c r="F374">
        <v>70.137222219999998</v>
      </c>
      <c r="G374">
        <f t="shared" si="10"/>
        <v>70.137222219999998</v>
      </c>
      <c r="I374" s="5">
        <v>330</v>
      </c>
      <c r="J374">
        <f t="shared" si="11"/>
        <v>2021</v>
      </c>
      <c r="M374" s="2">
        <v>44159</v>
      </c>
    </row>
    <row r="375" spans="1:13" x14ac:dyDescent="0.25">
      <c r="A375" t="s">
        <v>15</v>
      </c>
      <c r="B375" s="2">
        <v>44245</v>
      </c>
      <c r="C375">
        <v>2021</v>
      </c>
      <c r="E375" t="s">
        <v>6</v>
      </c>
      <c r="F375">
        <v>67.538888889999996</v>
      </c>
      <c r="G375">
        <f t="shared" si="10"/>
        <v>67.538888889999996</v>
      </c>
      <c r="I375" s="5">
        <v>330</v>
      </c>
      <c r="J375">
        <f t="shared" si="11"/>
        <v>2021</v>
      </c>
      <c r="M375" s="2">
        <v>44157</v>
      </c>
    </row>
    <row r="376" spans="1:13" x14ac:dyDescent="0.25">
      <c r="A376" t="s">
        <v>15</v>
      </c>
      <c r="B376" s="2">
        <v>44245</v>
      </c>
      <c r="C376">
        <v>2021</v>
      </c>
      <c r="E376" t="s">
        <v>6</v>
      </c>
      <c r="F376">
        <v>68.143777779999994</v>
      </c>
      <c r="G376">
        <f t="shared" si="10"/>
        <v>68.143777779999994</v>
      </c>
      <c r="I376" s="5">
        <v>330</v>
      </c>
      <c r="J376">
        <f t="shared" si="11"/>
        <v>2021</v>
      </c>
      <c r="M376" s="2">
        <v>44163</v>
      </c>
    </row>
    <row r="377" spans="1:13" x14ac:dyDescent="0.25">
      <c r="A377" t="s">
        <v>15</v>
      </c>
      <c r="B377" s="2">
        <v>44258</v>
      </c>
      <c r="C377">
        <v>2021</v>
      </c>
      <c r="E377" t="s">
        <v>6</v>
      </c>
      <c r="F377">
        <v>77.873333329999994</v>
      </c>
      <c r="G377">
        <f t="shared" si="10"/>
        <v>77.873333329999994</v>
      </c>
      <c r="I377" s="5">
        <v>330</v>
      </c>
      <c r="J377">
        <f t="shared" si="11"/>
        <v>2021</v>
      </c>
      <c r="M377" s="2">
        <v>44157</v>
      </c>
    </row>
    <row r="378" spans="1:13" x14ac:dyDescent="0.25">
      <c r="A378" t="s">
        <v>15</v>
      </c>
      <c r="B378" s="2">
        <v>44258</v>
      </c>
      <c r="C378">
        <v>2021</v>
      </c>
      <c r="E378" t="s">
        <v>6</v>
      </c>
      <c r="F378">
        <v>86.499777780000002</v>
      </c>
      <c r="G378">
        <f t="shared" si="10"/>
        <v>86.499777780000002</v>
      </c>
      <c r="I378" s="5">
        <v>330</v>
      </c>
      <c r="J378">
        <f t="shared" si="11"/>
        <v>2021</v>
      </c>
      <c r="M378" s="2">
        <v>44161</v>
      </c>
    </row>
    <row r="379" spans="1:13" x14ac:dyDescent="0.25">
      <c r="A379" t="s">
        <v>15</v>
      </c>
      <c r="B379" s="2">
        <v>44258</v>
      </c>
      <c r="C379">
        <v>2021</v>
      </c>
      <c r="E379" t="s">
        <v>6</v>
      </c>
      <c r="F379">
        <v>75.648222219999994</v>
      </c>
      <c r="G379">
        <f t="shared" si="10"/>
        <v>75.648222219999994</v>
      </c>
      <c r="I379" s="5">
        <v>330</v>
      </c>
      <c r="J379">
        <f t="shared" si="11"/>
        <v>2021</v>
      </c>
      <c r="M379" s="2">
        <v>44159</v>
      </c>
    </row>
    <row r="380" spans="1:13" x14ac:dyDescent="0.25">
      <c r="A380" t="s">
        <v>15</v>
      </c>
      <c r="B380" s="2">
        <v>44272</v>
      </c>
      <c r="C380">
        <v>2021</v>
      </c>
      <c r="E380" t="s">
        <v>6</v>
      </c>
      <c r="F380">
        <v>84.237333329999998</v>
      </c>
      <c r="G380">
        <f t="shared" si="10"/>
        <v>84.237333329999998</v>
      </c>
      <c r="H380" s="5"/>
      <c r="I380" s="5">
        <v>330</v>
      </c>
      <c r="J380">
        <f t="shared" si="11"/>
        <v>2021</v>
      </c>
      <c r="M380" s="2">
        <v>44161</v>
      </c>
    </row>
    <row r="381" spans="1:13" x14ac:dyDescent="0.25">
      <c r="A381" t="s">
        <v>15</v>
      </c>
      <c r="B381" s="2">
        <v>44272</v>
      </c>
      <c r="C381">
        <v>2021</v>
      </c>
      <c r="E381" t="s">
        <v>6</v>
      </c>
      <c r="F381">
        <v>95.272444440000001</v>
      </c>
      <c r="G381">
        <f t="shared" si="10"/>
        <v>95.272444440000001</v>
      </c>
      <c r="I381" s="5">
        <v>330</v>
      </c>
      <c r="J381">
        <f t="shared" si="11"/>
        <v>2021</v>
      </c>
      <c r="M381" s="2">
        <v>44157</v>
      </c>
    </row>
    <row r="382" spans="1:13" x14ac:dyDescent="0.25">
      <c r="A382" t="s">
        <v>15</v>
      </c>
      <c r="B382" s="2">
        <v>44272</v>
      </c>
      <c r="C382">
        <v>2021</v>
      </c>
      <c r="E382" t="s">
        <v>6</v>
      </c>
      <c r="F382">
        <v>86.118555560000004</v>
      </c>
      <c r="G382">
        <f t="shared" si="10"/>
        <v>86.118555560000004</v>
      </c>
      <c r="I382" s="5">
        <v>330</v>
      </c>
      <c r="J382">
        <f t="shared" si="11"/>
        <v>2021</v>
      </c>
      <c r="M382" s="2">
        <v>44163</v>
      </c>
    </row>
    <row r="383" spans="1:13" x14ac:dyDescent="0.25">
      <c r="A383" t="s">
        <v>15</v>
      </c>
      <c r="B383" s="2">
        <v>44286</v>
      </c>
      <c r="C383">
        <v>2021</v>
      </c>
      <c r="E383" t="s">
        <v>6</v>
      </c>
      <c r="F383">
        <v>101.1565556</v>
      </c>
      <c r="G383">
        <f t="shared" si="10"/>
        <v>101.1565556</v>
      </c>
      <c r="I383" s="5">
        <v>330</v>
      </c>
      <c r="J383">
        <f t="shared" si="11"/>
        <v>2021</v>
      </c>
      <c r="M383" s="2">
        <v>44157</v>
      </c>
    </row>
    <row r="384" spans="1:13" x14ac:dyDescent="0.25">
      <c r="A384" t="s">
        <v>15</v>
      </c>
      <c r="B384" s="2">
        <v>44287</v>
      </c>
      <c r="C384">
        <v>2021</v>
      </c>
      <c r="E384" t="s">
        <v>6</v>
      </c>
      <c r="F384">
        <v>92.894333329999995</v>
      </c>
      <c r="G384">
        <f t="shared" si="10"/>
        <v>92.894333329999995</v>
      </c>
      <c r="I384" s="5">
        <v>330</v>
      </c>
      <c r="J384">
        <f t="shared" si="11"/>
        <v>2021</v>
      </c>
      <c r="M384" s="2">
        <v>44159</v>
      </c>
    </row>
    <row r="385" spans="1:13" x14ac:dyDescent="0.25">
      <c r="A385" t="s">
        <v>15</v>
      </c>
      <c r="B385" s="2">
        <v>44287</v>
      </c>
      <c r="C385">
        <v>2021</v>
      </c>
      <c r="E385" t="s">
        <v>6</v>
      </c>
      <c r="F385">
        <v>92.753333330000004</v>
      </c>
      <c r="G385">
        <f t="shared" si="10"/>
        <v>92.753333330000004</v>
      </c>
      <c r="I385" s="5">
        <v>330</v>
      </c>
      <c r="J385">
        <f t="shared" si="11"/>
        <v>2021</v>
      </c>
      <c r="M385" s="2">
        <v>44157</v>
      </c>
    </row>
    <row r="386" spans="1:13" x14ac:dyDescent="0.25">
      <c r="A386" t="s">
        <v>15</v>
      </c>
      <c r="B386" s="2">
        <v>44300</v>
      </c>
      <c r="C386">
        <v>2021</v>
      </c>
      <c r="E386" t="s">
        <v>6</v>
      </c>
      <c r="F386">
        <v>104.657</v>
      </c>
      <c r="G386">
        <f t="shared" si="10"/>
        <v>104.657</v>
      </c>
      <c r="I386" s="5">
        <v>330</v>
      </c>
      <c r="J386">
        <f t="shared" si="11"/>
        <v>2021</v>
      </c>
      <c r="M386" s="2">
        <v>44163</v>
      </c>
    </row>
    <row r="387" spans="1:13" x14ac:dyDescent="0.25">
      <c r="A387" t="s">
        <v>15</v>
      </c>
      <c r="B387" s="2">
        <v>44301</v>
      </c>
      <c r="C387">
        <v>2021</v>
      </c>
      <c r="E387" t="s">
        <v>6</v>
      </c>
      <c r="F387">
        <v>101.2516667</v>
      </c>
      <c r="G387">
        <f t="shared" ref="G387:G450" si="12">F387</f>
        <v>101.2516667</v>
      </c>
      <c r="I387" s="5">
        <v>330</v>
      </c>
      <c r="J387">
        <f t="shared" ref="J387:J450" si="13">YEAR(B387)</f>
        <v>2021</v>
      </c>
      <c r="M387" s="2">
        <v>44157</v>
      </c>
    </row>
    <row r="388" spans="1:13" x14ac:dyDescent="0.25">
      <c r="A388" t="s">
        <v>15</v>
      </c>
      <c r="B388" s="2">
        <v>44301</v>
      </c>
      <c r="C388">
        <v>2021</v>
      </c>
      <c r="E388" t="s">
        <v>6</v>
      </c>
      <c r="F388">
        <v>97.531000000000006</v>
      </c>
      <c r="G388">
        <f t="shared" si="12"/>
        <v>97.531000000000006</v>
      </c>
      <c r="I388" s="5">
        <v>330</v>
      </c>
      <c r="J388">
        <f t="shared" si="13"/>
        <v>2021</v>
      </c>
      <c r="M388" s="2">
        <v>44161</v>
      </c>
    </row>
    <row r="389" spans="1:13" x14ac:dyDescent="0.25">
      <c r="A389" t="s">
        <v>15</v>
      </c>
      <c r="B389" s="2">
        <v>44307</v>
      </c>
      <c r="C389">
        <v>2021</v>
      </c>
      <c r="E389" t="s">
        <v>6</v>
      </c>
      <c r="F389">
        <v>97.304888890000001</v>
      </c>
      <c r="G389">
        <f t="shared" si="12"/>
        <v>97.304888890000001</v>
      </c>
      <c r="I389" s="5">
        <v>330</v>
      </c>
      <c r="J389">
        <f t="shared" si="13"/>
        <v>2021</v>
      </c>
      <c r="M389" s="2">
        <v>44159</v>
      </c>
    </row>
    <row r="390" spans="1:13" x14ac:dyDescent="0.25">
      <c r="A390" t="s">
        <v>15</v>
      </c>
      <c r="B390" s="2">
        <v>44307</v>
      </c>
      <c r="C390">
        <v>2021</v>
      </c>
      <c r="E390" t="s">
        <v>6</v>
      </c>
      <c r="F390">
        <v>110.3821111</v>
      </c>
      <c r="G390">
        <f t="shared" si="12"/>
        <v>110.3821111</v>
      </c>
      <c r="I390" s="5">
        <v>330</v>
      </c>
      <c r="J390">
        <f t="shared" si="13"/>
        <v>2021</v>
      </c>
      <c r="M390" s="2">
        <v>44157</v>
      </c>
    </row>
    <row r="391" spans="1:13" x14ac:dyDescent="0.25">
      <c r="A391" t="s">
        <v>15</v>
      </c>
      <c r="B391" s="2">
        <v>44307</v>
      </c>
      <c r="C391">
        <v>2021</v>
      </c>
      <c r="E391" t="s">
        <v>6</v>
      </c>
      <c r="F391">
        <v>101.0704444</v>
      </c>
      <c r="G391">
        <f t="shared" si="12"/>
        <v>101.0704444</v>
      </c>
      <c r="I391" s="5">
        <v>330</v>
      </c>
      <c r="J391">
        <f t="shared" si="13"/>
        <v>2021</v>
      </c>
      <c r="M391" s="2">
        <v>44163</v>
      </c>
    </row>
    <row r="392" spans="1:13" x14ac:dyDescent="0.25">
      <c r="A392" t="s">
        <v>15</v>
      </c>
      <c r="B392" s="2">
        <v>44315</v>
      </c>
      <c r="C392">
        <v>2021</v>
      </c>
      <c r="E392" t="s">
        <v>6</v>
      </c>
      <c r="F392">
        <v>110.3692222</v>
      </c>
      <c r="G392">
        <f t="shared" si="12"/>
        <v>110.3692222</v>
      </c>
      <c r="I392" s="5">
        <v>330</v>
      </c>
      <c r="J392">
        <f t="shared" si="13"/>
        <v>2021</v>
      </c>
      <c r="M392" s="2">
        <v>44157</v>
      </c>
    </row>
    <row r="393" spans="1:13" x14ac:dyDescent="0.25">
      <c r="A393" t="s">
        <v>15</v>
      </c>
      <c r="B393" s="2">
        <v>44316</v>
      </c>
      <c r="C393">
        <v>2021</v>
      </c>
      <c r="E393" t="s">
        <v>6</v>
      </c>
      <c r="F393">
        <v>97.827444439999994</v>
      </c>
      <c r="G393">
        <f t="shared" si="12"/>
        <v>97.827444439999994</v>
      </c>
      <c r="I393" s="5">
        <v>330</v>
      </c>
      <c r="J393">
        <f t="shared" si="13"/>
        <v>2021</v>
      </c>
      <c r="M393" s="2">
        <v>44161</v>
      </c>
    </row>
    <row r="394" spans="1:13" x14ac:dyDescent="0.25">
      <c r="A394" t="s">
        <v>15</v>
      </c>
      <c r="B394" s="2">
        <v>44316</v>
      </c>
      <c r="C394">
        <v>2021</v>
      </c>
      <c r="E394" t="s">
        <v>6</v>
      </c>
      <c r="F394">
        <v>98.942444440000003</v>
      </c>
      <c r="G394">
        <f t="shared" si="12"/>
        <v>98.942444440000003</v>
      </c>
      <c r="I394" s="5">
        <v>330</v>
      </c>
      <c r="J394">
        <f t="shared" si="13"/>
        <v>2021</v>
      </c>
      <c r="M394" s="2">
        <v>44159</v>
      </c>
    </row>
    <row r="395" spans="1:13" x14ac:dyDescent="0.25">
      <c r="A395" t="s">
        <v>15</v>
      </c>
      <c r="B395" s="2">
        <v>44321</v>
      </c>
      <c r="C395">
        <v>2021</v>
      </c>
      <c r="E395" t="s">
        <v>6</v>
      </c>
      <c r="F395">
        <v>109.3193333</v>
      </c>
      <c r="G395">
        <f t="shared" si="12"/>
        <v>109.3193333</v>
      </c>
      <c r="I395" s="5">
        <v>330</v>
      </c>
      <c r="J395">
        <f t="shared" si="13"/>
        <v>2021</v>
      </c>
      <c r="M395" s="2">
        <v>44157</v>
      </c>
    </row>
    <row r="396" spans="1:13" x14ac:dyDescent="0.25">
      <c r="A396" t="s">
        <v>15</v>
      </c>
      <c r="B396" s="2">
        <v>44322</v>
      </c>
      <c r="C396">
        <v>2021</v>
      </c>
      <c r="E396" t="s">
        <v>6</v>
      </c>
      <c r="F396">
        <v>97.286555559999996</v>
      </c>
      <c r="G396">
        <f t="shared" si="12"/>
        <v>97.286555559999996</v>
      </c>
      <c r="I396" s="5">
        <v>330</v>
      </c>
      <c r="J396">
        <f t="shared" si="13"/>
        <v>2021</v>
      </c>
      <c r="M396" s="2">
        <v>44163</v>
      </c>
    </row>
    <row r="397" spans="1:13" x14ac:dyDescent="0.25">
      <c r="A397" t="s">
        <v>15</v>
      </c>
      <c r="B397" s="2">
        <v>44322</v>
      </c>
      <c r="C397">
        <v>2021</v>
      </c>
      <c r="E397" t="s">
        <v>6</v>
      </c>
      <c r="F397">
        <v>104.60788890000001</v>
      </c>
      <c r="G397">
        <f t="shared" si="12"/>
        <v>104.60788890000001</v>
      </c>
      <c r="I397" s="5">
        <v>330</v>
      </c>
      <c r="J397">
        <f t="shared" si="13"/>
        <v>2021</v>
      </c>
      <c r="M397" s="2">
        <v>44157</v>
      </c>
    </row>
    <row r="398" spans="1:13" x14ac:dyDescent="0.25">
      <c r="A398" t="s">
        <v>15</v>
      </c>
      <c r="B398" s="2">
        <v>44335</v>
      </c>
      <c r="C398">
        <v>2021</v>
      </c>
      <c r="E398" t="s">
        <v>6</v>
      </c>
      <c r="F398">
        <v>113.8327778</v>
      </c>
      <c r="G398">
        <f t="shared" si="12"/>
        <v>113.8327778</v>
      </c>
      <c r="I398" s="5">
        <v>330</v>
      </c>
      <c r="J398">
        <f t="shared" si="13"/>
        <v>2021</v>
      </c>
      <c r="M398" s="2">
        <v>44161</v>
      </c>
    </row>
    <row r="399" spans="1:13" x14ac:dyDescent="0.25">
      <c r="A399" t="s">
        <v>15</v>
      </c>
      <c r="B399" s="2">
        <v>44336</v>
      </c>
      <c r="C399">
        <v>2021</v>
      </c>
      <c r="E399" t="s">
        <v>6</v>
      </c>
      <c r="F399">
        <v>97.199777780000005</v>
      </c>
      <c r="G399">
        <f t="shared" si="12"/>
        <v>97.199777780000005</v>
      </c>
      <c r="I399" s="5">
        <v>330</v>
      </c>
      <c r="J399">
        <f t="shared" si="13"/>
        <v>2021</v>
      </c>
      <c r="M399" s="2">
        <v>44159</v>
      </c>
    </row>
    <row r="400" spans="1:13" x14ac:dyDescent="0.25">
      <c r="A400" t="s">
        <v>15</v>
      </c>
      <c r="B400" s="2">
        <v>44336</v>
      </c>
      <c r="C400">
        <v>2021</v>
      </c>
      <c r="E400" t="s">
        <v>6</v>
      </c>
      <c r="F400">
        <v>109.16333330000001</v>
      </c>
      <c r="G400">
        <f t="shared" si="12"/>
        <v>109.16333330000001</v>
      </c>
      <c r="I400" s="5">
        <v>330</v>
      </c>
      <c r="J400">
        <f t="shared" si="13"/>
        <v>2021</v>
      </c>
      <c r="M400" s="2">
        <v>44157</v>
      </c>
    </row>
    <row r="401" spans="1:13" x14ac:dyDescent="0.25">
      <c r="A401" t="s">
        <v>15</v>
      </c>
      <c r="B401" s="2">
        <v>44348</v>
      </c>
      <c r="C401">
        <v>2021</v>
      </c>
      <c r="E401" t="s">
        <v>6</v>
      </c>
      <c r="F401">
        <v>115.5402222</v>
      </c>
      <c r="G401">
        <f t="shared" si="12"/>
        <v>115.5402222</v>
      </c>
      <c r="I401" s="5">
        <v>330</v>
      </c>
      <c r="J401">
        <f t="shared" si="13"/>
        <v>2021</v>
      </c>
      <c r="M401" s="2">
        <v>44163</v>
      </c>
    </row>
    <row r="402" spans="1:13" x14ac:dyDescent="0.25">
      <c r="A402" t="s">
        <v>15</v>
      </c>
      <c r="B402" s="2">
        <v>44349</v>
      </c>
      <c r="C402">
        <v>2021</v>
      </c>
      <c r="E402" t="s">
        <v>6</v>
      </c>
      <c r="F402">
        <v>97.870111109999996</v>
      </c>
      <c r="G402">
        <f t="shared" si="12"/>
        <v>97.870111109999996</v>
      </c>
      <c r="I402" s="5">
        <v>330</v>
      </c>
      <c r="J402">
        <f t="shared" si="13"/>
        <v>2021</v>
      </c>
      <c r="M402" s="2">
        <v>44157</v>
      </c>
    </row>
    <row r="403" spans="1:13" x14ac:dyDescent="0.25">
      <c r="A403" t="s">
        <v>15</v>
      </c>
      <c r="B403" s="2">
        <v>44349</v>
      </c>
      <c r="C403">
        <v>2021</v>
      </c>
      <c r="E403" t="s">
        <v>6</v>
      </c>
      <c r="F403">
        <v>102.58633330000001</v>
      </c>
      <c r="G403">
        <f t="shared" si="12"/>
        <v>102.58633330000001</v>
      </c>
      <c r="H403" t="s">
        <v>32</v>
      </c>
      <c r="I403" s="5">
        <v>330</v>
      </c>
      <c r="J403">
        <f t="shared" si="13"/>
        <v>2021</v>
      </c>
      <c r="M403" s="2">
        <v>44161</v>
      </c>
    </row>
    <row r="404" spans="1:13" x14ac:dyDescent="0.25">
      <c r="A404" t="s">
        <v>20</v>
      </c>
      <c r="B404" s="2">
        <v>44221</v>
      </c>
      <c r="C404">
        <v>2021</v>
      </c>
      <c r="E404" t="s">
        <v>9</v>
      </c>
      <c r="F404">
        <v>66.148111110000002</v>
      </c>
      <c r="G404">
        <f t="shared" si="12"/>
        <v>66.148111110000002</v>
      </c>
      <c r="I404" s="4">
        <v>327</v>
      </c>
      <c r="J404">
        <f t="shared" si="13"/>
        <v>2021</v>
      </c>
      <c r="M404" s="2">
        <v>44159</v>
      </c>
    </row>
    <row r="405" spans="1:13" x14ac:dyDescent="0.25">
      <c r="A405" t="s">
        <v>20</v>
      </c>
      <c r="B405" s="2">
        <v>44245</v>
      </c>
      <c r="C405">
        <v>2021</v>
      </c>
      <c r="E405" t="s">
        <v>9</v>
      </c>
      <c r="F405">
        <v>78.188777779999995</v>
      </c>
      <c r="G405">
        <f t="shared" si="12"/>
        <v>78.188777779999995</v>
      </c>
      <c r="I405" s="4">
        <v>327</v>
      </c>
      <c r="J405">
        <f t="shared" si="13"/>
        <v>2021</v>
      </c>
      <c r="M405" s="2">
        <v>44519</v>
      </c>
    </row>
    <row r="406" spans="1:13" x14ac:dyDescent="0.25">
      <c r="A406" t="s">
        <v>20</v>
      </c>
      <c r="B406" s="2">
        <v>44256</v>
      </c>
      <c r="C406">
        <v>2021</v>
      </c>
      <c r="E406" t="s">
        <v>9</v>
      </c>
      <c r="F406">
        <v>85.639222219999994</v>
      </c>
      <c r="G406">
        <f t="shared" si="12"/>
        <v>85.639222219999994</v>
      </c>
      <c r="I406" s="4">
        <v>327</v>
      </c>
      <c r="J406">
        <f t="shared" si="13"/>
        <v>2021</v>
      </c>
      <c r="M406" s="2">
        <v>44529</v>
      </c>
    </row>
    <row r="407" spans="1:13" x14ac:dyDescent="0.25">
      <c r="A407" t="s">
        <v>20</v>
      </c>
      <c r="B407" s="2">
        <v>44271</v>
      </c>
      <c r="C407">
        <v>2021</v>
      </c>
      <c r="E407" t="s">
        <v>9</v>
      </c>
      <c r="F407">
        <v>91.981555560000004</v>
      </c>
      <c r="G407">
        <f t="shared" si="12"/>
        <v>91.981555560000004</v>
      </c>
      <c r="I407" s="4">
        <v>327</v>
      </c>
      <c r="J407">
        <f t="shared" si="13"/>
        <v>2021</v>
      </c>
      <c r="M407" s="2">
        <v>44518</v>
      </c>
    </row>
    <row r="408" spans="1:13" x14ac:dyDescent="0.25">
      <c r="A408" t="s">
        <v>20</v>
      </c>
      <c r="B408" s="2">
        <v>44284</v>
      </c>
      <c r="C408">
        <v>2021</v>
      </c>
      <c r="E408" t="s">
        <v>9</v>
      </c>
      <c r="F408">
        <v>96.656555560000001</v>
      </c>
      <c r="G408">
        <f t="shared" si="12"/>
        <v>96.656555560000001</v>
      </c>
      <c r="H408" s="5"/>
      <c r="I408" s="4">
        <v>327</v>
      </c>
      <c r="J408">
        <f t="shared" si="13"/>
        <v>2021</v>
      </c>
      <c r="M408" s="2">
        <v>44522</v>
      </c>
    </row>
    <row r="409" spans="1:13" x14ac:dyDescent="0.25">
      <c r="A409" t="s">
        <v>20</v>
      </c>
      <c r="B409" s="2">
        <v>44298</v>
      </c>
      <c r="C409">
        <v>2021</v>
      </c>
      <c r="E409" t="s">
        <v>9</v>
      </c>
      <c r="F409">
        <v>102.13188890000001</v>
      </c>
      <c r="G409">
        <f t="shared" si="12"/>
        <v>102.13188890000001</v>
      </c>
      <c r="I409" s="4">
        <v>327</v>
      </c>
      <c r="J409">
        <f t="shared" si="13"/>
        <v>2021</v>
      </c>
      <c r="M409" s="2">
        <v>44518</v>
      </c>
    </row>
    <row r="410" spans="1:13" x14ac:dyDescent="0.25">
      <c r="A410" t="s">
        <v>20</v>
      </c>
      <c r="B410" s="2">
        <v>44307</v>
      </c>
      <c r="C410">
        <v>2021</v>
      </c>
      <c r="E410" t="s">
        <v>9</v>
      </c>
      <c r="F410">
        <v>106.438</v>
      </c>
      <c r="G410">
        <f t="shared" si="12"/>
        <v>106.438</v>
      </c>
      <c r="I410" s="4">
        <v>327</v>
      </c>
      <c r="J410">
        <f t="shared" si="13"/>
        <v>2021</v>
      </c>
      <c r="M410" s="2">
        <v>44518</v>
      </c>
    </row>
    <row r="411" spans="1:13" x14ac:dyDescent="0.25">
      <c r="A411" t="s">
        <v>20</v>
      </c>
      <c r="B411" s="2">
        <v>44315</v>
      </c>
      <c r="C411">
        <v>2021</v>
      </c>
      <c r="E411" t="s">
        <v>9</v>
      </c>
      <c r="F411">
        <v>114.3467778</v>
      </c>
      <c r="G411">
        <f t="shared" si="12"/>
        <v>114.3467778</v>
      </c>
      <c r="I411" s="4">
        <v>327</v>
      </c>
      <c r="J411">
        <f t="shared" si="13"/>
        <v>2021</v>
      </c>
      <c r="M411" s="2">
        <v>44519</v>
      </c>
    </row>
    <row r="412" spans="1:13" x14ac:dyDescent="0.25">
      <c r="A412" t="s">
        <v>20</v>
      </c>
      <c r="B412" s="2">
        <v>44321</v>
      </c>
      <c r="C412">
        <v>2021</v>
      </c>
      <c r="E412" t="s">
        <v>9</v>
      </c>
      <c r="F412">
        <v>108.5084444</v>
      </c>
      <c r="G412">
        <f t="shared" si="12"/>
        <v>108.5084444</v>
      </c>
      <c r="I412" s="4">
        <v>327</v>
      </c>
      <c r="J412">
        <f t="shared" si="13"/>
        <v>2021</v>
      </c>
      <c r="M412" s="2">
        <v>44529</v>
      </c>
    </row>
    <row r="413" spans="1:13" x14ac:dyDescent="0.25">
      <c r="A413" t="s">
        <v>20</v>
      </c>
      <c r="B413" s="2">
        <v>44333</v>
      </c>
      <c r="C413">
        <v>2021</v>
      </c>
      <c r="E413" t="s">
        <v>9</v>
      </c>
      <c r="F413">
        <v>110.1386667</v>
      </c>
      <c r="G413">
        <f t="shared" si="12"/>
        <v>110.1386667</v>
      </c>
      <c r="I413" s="4">
        <v>327</v>
      </c>
      <c r="J413">
        <f t="shared" si="13"/>
        <v>2021</v>
      </c>
      <c r="M413" s="2">
        <v>44518</v>
      </c>
    </row>
    <row r="414" spans="1:13" x14ac:dyDescent="0.25">
      <c r="A414" t="s">
        <v>20</v>
      </c>
      <c r="B414" s="2">
        <v>44347</v>
      </c>
      <c r="C414">
        <v>2021</v>
      </c>
      <c r="E414" t="s">
        <v>9</v>
      </c>
      <c r="F414">
        <v>114.625</v>
      </c>
      <c r="G414">
        <f t="shared" si="12"/>
        <v>114.625</v>
      </c>
      <c r="H414" t="s">
        <v>32</v>
      </c>
      <c r="I414" s="4">
        <v>327</v>
      </c>
      <c r="J414">
        <f t="shared" si="13"/>
        <v>2021</v>
      </c>
      <c r="M414" s="2">
        <v>44522</v>
      </c>
    </row>
    <row r="415" spans="1:13" x14ac:dyDescent="0.25">
      <c r="A415" t="s">
        <v>16</v>
      </c>
      <c r="B415" s="2">
        <v>44603</v>
      </c>
      <c r="C415">
        <v>2022</v>
      </c>
      <c r="D415" s="2"/>
      <c r="E415" t="s">
        <v>6</v>
      </c>
      <c r="F415">
        <v>65.7</v>
      </c>
      <c r="G415">
        <f t="shared" si="12"/>
        <v>65.7</v>
      </c>
      <c r="I415" s="5">
        <v>326</v>
      </c>
      <c r="J415">
        <f t="shared" si="13"/>
        <v>2022</v>
      </c>
      <c r="M415" s="2">
        <v>44519</v>
      </c>
    </row>
    <row r="416" spans="1:13" x14ac:dyDescent="0.25">
      <c r="A416" t="s">
        <v>16</v>
      </c>
      <c r="B416" s="2">
        <v>44608</v>
      </c>
      <c r="C416">
        <v>2022</v>
      </c>
      <c r="E416" t="s">
        <v>6</v>
      </c>
      <c r="F416">
        <v>77</v>
      </c>
      <c r="G416">
        <f t="shared" si="12"/>
        <v>77</v>
      </c>
      <c r="I416" s="5">
        <v>326</v>
      </c>
      <c r="J416">
        <f t="shared" si="13"/>
        <v>2022</v>
      </c>
      <c r="M416" s="2">
        <v>44529</v>
      </c>
    </row>
    <row r="417" spans="1:13" x14ac:dyDescent="0.25">
      <c r="A417" t="s">
        <v>16</v>
      </c>
      <c r="B417" s="2">
        <v>44622</v>
      </c>
      <c r="C417">
        <v>2022</v>
      </c>
      <c r="E417" t="s">
        <v>6</v>
      </c>
      <c r="F417">
        <v>108.9</v>
      </c>
      <c r="G417">
        <f t="shared" si="12"/>
        <v>108.9</v>
      </c>
      <c r="I417" s="5">
        <v>326</v>
      </c>
      <c r="J417">
        <f t="shared" si="13"/>
        <v>2022</v>
      </c>
      <c r="M417" s="2">
        <v>44518</v>
      </c>
    </row>
    <row r="418" spans="1:13" x14ac:dyDescent="0.25">
      <c r="A418" t="s">
        <v>16</v>
      </c>
      <c r="B418" s="2">
        <v>44636</v>
      </c>
      <c r="C418">
        <v>2022</v>
      </c>
      <c r="E418" t="s">
        <v>6</v>
      </c>
      <c r="F418">
        <v>87.8</v>
      </c>
      <c r="G418">
        <f t="shared" si="12"/>
        <v>87.8</v>
      </c>
      <c r="I418" s="5">
        <v>326</v>
      </c>
      <c r="J418">
        <f t="shared" si="13"/>
        <v>2022</v>
      </c>
      <c r="M418" s="2">
        <v>44522</v>
      </c>
    </row>
    <row r="419" spans="1:13" x14ac:dyDescent="0.25">
      <c r="A419" t="s">
        <v>16</v>
      </c>
      <c r="B419" s="2">
        <v>44650</v>
      </c>
      <c r="C419">
        <v>2022</v>
      </c>
      <c r="E419" t="s">
        <v>6</v>
      </c>
      <c r="F419">
        <v>92</v>
      </c>
      <c r="G419">
        <f t="shared" si="12"/>
        <v>92</v>
      </c>
      <c r="H419" s="5"/>
      <c r="I419" s="5">
        <v>326</v>
      </c>
      <c r="J419">
        <f t="shared" si="13"/>
        <v>2022</v>
      </c>
      <c r="M419" s="2">
        <v>44518</v>
      </c>
    </row>
    <row r="420" spans="1:13" x14ac:dyDescent="0.25">
      <c r="A420" t="s">
        <v>16</v>
      </c>
      <c r="B420" s="2">
        <v>44664</v>
      </c>
      <c r="C420">
        <v>2022</v>
      </c>
      <c r="E420" t="s">
        <v>6</v>
      </c>
      <c r="F420">
        <v>100</v>
      </c>
      <c r="G420">
        <f t="shared" si="12"/>
        <v>100</v>
      </c>
      <c r="I420" s="5">
        <v>326</v>
      </c>
      <c r="J420">
        <f t="shared" si="13"/>
        <v>2022</v>
      </c>
      <c r="M420" s="2">
        <v>44518</v>
      </c>
    </row>
    <row r="421" spans="1:13" x14ac:dyDescent="0.25">
      <c r="A421" t="s">
        <v>16</v>
      </c>
      <c r="B421" s="2">
        <v>44672</v>
      </c>
      <c r="C421">
        <v>2022</v>
      </c>
      <c r="E421" t="s">
        <v>6</v>
      </c>
      <c r="F421">
        <v>102.7</v>
      </c>
      <c r="G421">
        <f t="shared" si="12"/>
        <v>102.7</v>
      </c>
      <c r="I421" s="5">
        <v>326</v>
      </c>
      <c r="J421">
        <f t="shared" si="13"/>
        <v>2022</v>
      </c>
      <c r="M421" s="2">
        <v>44519</v>
      </c>
    </row>
    <row r="422" spans="1:13" x14ac:dyDescent="0.25">
      <c r="A422" t="s">
        <v>16</v>
      </c>
      <c r="B422" s="2">
        <v>44680</v>
      </c>
      <c r="C422">
        <v>2022</v>
      </c>
      <c r="E422" t="s">
        <v>6</v>
      </c>
      <c r="F422">
        <v>102.5</v>
      </c>
      <c r="G422">
        <f t="shared" si="12"/>
        <v>102.5</v>
      </c>
      <c r="I422" s="5">
        <v>326</v>
      </c>
      <c r="J422">
        <f t="shared" si="13"/>
        <v>2022</v>
      </c>
      <c r="M422" s="2">
        <v>44529</v>
      </c>
    </row>
    <row r="423" spans="1:13" x14ac:dyDescent="0.25">
      <c r="A423" t="s">
        <v>16</v>
      </c>
      <c r="B423" s="2">
        <v>44685</v>
      </c>
      <c r="C423">
        <v>2022</v>
      </c>
      <c r="E423" t="s">
        <v>6</v>
      </c>
      <c r="F423">
        <v>105.9</v>
      </c>
      <c r="G423">
        <f t="shared" si="12"/>
        <v>105.9</v>
      </c>
      <c r="I423" s="5">
        <v>326</v>
      </c>
      <c r="J423">
        <f t="shared" si="13"/>
        <v>2022</v>
      </c>
      <c r="M423" s="2">
        <v>44518</v>
      </c>
    </row>
    <row r="424" spans="1:13" x14ac:dyDescent="0.25">
      <c r="A424" t="s">
        <v>16</v>
      </c>
      <c r="B424" s="2">
        <v>44699</v>
      </c>
      <c r="C424">
        <v>2022</v>
      </c>
      <c r="E424" t="s">
        <v>6</v>
      </c>
      <c r="F424">
        <v>110.1</v>
      </c>
      <c r="G424">
        <f t="shared" si="12"/>
        <v>110.1</v>
      </c>
      <c r="I424" s="5">
        <v>326</v>
      </c>
      <c r="J424">
        <f t="shared" si="13"/>
        <v>2022</v>
      </c>
      <c r="M424" s="2">
        <v>44522</v>
      </c>
    </row>
    <row r="425" spans="1:13" x14ac:dyDescent="0.25">
      <c r="A425" t="s">
        <v>16</v>
      </c>
      <c r="B425" s="2">
        <v>44713</v>
      </c>
      <c r="C425">
        <v>2022</v>
      </c>
      <c r="E425" t="s">
        <v>6</v>
      </c>
      <c r="F425">
        <v>108.5</v>
      </c>
      <c r="G425">
        <f t="shared" si="12"/>
        <v>108.5</v>
      </c>
      <c r="H425" t="s">
        <v>32</v>
      </c>
      <c r="I425" s="5">
        <v>326</v>
      </c>
      <c r="J425">
        <f t="shared" si="13"/>
        <v>2022</v>
      </c>
      <c r="M425" s="2">
        <v>44518</v>
      </c>
    </row>
    <row r="426" spans="1:13" x14ac:dyDescent="0.25">
      <c r="A426" t="s">
        <v>16</v>
      </c>
      <c r="B426" s="2">
        <v>44595</v>
      </c>
      <c r="C426">
        <v>2022</v>
      </c>
      <c r="E426" t="s">
        <v>6</v>
      </c>
      <c r="F426">
        <v>82.8</v>
      </c>
      <c r="G426">
        <f t="shared" si="12"/>
        <v>82.8</v>
      </c>
      <c r="I426" s="5">
        <v>326</v>
      </c>
      <c r="J426">
        <f t="shared" si="13"/>
        <v>2022</v>
      </c>
      <c r="M426" s="2">
        <v>44519</v>
      </c>
    </row>
    <row r="427" spans="1:13" x14ac:dyDescent="0.25">
      <c r="A427" t="s">
        <v>16</v>
      </c>
      <c r="B427" s="2">
        <v>44608</v>
      </c>
      <c r="C427">
        <v>2022</v>
      </c>
      <c r="E427" t="s">
        <v>6</v>
      </c>
      <c r="F427">
        <v>96.5</v>
      </c>
      <c r="G427">
        <f t="shared" si="12"/>
        <v>96.5</v>
      </c>
      <c r="I427" s="5">
        <v>326</v>
      </c>
      <c r="J427">
        <f t="shared" si="13"/>
        <v>2022</v>
      </c>
      <c r="M427" s="2">
        <v>44529</v>
      </c>
    </row>
    <row r="428" spans="1:13" x14ac:dyDescent="0.25">
      <c r="A428" t="s">
        <v>16</v>
      </c>
      <c r="B428" s="2">
        <v>44622</v>
      </c>
      <c r="C428">
        <v>2022</v>
      </c>
      <c r="E428" t="s">
        <v>6</v>
      </c>
      <c r="F428">
        <v>109</v>
      </c>
      <c r="G428">
        <f t="shared" si="12"/>
        <v>109</v>
      </c>
      <c r="I428" s="5">
        <v>326</v>
      </c>
      <c r="J428">
        <f t="shared" si="13"/>
        <v>2022</v>
      </c>
      <c r="M428" s="2">
        <v>44518</v>
      </c>
    </row>
    <row r="429" spans="1:13" x14ac:dyDescent="0.25">
      <c r="A429" t="s">
        <v>16</v>
      </c>
      <c r="B429" s="2">
        <v>44636</v>
      </c>
      <c r="C429">
        <v>2022</v>
      </c>
      <c r="E429" t="s">
        <v>6</v>
      </c>
      <c r="F429">
        <v>118.6</v>
      </c>
      <c r="G429">
        <f t="shared" si="12"/>
        <v>118.6</v>
      </c>
      <c r="I429" s="5">
        <v>326</v>
      </c>
      <c r="J429">
        <f t="shared" si="13"/>
        <v>2022</v>
      </c>
      <c r="M429" s="2">
        <v>44522</v>
      </c>
    </row>
    <row r="430" spans="1:13" x14ac:dyDescent="0.25">
      <c r="A430" t="s">
        <v>16</v>
      </c>
      <c r="B430" s="2">
        <v>44650</v>
      </c>
      <c r="C430">
        <v>2022</v>
      </c>
      <c r="E430" t="s">
        <v>6</v>
      </c>
      <c r="F430">
        <v>122</v>
      </c>
      <c r="G430">
        <f t="shared" si="12"/>
        <v>122</v>
      </c>
      <c r="H430" s="5"/>
      <c r="I430" s="5">
        <v>326</v>
      </c>
      <c r="J430">
        <f t="shared" si="13"/>
        <v>2022</v>
      </c>
      <c r="M430" s="2">
        <v>44518</v>
      </c>
    </row>
    <row r="431" spans="1:13" x14ac:dyDescent="0.25">
      <c r="A431" t="s">
        <v>16</v>
      </c>
      <c r="B431" s="2">
        <v>44664</v>
      </c>
      <c r="C431">
        <v>2022</v>
      </c>
      <c r="E431" t="s">
        <v>6</v>
      </c>
      <c r="F431">
        <v>130.69999999999999</v>
      </c>
      <c r="G431">
        <f t="shared" si="12"/>
        <v>130.69999999999999</v>
      </c>
      <c r="I431" s="5">
        <v>326</v>
      </c>
      <c r="J431">
        <f t="shared" si="13"/>
        <v>2022</v>
      </c>
      <c r="M431" s="2">
        <v>44519</v>
      </c>
    </row>
    <row r="432" spans="1:13" x14ac:dyDescent="0.25">
      <c r="A432" t="s">
        <v>16</v>
      </c>
      <c r="B432" s="2">
        <v>44672</v>
      </c>
      <c r="C432">
        <v>2022</v>
      </c>
      <c r="E432" t="s">
        <v>6</v>
      </c>
      <c r="F432">
        <v>130.80000000000001</v>
      </c>
      <c r="G432">
        <f t="shared" si="12"/>
        <v>130.80000000000001</v>
      </c>
      <c r="I432" s="5">
        <v>326</v>
      </c>
      <c r="J432">
        <f t="shared" si="13"/>
        <v>2022</v>
      </c>
      <c r="M432" s="2">
        <v>44529</v>
      </c>
    </row>
    <row r="433" spans="1:13" x14ac:dyDescent="0.25">
      <c r="A433" t="s">
        <v>16</v>
      </c>
      <c r="B433" s="2">
        <v>44680</v>
      </c>
      <c r="C433">
        <v>2022</v>
      </c>
      <c r="E433" t="s">
        <v>6</v>
      </c>
      <c r="F433">
        <v>131.6</v>
      </c>
      <c r="G433">
        <f t="shared" si="12"/>
        <v>131.6</v>
      </c>
      <c r="I433" s="5">
        <v>326</v>
      </c>
      <c r="J433">
        <f t="shared" si="13"/>
        <v>2022</v>
      </c>
      <c r="M433" s="2">
        <v>44518</v>
      </c>
    </row>
    <row r="434" spans="1:13" x14ac:dyDescent="0.25">
      <c r="A434" t="s">
        <v>16</v>
      </c>
      <c r="B434" s="2">
        <v>44685</v>
      </c>
      <c r="C434">
        <v>2022</v>
      </c>
      <c r="E434" t="s">
        <v>6</v>
      </c>
      <c r="F434">
        <v>134.6</v>
      </c>
      <c r="G434">
        <f t="shared" si="12"/>
        <v>134.6</v>
      </c>
      <c r="I434" s="5">
        <v>326</v>
      </c>
      <c r="J434">
        <f t="shared" si="13"/>
        <v>2022</v>
      </c>
      <c r="M434" s="2">
        <v>44522</v>
      </c>
    </row>
    <row r="435" spans="1:13" x14ac:dyDescent="0.25">
      <c r="A435" t="s">
        <v>16</v>
      </c>
      <c r="B435" s="2">
        <v>44699</v>
      </c>
      <c r="C435">
        <v>2022</v>
      </c>
      <c r="E435" t="s">
        <v>6</v>
      </c>
      <c r="F435">
        <v>134.80000000000001</v>
      </c>
      <c r="G435">
        <f t="shared" si="12"/>
        <v>134.80000000000001</v>
      </c>
      <c r="I435" s="5">
        <v>326</v>
      </c>
      <c r="J435">
        <f t="shared" si="13"/>
        <v>2022</v>
      </c>
      <c r="M435" s="2">
        <v>44518</v>
      </c>
    </row>
    <row r="436" spans="1:13" x14ac:dyDescent="0.25">
      <c r="A436" t="s">
        <v>16</v>
      </c>
      <c r="B436" s="2">
        <v>44713</v>
      </c>
      <c r="C436">
        <v>2022</v>
      </c>
      <c r="E436" t="s">
        <v>6</v>
      </c>
      <c r="F436">
        <v>134.30000000000001</v>
      </c>
      <c r="G436">
        <f t="shared" si="12"/>
        <v>134.30000000000001</v>
      </c>
      <c r="H436" t="s">
        <v>32</v>
      </c>
      <c r="I436" s="5">
        <v>326</v>
      </c>
      <c r="J436">
        <f t="shared" si="13"/>
        <v>2022</v>
      </c>
      <c r="M436" s="2">
        <v>44519</v>
      </c>
    </row>
    <row r="437" spans="1:13" x14ac:dyDescent="0.25">
      <c r="A437" t="s">
        <v>16</v>
      </c>
      <c r="B437" s="2">
        <v>44595</v>
      </c>
      <c r="C437">
        <v>2022</v>
      </c>
      <c r="D437" s="2"/>
      <c r="E437" t="s">
        <v>6</v>
      </c>
      <c r="F437">
        <v>73.099999999999994</v>
      </c>
      <c r="G437">
        <f t="shared" si="12"/>
        <v>73.099999999999994</v>
      </c>
      <c r="I437" s="5">
        <v>327</v>
      </c>
      <c r="J437">
        <f t="shared" si="13"/>
        <v>2022</v>
      </c>
      <c r="M437" s="2">
        <v>44529</v>
      </c>
    </row>
    <row r="438" spans="1:13" x14ac:dyDescent="0.25">
      <c r="A438" t="s">
        <v>16</v>
      </c>
      <c r="B438" s="2">
        <v>44608</v>
      </c>
      <c r="C438">
        <v>2022</v>
      </c>
      <c r="E438" t="s">
        <v>6</v>
      </c>
      <c r="F438">
        <v>85.9</v>
      </c>
      <c r="G438">
        <f t="shared" si="12"/>
        <v>85.9</v>
      </c>
      <c r="I438" s="5">
        <v>327</v>
      </c>
      <c r="J438">
        <f t="shared" si="13"/>
        <v>2022</v>
      </c>
      <c r="M438" s="2">
        <v>44518</v>
      </c>
    </row>
    <row r="439" spans="1:13" x14ac:dyDescent="0.25">
      <c r="A439" t="s">
        <v>16</v>
      </c>
      <c r="B439" s="2">
        <v>44622</v>
      </c>
      <c r="C439">
        <v>2022</v>
      </c>
      <c r="E439" t="s">
        <v>6</v>
      </c>
      <c r="F439">
        <v>91</v>
      </c>
      <c r="G439">
        <f t="shared" si="12"/>
        <v>91</v>
      </c>
      <c r="I439" s="5">
        <v>327</v>
      </c>
      <c r="J439">
        <f t="shared" si="13"/>
        <v>2022</v>
      </c>
      <c r="M439" s="2">
        <v>44522</v>
      </c>
    </row>
    <row r="440" spans="1:13" x14ac:dyDescent="0.25">
      <c r="A440" t="s">
        <v>16</v>
      </c>
      <c r="B440" s="2">
        <v>44636</v>
      </c>
      <c r="C440">
        <v>2022</v>
      </c>
      <c r="E440" t="s">
        <v>6</v>
      </c>
      <c r="F440">
        <v>102.2</v>
      </c>
      <c r="G440">
        <f t="shared" si="12"/>
        <v>102.2</v>
      </c>
      <c r="H440" s="5"/>
      <c r="I440" s="5">
        <v>327</v>
      </c>
      <c r="J440">
        <f t="shared" si="13"/>
        <v>2022</v>
      </c>
      <c r="M440" s="2">
        <v>44518</v>
      </c>
    </row>
    <row r="441" spans="1:13" x14ac:dyDescent="0.25">
      <c r="A441" t="s">
        <v>16</v>
      </c>
      <c r="B441" s="2">
        <v>44650</v>
      </c>
      <c r="C441">
        <v>2022</v>
      </c>
      <c r="E441" t="s">
        <v>6</v>
      </c>
      <c r="F441">
        <v>107.1</v>
      </c>
      <c r="G441">
        <f t="shared" si="12"/>
        <v>107.1</v>
      </c>
      <c r="I441" s="5">
        <v>327</v>
      </c>
      <c r="J441">
        <f t="shared" si="13"/>
        <v>2022</v>
      </c>
      <c r="M441" s="2">
        <v>44519</v>
      </c>
    </row>
    <row r="442" spans="1:13" x14ac:dyDescent="0.25">
      <c r="A442" t="s">
        <v>16</v>
      </c>
      <c r="B442" s="2">
        <v>44664</v>
      </c>
      <c r="C442">
        <v>2022</v>
      </c>
      <c r="E442" t="s">
        <v>6</v>
      </c>
      <c r="F442">
        <v>113.7</v>
      </c>
      <c r="G442">
        <f t="shared" si="12"/>
        <v>113.7</v>
      </c>
      <c r="I442" s="5">
        <v>327</v>
      </c>
      <c r="J442">
        <f t="shared" si="13"/>
        <v>2022</v>
      </c>
      <c r="M442" s="2">
        <v>44529</v>
      </c>
    </row>
    <row r="443" spans="1:13" x14ac:dyDescent="0.25">
      <c r="A443" t="s">
        <v>16</v>
      </c>
      <c r="B443" s="2">
        <v>44673</v>
      </c>
      <c r="C443">
        <v>2022</v>
      </c>
      <c r="E443" t="s">
        <v>6</v>
      </c>
      <c r="F443">
        <v>111.4</v>
      </c>
      <c r="G443">
        <f t="shared" si="12"/>
        <v>111.4</v>
      </c>
      <c r="I443" s="5">
        <v>327</v>
      </c>
      <c r="J443">
        <f t="shared" si="13"/>
        <v>2022</v>
      </c>
      <c r="M443" s="2">
        <v>44518</v>
      </c>
    </row>
    <row r="444" spans="1:13" x14ac:dyDescent="0.25">
      <c r="A444" t="s">
        <v>16</v>
      </c>
      <c r="B444" s="2">
        <v>44680</v>
      </c>
      <c r="C444">
        <v>2022</v>
      </c>
      <c r="E444" t="s">
        <v>6</v>
      </c>
      <c r="F444">
        <v>118.6</v>
      </c>
      <c r="G444">
        <f t="shared" si="12"/>
        <v>118.6</v>
      </c>
      <c r="I444" s="5">
        <v>327</v>
      </c>
      <c r="J444">
        <f t="shared" si="13"/>
        <v>2022</v>
      </c>
      <c r="M444" s="2">
        <v>44522</v>
      </c>
    </row>
    <row r="445" spans="1:13" x14ac:dyDescent="0.25">
      <c r="A445" t="s">
        <v>16</v>
      </c>
      <c r="B445" s="2">
        <v>44685</v>
      </c>
      <c r="C445">
        <v>2022</v>
      </c>
      <c r="E445" t="s">
        <v>6</v>
      </c>
      <c r="F445">
        <v>120.7</v>
      </c>
      <c r="G445">
        <f t="shared" si="12"/>
        <v>120.7</v>
      </c>
      <c r="I445" s="5">
        <v>327</v>
      </c>
      <c r="J445">
        <f t="shared" si="13"/>
        <v>2022</v>
      </c>
      <c r="M445" s="2">
        <v>44518</v>
      </c>
    </row>
    <row r="446" spans="1:13" x14ac:dyDescent="0.25">
      <c r="A446" t="s">
        <v>16</v>
      </c>
      <c r="B446" s="2">
        <v>44699</v>
      </c>
      <c r="C446">
        <v>2022</v>
      </c>
      <c r="E446" t="s">
        <v>6</v>
      </c>
      <c r="F446">
        <v>127</v>
      </c>
      <c r="G446">
        <f t="shared" si="12"/>
        <v>127</v>
      </c>
      <c r="I446" s="5">
        <v>327</v>
      </c>
      <c r="J446">
        <f t="shared" si="13"/>
        <v>2022</v>
      </c>
      <c r="M446" s="2">
        <v>44519</v>
      </c>
    </row>
    <row r="447" spans="1:13" x14ac:dyDescent="0.25">
      <c r="A447" t="s">
        <v>16</v>
      </c>
      <c r="B447" s="2">
        <v>44713</v>
      </c>
      <c r="C447">
        <v>2022</v>
      </c>
      <c r="E447" t="s">
        <v>6</v>
      </c>
      <c r="F447">
        <v>126.8</v>
      </c>
      <c r="G447">
        <f t="shared" si="12"/>
        <v>126.8</v>
      </c>
      <c r="H447" t="s">
        <v>32</v>
      </c>
      <c r="I447" s="5">
        <v>327</v>
      </c>
      <c r="J447">
        <f t="shared" si="13"/>
        <v>2022</v>
      </c>
      <c r="M447" s="2">
        <v>44529</v>
      </c>
    </row>
    <row r="448" spans="1:13" x14ac:dyDescent="0.25">
      <c r="A448" t="s">
        <v>16</v>
      </c>
      <c r="B448" s="2">
        <v>44595</v>
      </c>
      <c r="C448">
        <v>2022</v>
      </c>
      <c r="E448" t="s">
        <v>6</v>
      </c>
      <c r="F448">
        <v>69.599999999999994</v>
      </c>
      <c r="G448">
        <f t="shared" si="12"/>
        <v>69.599999999999994</v>
      </c>
      <c r="I448" s="5">
        <v>326</v>
      </c>
      <c r="J448">
        <f t="shared" si="13"/>
        <v>2022</v>
      </c>
      <c r="M448" s="2">
        <v>44518</v>
      </c>
    </row>
    <row r="449" spans="1:13" x14ac:dyDescent="0.25">
      <c r="A449" t="s">
        <v>16</v>
      </c>
      <c r="B449" s="2">
        <v>44608</v>
      </c>
      <c r="C449">
        <v>2022</v>
      </c>
      <c r="E449" t="s">
        <v>6</v>
      </c>
      <c r="F449">
        <v>80.2</v>
      </c>
      <c r="G449">
        <f t="shared" si="12"/>
        <v>80.2</v>
      </c>
      <c r="I449" s="5">
        <v>326</v>
      </c>
      <c r="J449">
        <f t="shared" si="13"/>
        <v>2022</v>
      </c>
      <c r="M449" s="2">
        <v>44522</v>
      </c>
    </row>
    <row r="450" spans="1:13" x14ac:dyDescent="0.25">
      <c r="A450" t="s">
        <v>16</v>
      </c>
      <c r="B450" s="2">
        <v>44622</v>
      </c>
      <c r="C450">
        <v>2022</v>
      </c>
      <c r="E450" t="s">
        <v>6</v>
      </c>
      <c r="F450">
        <v>85.8</v>
      </c>
      <c r="G450">
        <f t="shared" si="12"/>
        <v>85.8</v>
      </c>
      <c r="I450" s="5">
        <v>326</v>
      </c>
      <c r="J450">
        <f t="shared" si="13"/>
        <v>2022</v>
      </c>
      <c r="M450" s="2">
        <v>44518</v>
      </c>
    </row>
    <row r="451" spans="1:13" x14ac:dyDescent="0.25">
      <c r="A451" t="s">
        <v>16</v>
      </c>
      <c r="B451" s="2">
        <v>44636</v>
      </c>
      <c r="C451">
        <v>2022</v>
      </c>
      <c r="E451" t="s">
        <v>6</v>
      </c>
      <c r="F451">
        <v>96.4</v>
      </c>
      <c r="G451">
        <f t="shared" ref="G451:G514" si="14">F451</f>
        <v>96.4</v>
      </c>
      <c r="I451" s="5">
        <v>326</v>
      </c>
      <c r="J451">
        <f t="shared" ref="J451:J514" si="15">YEAR(B451)</f>
        <v>2022</v>
      </c>
      <c r="M451" s="2">
        <v>44519</v>
      </c>
    </row>
    <row r="452" spans="1:13" x14ac:dyDescent="0.25">
      <c r="A452" t="s">
        <v>16</v>
      </c>
      <c r="B452" s="2">
        <v>44650</v>
      </c>
      <c r="C452">
        <v>2022</v>
      </c>
      <c r="E452" t="s">
        <v>6</v>
      </c>
      <c r="F452">
        <v>106.7</v>
      </c>
      <c r="G452">
        <f t="shared" si="14"/>
        <v>106.7</v>
      </c>
      <c r="H452" s="5"/>
      <c r="I452" s="5">
        <v>326</v>
      </c>
      <c r="J452">
        <f t="shared" si="15"/>
        <v>2022</v>
      </c>
      <c r="M452" s="2">
        <v>44529</v>
      </c>
    </row>
    <row r="453" spans="1:13" x14ac:dyDescent="0.25">
      <c r="A453" t="s">
        <v>16</v>
      </c>
      <c r="B453" s="2">
        <v>44664</v>
      </c>
      <c r="C453">
        <v>2022</v>
      </c>
      <c r="E453" t="s">
        <v>6</v>
      </c>
      <c r="F453">
        <v>114</v>
      </c>
      <c r="G453">
        <f t="shared" si="14"/>
        <v>114</v>
      </c>
      <c r="I453" s="5">
        <v>326</v>
      </c>
      <c r="J453">
        <f t="shared" si="15"/>
        <v>2022</v>
      </c>
      <c r="M453" s="2">
        <v>44518</v>
      </c>
    </row>
    <row r="454" spans="1:13" x14ac:dyDescent="0.25">
      <c r="A454" t="s">
        <v>16</v>
      </c>
      <c r="B454" s="2">
        <v>44673</v>
      </c>
      <c r="C454">
        <v>2022</v>
      </c>
      <c r="E454" t="s">
        <v>6</v>
      </c>
      <c r="F454">
        <v>111.3</v>
      </c>
      <c r="G454">
        <f t="shared" si="14"/>
        <v>111.3</v>
      </c>
      <c r="I454" s="5">
        <v>326</v>
      </c>
      <c r="J454">
        <f t="shared" si="15"/>
        <v>2022</v>
      </c>
      <c r="M454" s="2">
        <v>44522</v>
      </c>
    </row>
    <row r="455" spans="1:13" x14ac:dyDescent="0.25">
      <c r="A455" t="s">
        <v>16</v>
      </c>
      <c r="B455" s="2">
        <v>44680</v>
      </c>
      <c r="C455">
        <v>2022</v>
      </c>
      <c r="E455" t="s">
        <v>6</v>
      </c>
      <c r="F455">
        <v>109.8</v>
      </c>
      <c r="G455">
        <f t="shared" si="14"/>
        <v>109.8</v>
      </c>
      <c r="I455" s="5">
        <v>326</v>
      </c>
      <c r="J455">
        <f t="shared" si="15"/>
        <v>2022</v>
      </c>
      <c r="M455" s="2">
        <v>44518</v>
      </c>
    </row>
    <row r="456" spans="1:13" x14ac:dyDescent="0.25">
      <c r="A456" t="s">
        <v>16</v>
      </c>
      <c r="B456" s="2">
        <v>44685</v>
      </c>
      <c r="C456">
        <v>2022</v>
      </c>
      <c r="E456" t="s">
        <v>6</v>
      </c>
      <c r="F456">
        <v>112.7</v>
      </c>
      <c r="G456">
        <f t="shared" si="14"/>
        <v>112.7</v>
      </c>
      <c r="I456" s="5">
        <v>326</v>
      </c>
      <c r="J456">
        <f t="shared" si="15"/>
        <v>2022</v>
      </c>
      <c r="M456" s="2">
        <v>44519</v>
      </c>
    </row>
    <row r="457" spans="1:13" x14ac:dyDescent="0.25">
      <c r="A457" t="s">
        <v>16</v>
      </c>
      <c r="B457" s="2">
        <v>44699</v>
      </c>
      <c r="C457">
        <v>2022</v>
      </c>
      <c r="E457" t="s">
        <v>6</v>
      </c>
      <c r="F457">
        <v>115.6</v>
      </c>
      <c r="G457">
        <f t="shared" si="14"/>
        <v>115.6</v>
      </c>
      <c r="I457" s="5">
        <v>326</v>
      </c>
      <c r="J457">
        <f t="shared" si="15"/>
        <v>2022</v>
      </c>
      <c r="M457" s="2">
        <v>44529</v>
      </c>
    </row>
    <row r="458" spans="1:13" x14ac:dyDescent="0.25">
      <c r="A458" t="s">
        <v>16</v>
      </c>
      <c r="B458" s="2">
        <v>44713</v>
      </c>
      <c r="C458">
        <v>2022</v>
      </c>
      <c r="E458" t="s">
        <v>6</v>
      </c>
      <c r="F458">
        <v>117.9</v>
      </c>
      <c r="G458">
        <f t="shared" si="14"/>
        <v>117.9</v>
      </c>
      <c r="H458" t="s">
        <v>32</v>
      </c>
      <c r="I458" s="5">
        <v>326</v>
      </c>
      <c r="J458">
        <f t="shared" si="15"/>
        <v>2022</v>
      </c>
      <c r="M458" s="2">
        <v>44518</v>
      </c>
    </row>
    <row r="459" spans="1:13" x14ac:dyDescent="0.25">
      <c r="A459" t="s">
        <v>16</v>
      </c>
      <c r="B459" s="2">
        <v>44595</v>
      </c>
      <c r="C459">
        <v>2022</v>
      </c>
      <c r="E459" t="s">
        <v>6</v>
      </c>
      <c r="F459">
        <v>83.4</v>
      </c>
      <c r="G459">
        <f t="shared" si="14"/>
        <v>83.4</v>
      </c>
      <c r="I459" s="5">
        <v>326</v>
      </c>
      <c r="J459">
        <f t="shared" si="15"/>
        <v>2022</v>
      </c>
      <c r="M459" s="2">
        <v>44522</v>
      </c>
    </row>
    <row r="460" spans="1:13" x14ac:dyDescent="0.25">
      <c r="A460" t="s">
        <v>16</v>
      </c>
      <c r="B460" s="2">
        <v>44608</v>
      </c>
      <c r="C460">
        <v>2022</v>
      </c>
      <c r="E460" t="s">
        <v>6</v>
      </c>
      <c r="F460">
        <v>94.3</v>
      </c>
      <c r="G460">
        <f t="shared" si="14"/>
        <v>94.3</v>
      </c>
      <c r="I460" s="5">
        <v>326</v>
      </c>
      <c r="J460">
        <f t="shared" si="15"/>
        <v>2022</v>
      </c>
      <c r="M460" s="2">
        <v>44518</v>
      </c>
    </row>
    <row r="461" spans="1:13" x14ac:dyDescent="0.25">
      <c r="A461" t="s">
        <v>16</v>
      </c>
      <c r="B461" s="2">
        <v>44622</v>
      </c>
      <c r="C461">
        <v>2022</v>
      </c>
      <c r="E461" t="s">
        <v>6</v>
      </c>
      <c r="F461">
        <v>102.9</v>
      </c>
      <c r="G461">
        <f t="shared" si="14"/>
        <v>102.9</v>
      </c>
      <c r="I461" s="5">
        <v>326</v>
      </c>
      <c r="J461">
        <f t="shared" si="15"/>
        <v>2022</v>
      </c>
      <c r="M461" s="2">
        <v>44519</v>
      </c>
    </row>
    <row r="462" spans="1:13" x14ac:dyDescent="0.25">
      <c r="A462" t="s">
        <v>16</v>
      </c>
      <c r="B462" s="2">
        <v>44636</v>
      </c>
      <c r="C462">
        <v>2022</v>
      </c>
      <c r="E462" t="s">
        <v>6</v>
      </c>
      <c r="F462">
        <v>104</v>
      </c>
      <c r="G462">
        <f t="shared" si="14"/>
        <v>104</v>
      </c>
      <c r="I462" s="5">
        <v>326</v>
      </c>
      <c r="J462">
        <f t="shared" si="15"/>
        <v>2022</v>
      </c>
      <c r="M462" s="2">
        <v>44529</v>
      </c>
    </row>
    <row r="463" spans="1:13" x14ac:dyDescent="0.25">
      <c r="A463" t="s">
        <v>16</v>
      </c>
      <c r="B463" s="2">
        <v>44650</v>
      </c>
      <c r="C463">
        <v>2022</v>
      </c>
      <c r="E463" t="s">
        <v>6</v>
      </c>
      <c r="F463">
        <v>113.4</v>
      </c>
      <c r="G463">
        <f t="shared" si="14"/>
        <v>113.4</v>
      </c>
      <c r="I463" s="5">
        <v>326</v>
      </c>
      <c r="J463">
        <f t="shared" si="15"/>
        <v>2022</v>
      </c>
      <c r="M463" s="2">
        <v>44518</v>
      </c>
    </row>
    <row r="464" spans="1:13" x14ac:dyDescent="0.25">
      <c r="A464" t="s">
        <v>16</v>
      </c>
      <c r="B464" s="2">
        <v>44664</v>
      </c>
      <c r="C464">
        <v>2022</v>
      </c>
      <c r="E464" t="s">
        <v>6</v>
      </c>
      <c r="F464">
        <v>125.8</v>
      </c>
      <c r="G464">
        <f t="shared" si="14"/>
        <v>125.8</v>
      </c>
      <c r="H464" s="5"/>
      <c r="I464" s="5">
        <v>326</v>
      </c>
      <c r="J464">
        <f t="shared" si="15"/>
        <v>2022</v>
      </c>
      <c r="M464" s="2">
        <v>44522</v>
      </c>
    </row>
    <row r="465" spans="1:13" x14ac:dyDescent="0.25">
      <c r="A465" t="s">
        <v>16</v>
      </c>
      <c r="B465" s="2">
        <v>44672</v>
      </c>
      <c r="C465">
        <v>2022</v>
      </c>
      <c r="E465" t="s">
        <v>6</v>
      </c>
      <c r="F465">
        <v>132.9</v>
      </c>
      <c r="G465">
        <f t="shared" si="14"/>
        <v>132.9</v>
      </c>
      <c r="I465" s="5">
        <v>326</v>
      </c>
      <c r="J465">
        <f t="shared" si="15"/>
        <v>2022</v>
      </c>
      <c r="M465" s="2">
        <v>44518</v>
      </c>
    </row>
    <row r="466" spans="1:13" x14ac:dyDescent="0.25">
      <c r="A466" t="s">
        <v>16</v>
      </c>
      <c r="B466" s="2">
        <v>44680</v>
      </c>
      <c r="C466">
        <v>2022</v>
      </c>
      <c r="E466" t="s">
        <v>6</v>
      </c>
      <c r="F466">
        <v>139.80000000000001</v>
      </c>
      <c r="G466">
        <f t="shared" si="14"/>
        <v>139.80000000000001</v>
      </c>
      <c r="I466" s="5">
        <v>326</v>
      </c>
      <c r="J466">
        <f t="shared" si="15"/>
        <v>2022</v>
      </c>
      <c r="M466" s="2">
        <v>44519</v>
      </c>
    </row>
    <row r="467" spans="1:13" x14ac:dyDescent="0.25">
      <c r="A467" t="s">
        <v>16</v>
      </c>
      <c r="B467" s="2">
        <v>44685</v>
      </c>
      <c r="C467">
        <v>2022</v>
      </c>
      <c r="E467" t="s">
        <v>6</v>
      </c>
      <c r="F467">
        <v>135.1</v>
      </c>
      <c r="G467">
        <f t="shared" si="14"/>
        <v>135.1</v>
      </c>
      <c r="I467" s="5">
        <v>326</v>
      </c>
      <c r="J467">
        <f t="shared" si="15"/>
        <v>2022</v>
      </c>
      <c r="M467" s="2">
        <v>44529</v>
      </c>
    </row>
    <row r="468" spans="1:13" x14ac:dyDescent="0.25">
      <c r="A468" t="s">
        <v>16</v>
      </c>
      <c r="B468" s="2">
        <v>44699</v>
      </c>
      <c r="C468">
        <v>2022</v>
      </c>
      <c r="E468" t="s">
        <v>6</v>
      </c>
      <c r="F468">
        <v>138.1</v>
      </c>
      <c r="G468">
        <f t="shared" si="14"/>
        <v>138.1</v>
      </c>
      <c r="I468" s="5">
        <v>326</v>
      </c>
      <c r="J468">
        <f t="shared" si="15"/>
        <v>2022</v>
      </c>
      <c r="M468" s="2">
        <v>44518</v>
      </c>
    </row>
    <row r="469" spans="1:13" x14ac:dyDescent="0.25">
      <c r="A469" t="s">
        <v>16</v>
      </c>
      <c r="B469" s="2">
        <v>44713</v>
      </c>
      <c r="C469">
        <v>2022</v>
      </c>
      <c r="E469" t="s">
        <v>6</v>
      </c>
      <c r="F469">
        <v>142</v>
      </c>
      <c r="G469">
        <f t="shared" si="14"/>
        <v>142</v>
      </c>
      <c r="H469" t="s">
        <v>32</v>
      </c>
      <c r="I469" s="5">
        <v>326</v>
      </c>
      <c r="J469">
        <f t="shared" si="15"/>
        <v>2022</v>
      </c>
      <c r="M469" s="2">
        <v>44522</v>
      </c>
    </row>
    <row r="470" spans="1:13" x14ac:dyDescent="0.25">
      <c r="A470" t="s">
        <v>21</v>
      </c>
      <c r="B470" s="2">
        <v>44607</v>
      </c>
      <c r="C470">
        <v>2022</v>
      </c>
      <c r="E470" t="s">
        <v>9</v>
      </c>
      <c r="F470">
        <v>66.400000000000006</v>
      </c>
      <c r="G470">
        <f t="shared" si="14"/>
        <v>66.400000000000006</v>
      </c>
      <c r="I470" s="4">
        <v>328</v>
      </c>
      <c r="J470">
        <f t="shared" si="15"/>
        <v>2022</v>
      </c>
      <c r="M470" s="2">
        <v>44886</v>
      </c>
    </row>
    <row r="471" spans="1:13" x14ac:dyDescent="0.25">
      <c r="A471" t="s">
        <v>21</v>
      </c>
      <c r="B471" s="2">
        <v>44608</v>
      </c>
      <c r="C471">
        <v>2022</v>
      </c>
      <c r="E471" t="s">
        <v>9</v>
      </c>
      <c r="F471">
        <v>76.599999999999994</v>
      </c>
      <c r="G471">
        <f t="shared" si="14"/>
        <v>76.599999999999994</v>
      </c>
      <c r="I471" s="4">
        <v>328</v>
      </c>
      <c r="J471">
        <f t="shared" si="15"/>
        <v>2022</v>
      </c>
      <c r="M471" s="2">
        <v>44887</v>
      </c>
    </row>
    <row r="472" spans="1:13" x14ac:dyDescent="0.25">
      <c r="A472" t="s">
        <v>21</v>
      </c>
      <c r="B472" s="2">
        <v>44622</v>
      </c>
      <c r="C472">
        <v>2022</v>
      </c>
      <c r="E472" t="s">
        <v>9</v>
      </c>
      <c r="F472">
        <v>82.4</v>
      </c>
      <c r="G472">
        <f t="shared" si="14"/>
        <v>82.4</v>
      </c>
      <c r="I472" s="4">
        <v>328</v>
      </c>
      <c r="J472">
        <f t="shared" si="15"/>
        <v>2022</v>
      </c>
      <c r="M472" s="2">
        <v>44893</v>
      </c>
    </row>
    <row r="473" spans="1:13" x14ac:dyDescent="0.25">
      <c r="A473" t="s">
        <v>21</v>
      </c>
      <c r="B473" s="2">
        <v>44622</v>
      </c>
      <c r="C473">
        <v>2022</v>
      </c>
      <c r="E473" t="s">
        <v>9</v>
      </c>
      <c r="F473">
        <v>99.9</v>
      </c>
      <c r="G473">
        <f t="shared" si="14"/>
        <v>99.9</v>
      </c>
      <c r="I473" s="4">
        <v>328</v>
      </c>
      <c r="J473">
        <f t="shared" si="15"/>
        <v>2022</v>
      </c>
      <c r="M473" s="2">
        <v>44886</v>
      </c>
    </row>
    <row r="474" spans="1:13" x14ac:dyDescent="0.25">
      <c r="A474" t="s">
        <v>21</v>
      </c>
      <c r="B474" s="2">
        <v>44635</v>
      </c>
      <c r="C474">
        <v>2022</v>
      </c>
      <c r="E474" t="s">
        <v>9</v>
      </c>
      <c r="F474">
        <v>91.4</v>
      </c>
      <c r="G474">
        <f t="shared" si="14"/>
        <v>91.4</v>
      </c>
      <c r="H474" s="5"/>
      <c r="I474" s="4">
        <v>328</v>
      </c>
      <c r="J474">
        <f t="shared" si="15"/>
        <v>2022</v>
      </c>
      <c r="M474" s="2">
        <v>44890</v>
      </c>
    </row>
    <row r="475" spans="1:13" x14ac:dyDescent="0.25">
      <c r="A475" t="s">
        <v>21</v>
      </c>
      <c r="B475" s="2">
        <v>44662</v>
      </c>
      <c r="C475">
        <v>2022</v>
      </c>
      <c r="E475" t="s">
        <v>9</v>
      </c>
      <c r="F475">
        <v>103.4</v>
      </c>
      <c r="G475">
        <f t="shared" si="14"/>
        <v>103.4</v>
      </c>
      <c r="I475" s="4">
        <v>328</v>
      </c>
      <c r="J475">
        <f t="shared" si="15"/>
        <v>2022</v>
      </c>
      <c r="M475" s="2">
        <v>44886</v>
      </c>
    </row>
    <row r="476" spans="1:13" x14ac:dyDescent="0.25">
      <c r="A476" t="s">
        <v>21</v>
      </c>
      <c r="B476" s="2">
        <v>44669</v>
      </c>
      <c r="C476">
        <v>2022</v>
      </c>
      <c r="E476" t="s">
        <v>9</v>
      </c>
      <c r="F476">
        <v>107.5</v>
      </c>
      <c r="G476">
        <f t="shared" si="14"/>
        <v>107.5</v>
      </c>
      <c r="I476" s="4">
        <v>328</v>
      </c>
      <c r="J476">
        <f t="shared" si="15"/>
        <v>2022</v>
      </c>
      <c r="M476" s="2">
        <v>44887</v>
      </c>
    </row>
    <row r="477" spans="1:13" x14ac:dyDescent="0.25">
      <c r="A477" t="s">
        <v>21</v>
      </c>
      <c r="B477" s="2">
        <v>44677</v>
      </c>
      <c r="C477">
        <v>2022</v>
      </c>
      <c r="E477" t="s">
        <v>9</v>
      </c>
      <c r="F477">
        <v>110</v>
      </c>
      <c r="G477">
        <f t="shared" si="14"/>
        <v>110</v>
      </c>
      <c r="I477" s="4">
        <v>328</v>
      </c>
      <c r="J477">
        <f t="shared" si="15"/>
        <v>2022</v>
      </c>
      <c r="M477" s="2">
        <v>44893</v>
      </c>
    </row>
    <row r="478" spans="1:13" x14ac:dyDescent="0.25">
      <c r="A478" t="s">
        <v>21</v>
      </c>
      <c r="B478" s="2">
        <v>44683</v>
      </c>
      <c r="C478">
        <v>2022</v>
      </c>
      <c r="E478" t="s">
        <v>9</v>
      </c>
      <c r="F478">
        <v>111.3</v>
      </c>
      <c r="G478">
        <f t="shared" si="14"/>
        <v>111.3</v>
      </c>
      <c r="I478" s="4">
        <v>328</v>
      </c>
      <c r="J478">
        <f t="shared" si="15"/>
        <v>2022</v>
      </c>
      <c r="M478" s="2">
        <v>44886</v>
      </c>
    </row>
    <row r="479" spans="1:13" x14ac:dyDescent="0.25">
      <c r="A479" t="s">
        <v>21</v>
      </c>
      <c r="B479" s="2">
        <v>44697</v>
      </c>
      <c r="C479">
        <v>2022</v>
      </c>
      <c r="E479" t="s">
        <v>9</v>
      </c>
      <c r="F479">
        <v>115.8</v>
      </c>
      <c r="G479">
        <f t="shared" si="14"/>
        <v>115.8</v>
      </c>
      <c r="I479" s="4">
        <v>328</v>
      </c>
      <c r="J479">
        <f t="shared" si="15"/>
        <v>2022</v>
      </c>
      <c r="M479" s="2">
        <v>44890</v>
      </c>
    </row>
    <row r="480" spans="1:13" x14ac:dyDescent="0.25">
      <c r="A480" t="s">
        <v>21</v>
      </c>
      <c r="B480" s="2">
        <v>44711</v>
      </c>
      <c r="C480">
        <v>2022</v>
      </c>
      <c r="E480" t="s">
        <v>9</v>
      </c>
      <c r="F480">
        <v>115.8</v>
      </c>
      <c r="G480">
        <f t="shared" si="14"/>
        <v>115.8</v>
      </c>
      <c r="H480" t="s">
        <v>32</v>
      </c>
      <c r="I480" s="4">
        <v>328</v>
      </c>
      <c r="J480">
        <f t="shared" si="15"/>
        <v>2022</v>
      </c>
      <c r="M480" s="2">
        <v>44886</v>
      </c>
    </row>
    <row r="481" spans="1:13" x14ac:dyDescent="0.25">
      <c r="A481" t="s">
        <v>17</v>
      </c>
      <c r="B481" s="2">
        <v>44952</v>
      </c>
      <c r="C481">
        <v>2023</v>
      </c>
      <c r="E481" t="s">
        <v>6</v>
      </c>
      <c r="F481">
        <v>67.400000000000006</v>
      </c>
      <c r="G481">
        <f t="shared" si="14"/>
        <v>67.400000000000006</v>
      </c>
      <c r="I481" s="4">
        <v>328</v>
      </c>
      <c r="J481">
        <f t="shared" si="15"/>
        <v>2023</v>
      </c>
      <c r="M481" s="2">
        <v>44890</v>
      </c>
    </row>
    <row r="482" spans="1:13" x14ac:dyDescent="0.25">
      <c r="A482" t="s">
        <v>17</v>
      </c>
      <c r="B482" s="2">
        <v>44973</v>
      </c>
      <c r="C482">
        <v>2023</v>
      </c>
      <c r="E482" t="s">
        <v>6</v>
      </c>
      <c r="F482">
        <v>75.3</v>
      </c>
      <c r="G482">
        <f t="shared" si="14"/>
        <v>75.3</v>
      </c>
      <c r="I482" s="4">
        <v>328</v>
      </c>
      <c r="J482">
        <f t="shared" si="15"/>
        <v>2023</v>
      </c>
      <c r="M482" s="2">
        <v>44886</v>
      </c>
    </row>
    <row r="483" spans="1:13" x14ac:dyDescent="0.25">
      <c r="A483" t="s">
        <v>17</v>
      </c>
      <c r="B483" s="2">
        <v>44984</v>
      </c>
      <c r="C483">
        <v>2023</v>
      </c>
      <c r="E483" t="s">
        <v>6</v>
      </c>
      <c r="F483">
        <v>83.9</v>
      </c>
      <c r="G483">
        <f t="shared" si="14"/>
        <v>83.9</v>
      </c>
      <c r="I483" s="4">
        <v>328</v>
      </c>
      <c r="J483">
        <f t="shared" si="15"/>
        <v>2023</v>
      </c>
      <c r="M483" s="2">
        <v>44887</v>
      </c>
    </row>
    <row r="484" spans="1:13" x14ac:dyDescent="0.25">
      <c r="A484" t="s">
        <v>17</v>
      </c>
      <c r="B484" s="2">
        <v>45000</v>
      </c>
      <c r="C484">
        <v>2023</v>
      </c>
      <c r="E484" t="s">
        <v>6</v>
      </c>
      <c r="F484">
        <v>94.4</v>
      </c>
      <c r="G484">
        <f t="shared" si="14"/>
        <v>94.4</v>
      </c>
      <c r="H484" s="5"/>
      <c r="I484" s="4">
        <v>328</v>
      </c>
      <c r="J484">
        <f t="shared" si="15"/>
        <v>2023</v>
      </c>
      <c r="M484" s="2">
        <v>44893</v>
      </c>
    </row>
    <row r="485" spans="1:13" x14ac:dyDescent="0.25">
      <c r="A485" t="s">
        <v>17</v>
      </c>
      <c r="B485" s="2">
        <v>45015</v>
      </c>
      <c r="C485">
        <v>2023</v>
      </c>
      <c r="E485" t="s">
        <v>6</v>
      </c>
      <c r="F485">
        <v>100.6</v>
      </c>
      <c r="G485">
        <f t="shared" si="14"/>
        <v>100.6</v>
      </c>
      <c r="I485" s="4">
        <v>328</v>
      </c>
      <c r="J485">
        <f t="shared" si="15"/>
        <v>2023</v>
      </c>
      <c r="M485" s="2">
        <v>44886</v>
      </c>
    </row>
    <row r="486" spans="1:13" x14ac:dyDescent="0.25">
      <c r="A486" t="s">
        <v>17</v>
      </c>
      <c r="B486" s="2">
        <v>45029</v>
      </c>
      <c r="C486">
        <v>2023</v>
      </c>
      <c r="E486" t="s">
        <v>6</v>
      </c>
      <c r="F486">
        <v>103</v>
      </c>
      <c r="G486">
        <f t="shared" si="14"/>
        <v>103</v>
      </c>
      <c r="I486" s="4">
        <v>328</v>
      </c>
      <c r="J486">
        <f t="shared" si="15"/>
        <v>2023</v>
      </c>
      <c r="M486" s="2">
        <v>44886</v>
      </c>
    </row>
    <row r="487" spans="1:13" x14ac:dyDescent="0.25">
      <c r="A487" t="s">
        <v>17</v>
      </c>
      <c r="B487" s="2">
        <v>45041</v>
      </c>
      <c r="C487">
        <v>2023</v>
      </c>
      <c r="E487" t="s">
        <v>6</v>
      </c>
      <c r="F487">
        <v>110.6</v>
      </c>
      <c r="G487">
        <f t="shared" si="14"/>
        <v>110.6</v>
      </c>
      <c r="I487" s="4">
        <v>328</v>
      </c>
      <c r="J487">
        <f t="shared" si="15"/>
        <v>2023</v>
      </c>
      <c r="M487" s="2">
        <v>44886</v>
      </c>
    </row>
    <row r="488" spans="1:13" x14ac:dyDescent="0.25">
      <c r="A488" t="s">
        <v>17</v>
      </c>
      <c r="B488" s="2">
        <v>45049</v>
      </c>
      <c r="C488">
        <v>2023</v>
      </c>
      <c r="E488" t="s">
        <v>6</v>
      </c>
      <c r="F488">
        <v>114.6</v>
      </c>
      <c r="G488">
        <f t="shared" si="14"/>
        <v>114.6</v>
      </c>
      <c r="I488" s="4">
        <v>328</v>
      </c>
      <c r="J488">
        <f t="shared" si="15"/>
        <v>2023</v>
      </c>
      <c r="M488" s="2">
        <v>44887</v>
      </c>
    </row>
    <row r="489" spans="1:13" x14ac:dyDescent="0.25">
      <c r="A489" t="s">
        <v>17</v>
      </c>
      <c r="B489" s="2">
        <v>45062</v>
      </c>
      <c r="C489">
        <v>2023</v>
      </c>
      <c r="E489" t="s">
        <v>6</v>
      </c>
      <c r="F489">
        <v>116.7</v>
      </c>
      <c r="G489">
        <f t="shared" si="14"/>
        <v>116.7</v>
      </c>
      <c r="I489" s="4">
        <v>328</v>
      </c>
      <c r="J489">
        <f t="shared" si="15"/>
        <v>2023</v>
      </c>
      <c r="M489" s="2">
        <v>44893</v>
      </c>
    </row>
    <row r="490" spans="1:13" x14ac:dyDescent="0.25">
      <c r="A490" t="s">
        <v>17</v>
      </c>
      <c r="B490" s="2">
        <v>45076</v>
      </c>
      <c r="C490">
        <v>2023</v>
      </c>
      <c r="E490" t="s">
        <v>6</v>
      </c>
      <c r="F490">
        <v>118.8</v>
      </c>
      <c r="G490">
        <f t="shared" si="14"/>
        <v>118.8</v>
      </c>
      <c r="I490" s="4">
        <v>328</v>
      </c>
      <c r="J490">
        <f t="shared" si="15"/>
        <v>2023</v>
      </c>
      <c r="M490" s="2">
        <v>44890</v>
      </c>
    </row>
    <row r="491" spans="1:13" x14ac:dyDescent="0.25">
      <c r="A491" t="s">
        <v>17</v>
      </c>
      <c r="B491" s="2">
        <v>45083</v>
      </c>
      <c r="C491">
        <v>2023</v>
      </c>
      <c r="E491" t="s">
        <v>6</v>
      </c>
      <c r="F491">
        <v>114.3</v>
      </c>
      <c r="G491">
        <f t="shared" si="14"/>
        <v>114.3</v>
      </c>
      <c r="H491" t="s">
        <v>32</v>
      </c>
      <c r="I491" s="4">
        <v>328</v>
      </c>
      <c r="J491">
        <f t="shared" si="15"/>
        <v>2023</v>
      </c>
      <c r="M491" s="2">
        <v>44886</v>
      </c>
    </row>
    <row r="492" spans="1:13" x14ac:dyDescent="0.25">
      <c r="A492" t="s">
        <v>17</v>
      </c>
      <c r="B492" s="2">
        <v>44952</v>
      </c>
      <c r="C492">
        <v>2023</v>
      </c>
      <c r="E492" t="s">
        <v>6</v>
      </c>
      <c r="F492">
        <v>80</v>
      </c>
      <c r="G492">
        <f t="shared" si="14"/>
        <v>80</v>
      </c>
      <c r="I492" s="5">
        <v>329</v>
      </c>
      <c r="J492">
        <f t="shared" si="15"/>
        <v>2023</v>
      </c>
      <c r="M492" s="2">
        <v>44887</v>
      </c>
    </row>
    <row r="493" spans="1:13" x14ac:dyDescent="0.25">
      <c r="A493" t="s">
        <v>17</v>
      </c>
      <c r="B493" s="2">
        <v>44974</v>
      </c>
      <c r="C493">
        <v>2023</v>
      </c>
      <c r="E493" t="s">
        <v>6</v>
      </c>
      <c r="F493">
        <v>90.7</v>
      </c>
      <c r="G493">
        <f t="shared" si="14"/>
        <v>90.7</v>
      </c>
      <c r="I493" s="5">
        <v>329</v>
      </c>
      <c r="J493">
        <f t="shared" si="15"/>
        <v>2023</v>
      </c>
      <c r="M493" s="2">
        <v>44893</v>
      </c>
    </row>
    <row r="494" spans="1:13" x14ac:dyDescent="0.25">
      <c r="A494" t="s">
        <v>17</v>
      </c>
      <c r="B494" s="2">
        <v>44984</v>
      </c>
      <c r="C494">
        <v>2023</v>
      </c>
      <c r="E494" t="s">
        <v>6</v>
      </c>
      <c r="F494">
        <v>104.6</v>
      </c>
      <c r="G494">
        <f t="shared" si="14"/>
        <v>104.6</v>
      </c>
      <c r="I494" s="5">
        <v>329</v>
      </c>
      <c r="J494">
        <f t="shared" si="15"/>
        <v>2023</v>
      </c>
      <c r="M494" s="2">
        <v>44886</v>
      </c>
    </row>
    <row r="495" spans="1:13" x14ac:dyDescent="0.25">
      <c r="A495" t="s">
        <v>17</v>
      </c>
      <c r="B495" s="2">
        <v>45000</v>
      </c>
      <c r="C495">
        <v>2023</v>
      </c>
      <c r="E495" t="s">
        <v>6</v>
      </c>
      <c r="F495">
        <v>119.5</v>
      </c>
      <c r="G495">
        <f t="shared" si="14"/>
        <v>119.5</v>
      </c>
      <c r="H495" s="5"/>
      <c r="I495" s="5">
        <v>329</v>
      </c>
      <c r="J495">
        <f t="shared" si="15"/>
        <v>2023</v>
      </c>
      <c r="M495" s="2">
        <v>44890</v>
      </c>
    </row>
    <row r="496" spans="1:13" x14ac:dyDescent="0.25">
      <c r="A496" t="s">
        <v>17</v>
      </c>
      <c r="B496" s="2">
        <v>45015</v>
      </c>
      <c r="C496">
        <v>2023</v>
      </c>
      <c r="E496" t="s">
        <v>6</v>
      </c>
      <c r="F496">
        <v>129.5</v>
      </c>
      <c r="G496">
        <f t="shared" si="14"/>
        <v>129.5</v>
      </c>
      <c r="I496" s="5">
        <v>329</v>
      </c>
      <c r="J496">
        <f t="shared" si="15"/>
        <v>2023</v>
      </c>
      <c r="M496" s="2">
        <v>44886</v>
      </c>
    </row>
    <row r="497" spans="1:13" x14ac:dyDescent="0.25">
      <c r="A497" t="s">
        <v>17</v>
      </c>
      <c r="B497" s="2">
        <v>45029</v>
      </c>
      <c r="C497">
        <v>2023</v>
      </c>
      <c r="E497" t="s">
        <v>6</v>
      </c>
      <c r="F497">
        <v>136.80000000000001</v>
      </c>
      <c r="G497">
        <f t="shared" si="14"/>
        <v>136.80000000000001</v>
      </c>
      <c r="I497" s="5">
        <v>329</v>
      </c>
      <c r="J497">
        <f t="shared" si="15"/>
        <v>2023</v>
      </c>
      <c r="M497" s="2">
        <v>44887</v>
      </c>
    </row>
    <row r="498" spans="1:13" x14ac:dyDescent="0.25">
      <c r="A498" t="s">
        <v>17</v>
      </c>
      <c r="B498" s="2">
        <v>45041</v>
      </c>
      <c r="C498">
        <v>2023</v>
      </c>
      <c r="E498" t="s">
        <v>6</v>
      </c>
      <c r="F498">
        <v>135.19999999999999</v>
      </c>
      <c r="G498">
        <f t="shared" si="14"/>
        <v>135.19999999999999</v>
      </c>
      <c r="I498" s="5">
        <v>329</v>
      </c>
      <c r="J498">
        <f t="shared" si="15"/>
        <v>2023</v>
      </c>
      <c r="M498" s="2">
        <v>44893</v>
      </c>
    </row>
    <row r="499" spans="1:13" x14ac:dyDescent="0.25">
      <c r="A499" t="s">
        <v>17</v>
      </c>
      <c r="B499" s="2">
        <v>45049</v>
      </c>
      <c r="C499">
        <v>2023</v>
      </c>
      <c r="E499" t="s">
        <v>6</v>
      </c>
      <c r="F499">
        <v>141.4</v>
      </c>
      <c r="G499">
        <f t="shared" si="14"/>
        <v>141.4</v>
      </c>
      <c r="I499" s="5">
        <v>329</v>
      </c>
      <c r="J499">
        <f t="shared" si="15"/>
        <v>2023</v>
      </c>
      <c r="M499" s="2">
        <v>44886</v>
      </c>
    </row>
    <row r="500" spans="1:13" x14ac:dyDescent="0.25">
      <c r="A500" t="s">
        <v>17</v>
      </c>
      <c r="B500" s="2">
        <v>45062</v>
      </c>
      <c r="C500">
        <v>2023</v>
      </c>
      <c r="E500" t="s">
        <v>6</v>
      </c>
      <c r="F500">
        <v>140.5</v>
      </c>
      <c r="G500">
        <f t="shared" si="14"/>
        <v>140.5</v>
      </c>
      <c r="I500" s="5">
        <v>329</v>
      </c>
      <c r="J500">
        <f t="shared" si="15"/>
        <v>2023</v>
      </c>
      <c r="M500" s="2">
        <v>44890</v>
      </c>
    </row>
    <row r="501" spans="1:13" x14ac:dyDescent="0.25">
      <c r="A501" t="s">
        <v>17</v>
      </c>
      <c r="B501" s="2">
        <v>45077</v>
      </c>
      <c r="C501">
        <v>2023</v>
      </c>
      <c r="E501" t="s">
        <v>6</v>
      </c>
      <c r="F501">
        <v>142.80000000000001</v>
      </c>
      <c r="G501">
        <f t="shared" si="14"/>
        <v>142.80000000000001</v>
      </c>
      <c r="I501" s="5">
        <v>329</v>
      </c>
      <c r="J501">
        <f t="shared" si="15"/>
        <v>2023</v>
      </c>
      <c r="M501" s="2">
        <v>44886</v>
      </c>
    </row>
    <row r="502" spans="1:13" x14ac:dyDescent="0.25">
      <c r="A502" t="s">
        <v>17</v>
      </c>
      <c r="B502" s="2">
        <v>45083</v>
      </c>
      <c r="C502">
        <v>2023</v>
      </c>
      <c r="E502" t="s">
        <v>6</v>
      </c>
      <c r="F502">
        <v>131</v>
      </c>
      <c r="G502">
        <f t="shared" si="14"/>
        <v>131</v>
      </c>
      <c r="H502" t="s">
        <v>32</v>
      </c>
      <c r="I502" s="5">
        <v>329</v>
      </c>
      <c r="J502">
        <f t="shared" si="15"/>
        <v>2023</v>
      </c>
      <c r="M502" s="2">
        <v>44890</v>
      </c>
    </row>
    <row r="503" spans="1:13" x14ac:dyDescent="0.25">
      <c r="A503" t="s">
        <v>17</v>
      </c>
      <c r="B503" s="2">
        <v>44952</v>
      </c>
      <c r="C503">
        <v>2023</v>
      </c>
      <c r="E503" t="s">
        <v>6</v>
      </c>
      <c r="F503">
        <v>75.400000000000006</v>
      </c>
      <c r="G503">
        <f t="shared" si="14"/>
        <v>75.400000000000006</v>
      </c>
      <c r="I503" s="5">
        <v>329</v>
      </c>
      <c r="J503">
        <f t="shared" si="15"/>
        <v>2023</v>
      </c>
      <c r="M503" s="2">
        <v>44886</v>
      </c>
    </row>
    <row r="504" spans="1:13" x14ac:dyDescent="0.25">
      <c r="A504" t="s">
        <v>17</v>
      </c>
      <c r="B504" s="2">
        <v>44973</v>
      </c>
      <c r="C504">
        <v>2023</v>
      </c>
      <c r="E504" t="s">
        <v>6</v>
      </c>
      <c r="F504">
        <v>86.8</v>
      </c>
      <c r="G504">
        <f t="shared" si="14"/>
        <v>86.8</v>
      </c>
      <c r="I504" s="5">
        <v>329</v>
      </c>
      <c r="J504">
        <f t="shared" si="15"/>
        <v>2023</v>
      </c>
      <c r="M504" s="2">
        <v>44887</v>
      </c>
    </row>
    <row r="505" spans="1:13" x14ac:dyDescent="0.25">
      <c r="A505" t="s">
        <v>17</v>
      </c>
      <c r="B505" s="2">
        <v>44987</v>
      </c>
      <c r="C505">
        <v>2023</v>
      </c>
      <c r="E505" t="s">
        <v>6</v>
      </c>
      <c r="F505">
        <v>93.7</v>
      </c>
      <c r="G505">
        <f t="shared" si="14"/>
        <v>93.7</v>
      </c>
      <c r="I505" s="5">
        <v>329</v>
      </c>
      <c r="J505">
        <f t="shared" si="15"/>
        <v>2023</v>
      </c>
      <c r="M505" s="2">
        <v>44893</v>
      </c>
    </row>
    <row r="506" spans="1:13" x14ac:dyDescent="0.25">
      <c r="A506" t="s">
        <v>17</v>
      </c>
      <c r="B506" s="2">
        <v>45001</v>
      </c>
      <c r="C506">
        <v>2023</v>
      </c>
      <c r="E506" t="s">
        <v>6</v>
      </c>
      <c r="F506">
        <v>104.6</v>
      </c>
      <c r="G506">
        <f t="shared" si="14"/>
        <v>104.6</v>
      </c>
      <c r="H506" s="5"/>
      <c r="I506" s="5">
        <v>329</v>
      </c>
      <c r="J506">
        <f t="shared" si="15"/>
        <v>2023</v>
      </c>
      <c r="M506" s="2">
        <v>44886</v>
      </c>
    </row>
    <row r="507" spans="1:13" x14ac:dyDescent="0.25">
      <c r="A507" t="s">
        <v>17</v>
      </c>
      <c r="B507" s="2">
        <v>45014</v>
      </c>
      <c r="C507">
        <v>2023</v>
      </c>
      <c r="E507" t="s">
        <v>6</v>
      </c>
      <c r="F507">
        <v>114.6</v>
      </c>
      <c r="G507">
        <f t="shared" si="14"/>
        <v>114.6</v>
      </c>
      <c r="I507" s="5">
        <v>329</v>
      </c>
      <c r="J507">
        <f t="shared" si="15"/>
        <v>2023</v>
      </c>
      <c r="M507" s="2">
        <v>44887</v>
      </c>
    </row>
    <row r="508" spans="1:13" x14ac:dyDescent="0.25">
      <c r="A508" t="s">
        <v>17</v>
      </c>
      <c r="B508" s="2">
        <v>45029</v>
      </c>
      <c r="C508">
        <v>2023</v>
      </c>
      <c r="E508" t="s">
        <v>6</v>
      </c>
      <c r="F508">
        <v>128.6</v>
      </c>
      <c r="G508">
        <f t="shared" si="14"/>
        <v>128.6</v>
      </c>
      <c r="I508" s="5">
        <v>329</v>
      </c>
      <c r="J508">
        <f t="shared" si="15"/>
        <v>2023</v>
      </c>
      <c r="M508" s="2">
        <v>44893</v>
      </c>
    </row>
    <row r="509" spans="1:13" x14ac:dyDescent="0.25">
      <c r="A509" t="s">
        <v>17</v>
      </c>
      <c r="B509" s="2">
        <v>45041</v>
      </c>
      <c r="C509">
        <v>2023</v>
      </c>
      <c r="E509" t="s">
        <v>6</v>
      </c>
      <c r="F509">
        <v>129.6</v>
      </c>
      <c r="G509">
        <f t="shared" si="14"/>
        <v>129.6</v>
      </c>
      <c r="I509" s="5">
        <v>329</v>
      </c>
      <c r="J509">
        <f t="shared" si="15"/>
        <v>2023</v>
      </c>
      <c r="M509" s="2">
        <v>44886</v>
      </c>
    </row>
    <row r="510" spans="1:13" x14ac:dyDescent="0.25">
      <c r="A510" t="s">
        <v>17</v>
      </c>
      <c r="B510" s="2">
        <v>45049</v>
      </c>
      <c r="C510">
        <v>2023</v>
      </c>
      <c r="E510" t="s">
        <v>6</v>
      </c>
      <c r="F510">
        <v>138.69999999999999</v>
      </c>
      <c r="G510">
        <f t="shared" si="14"/>
        <v>138.69999999999999</v>
      </c>
      <c r="I510" s="5">
        <v>329</v>
      </c>
      <c r="J510">
        <f t="shared" si="15"/>
        <v>2023</v>
      </c>
      <c r="M510" s="2">
        <v>44890</v>
      </c>
    </row>
    <row r="511" spans="1:13" x14ac:dyDescent="0.25">
      <c r="A511" t="s">
        <v>17</v>
      </c>
      <c r="B511" s="2">
        <v>45062</v>
      </c>
      <c r="C511">
        <v>2023</v>
      </c>
      <c r="E511" t="s">
        <v>6</v>
      </c>
      <c r="F511">
        <v>136.9</v>
      </c>
      <c r="G511">
        <f t="shared" si="14"/>
        <v>136.9</v>
      </c>
      <c r="I511" s="5">
        <v>329</v>
      </c>
      <c r="J511">
        <f t="shared" si="15"/>
        <v>2023</v>
      </c>
      <c r="M511" s="2">
        <v>44886</v>
      </c>
    </row>
    <row r="512" spans="1:13" x14ac:dyDescent="0.25">
      <c r="A512" t="s">
        <v>17</v>
      </c>
      <c r="B512" s="2">
        <v>45076</v>
      </c>
      <c r="C512">
        <v>2023</v>
      </c>
      <c r="E512" t="s">
        <v>6</v>
      </c>
      <c r="F512">
        <v>131.5</v>
      </c>
      <c r="G512">
        <f t="shared" si="14"/>
        <v>131.5</v>
      </c>
      <c r="I512" s="5">
        <v>329</v>
      </c>
      <c r="J512">
        <f t="shared" si="15"/>
        <v>2023</v>
      </c>
      <c r="M512" s="2">
        <v>44887</v>
      </c>
    </row>
    <row r="513" spans="1:13" x14ac:dyDescent="0.25">
      <c r="A513" t="s">
        <v>17</v>
      </c>
      <c r="B513" s="2">
        <v>45083</v>
      </c>
      <c r="C513">
        <v>2023</v>
      </c>
      <c r="E513" t="s">
        <v>6</v>
      </c>
      <c r="F513">
        <v>133</v>
      </c>
      <c r="G513">
        <f t="shared" si="14"/>
        <v>133</v>
      </c>
      <c r="H513" t="s">
        <v>32</v>
      </c>
      <c r="I513" s="5">
        <v>329</v>
      </c>
      <c r="J513">
        <f t="shared" si="15"/>
        <v>2023</v>
      </c>
      <c r="M513" s="2">
        <v>44893</v>
      </c>
    </row>
    <row r="514" spans="1:13" x14ac:dyDescent="0.25">
      <c r="A514" t="s">
        <v>17</v>
      </c>
      <c r="B514" s="2">
        <v>44950</v>
      </c>
      <c r="C514">
        <v>2023</v>
      </c>
      <c r="E514" t="s">
        <v>6</v>
      </c>
      <c r="F514">
        <v>63.7</v>
      </c>
      <c r="G514">
        <f t="shared" si="14"/>
        <v>63.7</v>
      </c>
      <c r="I514" s="5">
        <v>328</v>
      </c>
      <c r="J514">
        <f t="shared" si="15"/>
        <v>2023</v>
      </c>
      <c r="M514" s="2">
        <v>44886</v>
      </c>
    </row>
    <row r="515" spans="1:13" x14ac:dyDescent="0.25">
      <c r="A515" t="s">
        <v>17</v>
      </c>
      <c r="B515" s="2">
        <v>44974</v>
      </c>
      <c r="C515">
        <v>2023</v>
      </c>
      <c r="E515" t="s">
        <v>6</v>
      </c>
      <c r="F515">
        <v>72.7</v>
      </c>
      <c r="G515">
        <f t="shared" ref="G515:G578" si="16">F515</f>
        <v>72.7</v>
      </c>
      <c r="I515" s="5">
        <v>328</v>
      </c>
      <c r="J515">
        <f t="shared" ref="J515:J578" si="17">YEAR(B515)</f>
        <v>2023</v>
      </c>
      <c r="M515" s="2">
        <v>44890</v>
      </c>
    </row>
    <row r="516" spans="1:13" x14ac:dyDescent="0.25">
      <c r="A516" t="s">
        <v>17</v>
      </c>
      <c r="B516" s="2">
        <v>44987</v>
      </c>
      <c r="C516">
        <v>2023</v>
      </c>
      <c r="E516" t="s">
        <v>6</v>
      </c>
      <c r="F516">
        <v>78.599999999999994</v>
      </c>
      <c r="G516">
        <f t="shared" si="16"/>
        <v>78.599999999999994</v>
      </c>
      <c r="I516" s="5">
        <v>328</v>
      </c>
      <c r="J516">
        <f t="shared" si="17"/>
        <v>2023</v>
      </c>
      <c r="M516" s="2">
        <v>44886</v>
      </c>
    </row>
    <row r="517" spans="1:13" x14ac:dyDescent="0.25">
      <c r="A517" t="s">
        <v>17</v>
      </c>
      <c r="B517" s="2">
        <v>45001</v>
      </c>
      <c r="C517">
        <v>2023</v>
      </c>
      <c r="E517" t="s">
        <v>6</v>
      </c>
      <c r="F517">
        <v>86.5</v>
      </c>
      <c r="G517">
        <f t="shared" si="16"/>
        <v>86.5</v>
      </c>
      <c r="H517" s="5"/>
      <c r="I517" s="5">
        <v>328</v>
      </c>
      <c r="J517">
        <f t="shared" si="17"/>
        <v>2023</v>
      </c>
      <c r="M517" s="2">
        <v>44887</v>
      </c>
    </row>
    <row r="518" spans="1:13" x14ac:dyDescent="0.25">
      <c r="A518" t="s">
        <v>17</v>
      </c>
      <c r="B518" s="2">
        <v>45014</v>
      </c>
      <c r="C518">
        <v>2023</v>
      </c>
      <c r="E518" t="s">
        <v>6</v>
      </c>
      <c r="F518">
        <v>95.4</v>
      </c>
      <c r="G518">
        <f t="shared" si="16"/>
        <v>95.4</v>
      </c>
      <c r="I518" s="5">
        <v>328</v>
      </c>
      <c r="J518">
        <f t="shared" si="17"/>
        <v>2023</v>
      </c>
      <c r="M518" s="2">
        <v>44893</v>
      </c>
    </row>
    <row r="519" spans="1:13" x14ac:dyDescent="0.25">
      <c r="A519" t="s">
        <v>17</v>
      </c>
      <c r="B519" s="2">
        <v>45031</v>
      </c>
      <c r="C519">
        <v>2023</v>
      </c>
      <c r="E519" t="s">
        <v>6</v>
      </c>
      <c r="F519">
        <v>101.4</v>
      </c>
      <c r="G519">
        <f t="shared" si="16"/>
        <v>101.4</v>
      </c>
      <c r="I519" s="5">
        <v>328</v>
      </c>
      <c r="J519">
        <f t="shared" si="17"/>
        <v>2023</v>
      </c>
      <c r="M519" s="2">
        <v>44886</v>
      </c>
    </row>
    <row r="520" spans="1:13" x14ac:dyDescent="0.25">
      <c r="A520" t="s">
        <v>17</v>
      </c>
      <c r="B520" s="2">
        <v>45041</v>
      </c>
      <c r="C520">
        <v>2023</v>
      </c>
      <c r="E520" t="s">
        <v>6</v>
      </c>
      <c r="F520">
        <v>108</v>
      </c>
      <c r="G520">
        <f t="shared" si="16"/>
        <v>108</v>
      </c>
      <c r="I520" s="5">
        <v>328</v>
      </c>
      <c r="J520">
        <f t="shared" si="17"/>
        <v>2023</v>
      </c>
      <c r="M520" s="2">
        <v>44890</v>
      </c>
    </row>
    <row r="521" spans="1:13" x14ac:dyDescent="0.25">
      <c r="A521" t="s">
        <v>17</v>
      </c>
      <c r="B521" s="2">
        <v>45049</v>
      </c>
      <c r="C521">
        <v>2023</v>
      </c>
      <c r="E521" t="s">
        <v>6</v>
      </c>
      <c r="F521">
        <v>112.4</v>
      </c>
      <c r="G521">
        <f t="shared" si="16"/>
        <v>112.4</v>
      </c>
      <c r="I521" s="5">
        <v>328</v>
      </c>
      <c r="J521">
        <f t="shared" si="17"/>
        <v>2023</v>
      </c>
      <c r="M521" s="2">
        <v>44886</v>
      </c>
    </row>
    <row r="522" spans="1:13" x14ac:dyDescent="0.25">
      <c r="A522" t="s">
        <v>17</v>
      </c>
      <c r="B522" s="2">
        <v>45062</v>
      </c>
      <c r="C522">
        <v>2023</v>
      </c>
      <c r="E522" t="s">
        <v>6</v>
      </c>
      <c r="F522">
        <v>117.5</v>
      </c>
      <c r="G522">
        <f t="shared" si="16"/>
        <v>117.5</v>
      </c>
      <c r="I522" s="5">
        <v>328</v>
      </c>
      <c r="J522">
        <f t="shared" si="17"/>
        <v>2023</v>
      </c>
      <c r="M522" s="2">
        <v>44887</v>
      </c>
    </row>
    <row r="523" spans="1:13" x14ac:dyDescent="0.25">
      <c r="A523" t="s">
        <v>17</v>
      </c>
      <c r="B523" s="2">
        <v>45077</v>
      </c>
      <c r="C523">
        <v>2023</v>
      </c>
      <c r="E523" t="s">
        <v>6</v>
      </c>
      <c r="F523">
        <v>116.8</v>
      </c>
      <c r="G523">
        <f t="shared" si="16"/>
        <v>116.8</v>
      </c>
      <c r="I523" s="5">
        <v>328</v>
      </c>
      <c r="J523">
        <f t="shared" si="17"/>
        <v>2023</v>
      </c>
      <c r="M523" s="2">
        <v>44893</v>
      </c>
    </row>
    <row r="524" spans="1:13" x14ac:dyDescent="0.25">
      <c r="A524" t="s">
        <v>17</v>
      </c>
      <c r="B524" s="2">
        <v>45083</v>
      </c>
      <c r="C524">
        <v>2023</v>
      </c>
      <c r="E524" t="s">
        <v>6</v>
      </c>
      <c r="F524">
        <v>113.2</v>
      </c>
      <c r="G524">
        <f t="shared" si="16"/>
        <v>113.2</v>
      </c>
      <c r="H524" t="s">
        <v>32</v>
      </c>
      <c r="I524" s="5">
        <v>328</v>
      </c>
      <c r="J524">
        <f t="shared" si="17"/>
        <v>2023</v>
      </c>
      <c r="M524" s="2">
        <v>44886</v>
      </c>
    </row>
    <row r="525" spans="1:13" x14ac:dyDescent="0.25">
      <c r="A525" t="s">
        <v>17</v>
      </c>
      <c r="B525" s="2">
        <v>44952</v>
      </c>
      <c r="C525">
        <v>2023</v>
      </c>
      <c r="E525" t="s">
        <v>6</v>
      </c>
      <c r="F525">
        <v>61.4</v>
      </c>
      <c r="G525">
        <f t="shared" si="16"/>
        <v>61.4</v>
      </c>
      <c r="I525" s="5">
        <v>329</v>
      </c>
      <c r="J525">
        <f t="shared" si="17"/>
        <v>2023</v>
      </c>
      <c r="M525" s="2">
        <v>44890</v>
      </c>
    </row>
    <row r="526" spans="1:13" x14ac:dyDescent="0.25">
      <c r="A526" t="s">
        <v>17</v>
      </c>
      <c r="B526" s="2">
        <v>44974</v>
      </c>
      <c r="C526">
        <v>2023</v>
      </c>
      <c r="E526" t="s">
        <v>6</v>
      </c>
      <c r="F526">
        <v>67.8</v>
      </c>
      <c r="G526">
        <f t="shared" si="16"/>
        <v>67.8</v>
      </c>
      <c r="I526" s="5">
        <v>329</v>
      </c>
      <c r="J526">
        <f t="shared" si="17"/>
        <v>2023</v>
      </c>
      <c r="M526" s="2">
        <v>44886</v>
      </c>
    </row>
    <row r="527" spans="1:13" x14ac:dyDescent="0.25">
      <c r="A527" t="s">
        <v>17</v>
      </c>
      <c r="B527" s="2">
        <v>44984</v>
      </c>
      <c r="C527">
        <v>2023</v>
      </c>
      <c r="E527" t="s">
        <v>6</v>
      </c>
      <c r="F527">
        <v>73.099999999999994</v>
      </c>
      <c r="G527">
        <f t="shared" si="16"/>
        <v>73.099999999999994</v>
      </c>
      <c r="I527" s="5">
        <v>329</v>
      </c>
      <c r="J527">
        <f t="shared" si="17"/>
        <v>2023</v>
      </c>
      <c r="M527" s="2">
        <v>44893</v>
      </c>
    </row>
    <row r="528" spans="1:13" x14ac:dyDescent="0.25">
      <c r="A528" t="s">
        <v>17</v>
      </c>
      <c r="B528" s="2">
        <v>45000</v>
      </c>
      <c r="C528">
        <v>2023</v>
      </c>
      <c r="E528" t="s">
        <v>6</v>
      </c>
      <c r="F528">
        <v>78.099999999999994</v>
      </c>
      <c r="G528">
        <f t="shared" si="16"/>
        <v>78.099999999999994</v>
      </c>
      <c r="H528" s="5"/>
      <c r="I528" s="5">
        <v>329</v>
      </c>
      <c r="J528">
        <f t="shared" si="17"/>
        <v>2023</v>
      </c>
      <c r="M528" s="2">
        <v>44886</v>
      </c>
    </row>
    <row r="529" spans="1:13" x14ac:dyDescent="0.25">
      <c r="A529" t="s">
        <v>17</v>
      </c>
      <c r="B529" s="2">
        <v>45015</v>
      </c>
      <c r="C529">
        <v>2023</v>
      </c>
      <c r="E529" t="s">
        <v>6</v>
      </c>
      <c r="F529">
        <v>84.1</v>
      </c>
      <c r="G529">
        <f t="shared" si="16"/>
        <v>84.1</v>
      </c>
      <c r="I529" s="5">
        <v>329</v>
      </c>
      <c r="J529">
        <f t="shared" si="17"/>
        <v>2023</v>
      </c>
      <c r="M529" s="2">
        <v>44887</v>
      </c>
    </row>
    <row r="530" spans="1:13" x14ac:dyDescent="0.25">
      <c r="A530" t="s">
        <v>17</v>
      </c>
      <c r="B530" s="2">
        <v>45029</v>
      </c>
      <c r="C530">
        <v>2023</v>
      </c>
      <c r="E530" t="s">
        <v>6</v>
      </c>
      <c r="F530">
        <v>89.9</v>
      </c>
      <c r="G530">
        <f t="shared" si="16"/>
        <v>89.9</v>
      </c>
      <c r="I530" s="5">
        <v>329</v>
      </c>
      <c r="J530">
        <f t="shared" si="17"/>
        <v>2023</v>
      </c>
      <c r="M530" s="2">
        <v>44890</v>
      </c>
    </row>
    <row r="531" spans="1:13" x14ac:dyDescent="0.25">
      <c r="A531" t="s">
        <v>17</v>
      </c>
      <c r="B531" s="2">
        <v>45041</v>
      </c>
      <c r="C531">
        <v>2023</v>
      </c>
      <c r="E531" t="s">
        <v>6</v>
      </c>
      <c r="F531">
        <v>95.9</v>
      </c>
      <c r="G531">
        <f t="shared" si="16"/>
        <v>95.9</v>
      </c>
      <c r="I531" s="5">
        <v>329</v>
      </c>
      <c r="J531">
        <f t="shared" si="17"/>
        <v>2023</v>
      </c>
      <c r="M531" s="2">
        <v>44886</v>
      </c>
    </row>
    <row r="532" spans="1:13" x14ac:dyDescent="0.25">
      <c r="A532" t="s">
        <v>17</v>
      </c>
      <c r="B532" s="2">
        <v>45049</v>
      </c>
      <c r="C532">
        <v>2023</v>
      </c>
      <c r="E532" t="s">
        <v>6</v>
      </c>
      <c r="F532">
        <v>97.4</v>
      </c>
      <c r="G532">
        <f t="shared" si="16"/>
        <v>97.4</v>
      </c>
      <c r="I532" s="5">
        <v>329</v>
      </c>
      <c r="J532">
        <f t="shared" si="17"/>
        <v>2023</v>
      </c>
      <c r="M532" s="2">
        <v>44887</v>
      </c>
    </row>
    <row r="533" spans="1:13" x14ac:dyDescent="0.25">
      <c r="A533" t="s">
        <v>17</v>
      </c>
      <c r="B533" s="2">
        <v>45062</v>
      </c>
      <c r="C533">
        <v>2023</v>
      </c>
      <c r="E533" t="s">
        <v>6</v>
      </c>
      <c r="F533">
        <v>97.8</v>
      </c>
      <c r="G533">
        <f t="shared" si="16"/>
        <v>97.8</v>
      </c>
      <c r="I533" s="5">
        <v>329</v>
      </c>
      <c r="J533">
        <f t="shared" si="17"/>
        <v>2023</v>
      </c>
      <c r="M533" s="2">
        <v>44893</v>
      </c>
    </row>
    <row r="534" spans="1:13" x14ac:dyDescent="0.25">
      <c r="A534" t="s">
        <v>17</v>
      </c>
      <c r="B534" s="2">
        <v>45076</v>
      </c>
      <c r="C534">
        <v>2023</v>
      </c>
      <c r="E534" t="s">
        <v>6</v>
      </c>
      <c r="F534">
        <v>99.8</v>
      </c>
      <c r="G534">
        <f t="shared" si="16"/>
        <v>99.8</v>
      </c>
      <c r="I534" s="5">
        <v>329</v>
      </c>
      <c r="J534">
        <f t="shared" si="17"/>
        <v>2023</v>
      </c>
      <c r="M534" s="2">
        <v>44886</v>
      </c>
    </row>
    <row r="535" spans="1:13" x14ac:dyDescent="0.25">
      <c r="A535" t="s">
        <v>17</v>
      </c>
      <c r="B535" s="2">
        <v>45083</v>
      </c>
      <c r="C535">
        <v>2023</v>
      </c>
      <c r="E535" t="s">
        <v>6</v>
      </c>
      <c r="F535">
        <v>109.6</v>
      </c>
      <c r="G535">
        <f t="shared" si="16"/>
        <v>109.6</v>
      </c>
      <c r="H535" t="s">
        <v>32</v>
      </c>
      <c r="I535" s="5">
        <v>329</v>
      </c>
      <c r="J535">
        <f t="shared" si="17"/>
        <v>2023</v>
      </c>
      <c r="M535" s="2">
        <v>44890</v>
      </c>
    </row>
    <row r="536" spans="1:13" x14ac:dyDescent="0.25">
      <c r="A536" t="s">
        <v>22</v>
      </c>
      <c r="B536" s="2">
        <v>44949</v>
      </c>
      <c r="C536">
        <v>2023</v>
      </c>
      <c r="E536" t="s">
        <v>9</v>
      </c>
      <c r="F536">
        <v>73.099999999999994</v>
      </c>
      <c r="G536">
        <f t="shared" si="16"/>
        <v>73.099999999999994</v>
      </c>
      <c r="I536" s="4">
        <v>330</v>
      </c>
      <c r="J536">
        <f t="shared" si="17"/>
        <v>2023</v>
      </c>
      <c r="M536" s="2">
        <v>45259</v>
      </c>
    </row>
    <row r="537" spans="1:13" x14ac:dyDescent="0.25">
      <c r="A537" t="s">
        <v>22</v>
      </c>
      <c r="B537" s="2">
        <v>44971</v>
      </c>
      <c r="C537">
        <v>2023</v>
      </c>
      <c r="E537" t="s">
        <v>9</v>
      </c>
      <c r="F537">
        <v>87.7</v>
      </c>
      <c r="G537">
        <f t="shared" si="16"/>
        <v>87.7</v>
      </c>
      <c r="I537" s="4">
        <v>330</v>
      </c>
      <c r="J537">
        <f t="shared" si="17"/>
        <v>2023</v>
      </c>
      <c r="M537" s="2">
        <v>45253</v>
      </c>
    </row>
    <row r="538" spans="1:13" x14ac:dyDescent="0.25">
      <c r="A538" t="s">
        <v>22</v>
      </c>
      <c r="B538" s="2">
        <v>44987</v>
      </c>
      <c r="C538">
        <v>2023</v>
      </c>
      <c r="E538" t="s">
        <v>9</v>
      </c>
      <c r="F538">
        <v>103</v>
      </c>
      <c r="G538">
        <f t="shared" si="16"/>
        <v>103</v>
      </c>
      <c r="I538" s="4">
        <v>330</v>
      </c>
      <c r="J538">
        <f t="shared" si="17"/>
        <v>2023</v>
      </c>
      <c r="M538" s="2">
        <v>45251</v>
      </c>
    </row>
    <row r="539" spans="1:13" x14ac:dyDescent="0.25">
      <c r="A539" t="s">
        <v>22</v>
      </c>
      <c r="B539" s="2">
        <v>44998</v>
      </c>
      <c r="C539">
        <v>2023</v>
      </c>
      <c r="E539" t="s">
        <v>9</v>
      </c>
      <c r="F539">
        <v>104.4</v>
      </c>
      <c r="G539">
        <f t="shared" si="16"/>
        <v>104.4</v>
      </c>
      <c r="I539" s="4">
        <v>330</v>
      </c>
      <c r="J539">
        <f t="shared" si="17"/>
        <v>2023</v>
      </c>
      <c r="M539" s="2">
        <v>45258</v>
      </c>
    </row>
    <row r="540" spans="1:13" x14ac:dyDescent="0.25">
      <c r="A540" t="s">
        <v>22</v>
      </c>
      <c r="B540" s="2">
        <v>45014</v>
      </c>
      <c r="C540">
        <v>2023</v>
      </c>
      <c r="E540" t="s">
        <v>9</v>
      </c>
      <c r="F540">
        <v>120.2</v>
      </c>
      <c r="G540">
        <f t="shared" si="16"/>
        <v>120.2</v>
      </c>
      <c r="H540" s="5"/>
      <c r="I540" s="4">
        <v>330</v>
      </c>
      <c r="J540">
        <f t="shared" si="17"/>
        <v>2023</v>
      </c>
      <c r="M540" s="2">
        <v>45252</v>
      </c>
    </row>
    <row r="541" spans="1:13" x14ac:dyDescent="0.25">
      <c r="A541" t="s">
        <v>22</v>
      </c>
      <c r="B541" s="2">
        <v>45027</v>
      </c>
      <c r="C541">
        <v>2023</v>
      </c>
      <c r="E541" t="s">
        <v>9</v>
      </c>
      <c r="F541">
        <v>122.5</v>
      </c>
      <c r="G541">
        <f t="shared" si="16"/>
        <v>122.5</v>
      </c>
      <c r="I541" s="4">
        <v>330</v>
      </c>
      <c r="J541">
        <f t="shared" si="17"/>
        <v>2023</v>
      </c>
      <c r="M541" s="2">
        <v>45253</v>
      </c>
    </row>
    <row r="542" spans="1:13" x14ac:dyDescent="0.25">
      <c r="A542" t="s">
        <v>22</v>
      </c>
      <c r="B542" s="2">
        <v>45040</v>
      </c>
      <c r="C542">
        <v>2023</v>
      </c>
      <c r="E542" t="s">
        <v>9</v>
      </c>
      <c r="F542">
        <v>126.6</v>
      </c>
      <c r="G542">
        <f t="shared" si="16"/>
        <v>126.6</v>
      </c>
      <c r="I542" s="4">
        <v>330</v>
      </c>
      <c r="J542">
        <f t="shared" si="17"/>
        <v>2023</v>
      </c>
      <c r="M542" s="2">
        <v>45258</v>
      </c>
    </row>
    <row r="543" spans="1:13" x14ac:dyDescent="0.25">
      <c r="A543" t="s">
        <v>22</v>
      </c>
      <c r="B543" s="2">
        <v>45047</v>
      </c>
      <c r="C543">
        <v>2023</v>
      </c>
      <c r="E543" t="s">
        <v>9</v>
      </c>
      <c r="F543">
        <v>126.7</v>
      </c>
      <c r="G543">
        <f t="shared" si="16"/>
        <v>126.7</v>
      </c>
      <c r="I543" s="4">
        <v>330</v>
      </c>
      <c r="J543">
        <f t="shared" si="17"/>
        <v>2023</v>
      </c>
      <c r="M543" s="2">
        <v>45259</v>
      </c>
    </row>
    <row r="544" spans="1:13" x14ac:dyDescent="0.25">
      <c r="A544" t="s">
        <v>22</v>
      </c>
      <c r="B544" s="2">
        <v>45062</v>
      </c>
      <c r="C544">
        <v>2023</v>
      </c>
      <c r="E544" t="s">
        <v>9</v>
      </c>
      <c r="F544">
        <v>129</v>
      </c>
      <c r="G544">
        <f t="shared" si="16"/>
        <v>129</v>
      </c>
      <c r="I544" s="4">
        <v>330</v>
      </c>
      <c r="J544">
        <f t="shared" si="17"/>
        <v>2023</v>
      </c>
      <c r="M544" s="2">
        <v>45251</v>
      </c>
    </row>
    <row r="545" spans="1:13" x14ac:dyDescent="0.25">
      <c r="A545" t="s">
        <v>22</v>
      </c>
      <c r="B545" s="2">
        <v>45076</v>
      </c>
      <c r="C545">
        <v>2023</v>
      </c>
      <c r="E545" t="s">
        <v>9</v>
      </c>
      <c r="F545">
        <v>129.19999999999999</v>
      </c>
      <c r="G545">
        <f t="shared" si="16"/>
        <v>129.19999999999999</v>
      </c>
      <c r="I545" s="4">
        <v>330</v>
      </c>
      <c r="J545">
        <f t="shared" si="17"/>
        <v>2023</v>
      </c>
      <c r="M545" s="2">
        <v>45252</v>
      </c>
    </row>
    <row r="546" spans="1:13" x14ac:dyDescent="0.25">
      <c r="A546" t="s">
        <v>22</v>
      </c>
      <c r="B546" s="2">
        <v>45083</v>
      </c>
      <c r="C546">
        <v>2023</v>
      </c>
      <c r="E546" t="s">
        <v>9</v>
      </c>
      <c r="F546">
        <v>126.5</v>
      </c>
      <c r="G546">
        <f t="shared" si="16"/>
        <v>126.5</v>
      </c>
      <c r="H546" t="s">
        <v>32</v>
      </c>
      <c r="I546" s="4">
        <v>330</v>
      </c>
      <c r="J546">
        <f t="shared" si="17"/>
        <v>2023</v>
      </c>
      <c r="M546" s="2">
        <v>45259</v>
      </c>
    </row>
    <row r="547" spans="1:13" x14ac:dyDescent="0.25">
      <c r="A547" t="s">
        <v>18</v>
      </c>
      <c r="B547" s="2">
        <v>45316</v>
      </c>
      <c r="C547">
        <v>2024</v>
      </c>
      <c r="E547" t="s">
        <v>6</v>
      </c>
      <c r="F547">
        <v>58</v>
      </c>
      <c r="G547">
        <f t="shared" si="16"/>
        <v>58</v>
      </c>
      <c r="I547" s="5">
        <v>329</v>
      </c>
      <c r="J547">
        <f t="shared" si="17"/>
        <v>2024</v>
      </c>
      <c r="M547" s="2">
        <v>45251</v>
      </c>
    </row>
    <row r="548" spans="1:13" x14ac:dyDescent="0.25">
      <c r="A548" t="s">
        <v>18</v>
      </c>
      <c r="B548" s="2">
        <v>45337</v>
      </c>
      <c r="C548">
        <v>2024</v>
      </c>
      <c r="E548" t="s">
        <v>6</v>
      </c>
      <c r="F548">
        <v>70.2</v>
      </c>
      <c r="G548">
        <f t="shared" si="16"/>
        <v>70.2</v>
      </c>
      <c r="I548" s="5">
        <v>329</v>
      </c>
      <c r="J548">
        <f t="shared" si="17"/>
        <v>2024</v>
      </c>
      <c r="M548" s="2">
        <v>45258</v>
      </c>
    </row>
    <row r="549" spans="1:13" x14ac:dyDescent="0.25">
      <c r="A549" t="s">
        <v>18</v>
      </c>
      <c r="B549" s="2">
        <v>45350</v>
      </c>
      <c r="C549">
        <v>2024</v>
      </c>
      <c r="E549" t="s">
        <v>6</v>
      </c>
      <c r="F549">
        <v>77.8</v>
      </c>
      <c r="G549">
        <f t="shared" si="16"/>
        <v>77.8</v>
      </c>
      <c r="I549" s="5">
        <v>329</v>
      </c>
      <c r="J549">
        <f t="shared" si="17"/>
        <v>2024</v>
      </c>
      <c r="M549" s="2">
        <v>45252</v>
      </c>
    </row>
    <row r="550" spans="1:13" x14ac:dyDescent="0.25">
      <c r="A550" t="s">
        <v>18</v>
      </c>
      <c r="B550" s="2">
        <v>45364</v>
      </c>
      <c r="C550">
        <v>2024</v>
      </c>
      <c r="E550" t="s">
        <v>6</v>
      </c>
      <c r="F550">
        <v>83.2</v>
      </c>
      <c r="G550">
        <f t="shared" si="16"/>
        <v>83.2</v>
      </c>
      <c r="H550" s="5"/>
      <c r="I550" s="5">
        <v>329</v>
      </c>
      <c r="J550">
        <f t="shared" si="17"/>
        <v>2024</v>
      </c>
      <c r="M550" s="2">
        <v>45259</v>
      </c>
    </row>
    <row r="551" spans="1:13" x14ac:dyDescent="0.25">
      <c r="A551" t="s">
        <v>18</v>
      </c>
      <c r="B551" s="2">
        <v>45378</v>
      </c>
      <c r="C551">
        <v>2024</v>
      </c>
      <c r="E551" t="s">
        <v>6</v>
      </c>
      <c r="F551">
        <v>87</v>
      </c>
      <c r="G551">
        <f t="shared" si="16"/>
        <v>87</v>
      </c>
      <c r="I551" s="5">
        <v>329</v>
      </c>
      <c r="J551">
        <f t="shared" si="17"/>
        <v>2024</v>
      </c>
      <c r="M551" s="2">
        <v>45253</v>
      </c>
    </row>
    <row r="552" spans="1:13" x14ac:dyDescent="0.25">
      <c r="A552" t="s">
        <v>18</v>
      </c>
      <c r="B552" s="2">
        <v>45390</v>
      </c>
      <c r="C552">
        <v>2024</v>
      </c>
      <c r="E552" t="s">
        <v>6</v>
      </c>
      <c r="F552">
        <v>83.7</v>
      </c>
      <c r="G552">
        <f t="shared" si="16"/>
        <v>83.7</v>
      </c>
      <c r="I552" s="5">
        <v>329</v>
      </c>
      <c r="J552">
        <f t="shared" si="17"/>
        <v>2024</v>
      </c>
      <c r="M552" s="2">
        <v>45258</v>
      </c>
    </row>
    <row r="553" spans="1:13" x14ac:dyDescent="0.25">
      <c r="A553" t="s">
        <v>18</v>
      </c>
      <c r="B553" s="2">
        <v>45404</v>
      </c>
      <c r="C553">
        <v>2024</v>
      </c>
      <c r="E553" t="s">
        <v>6</v>
      </c>
      <c r="F553">
        <v>87</v>
      </c>
      <c r="G553">
        <f t="shared" si="16"/>
        <v>87</v>
      </c>
      <c r="I553" s="5">
        <v>329</v>
      </c>
      <c r="J553">
        <f t="shared" si="17"/>
        <v>2024</v>
      </c>
      <c r="M553" s="2">
        <v>45252</v>
      </c>
    </row>
    <row r="554" spans="1:13" x14ac:dyDescent="0.25">
      <c r="A554" t="s">
        <v>18</v>
      </c>
      <c r="B554" s="2">
        <v>45414</v>
      </c>
      <c r="C554">
        <v>2024</v>
      </c>
      <c r="E554" t="s">
        <v>6</v>
      </c>
      <c r="F554">
        <v>93</v>
      </c>
      <c r="G554">
        <f t="shared" si="16"/>
        <v>93</v>
      </c>
      <c r="I554" s="5">
        <v>329</v>
      </c>
      <c r="J554">
        <f t="shared" si="17"/>
        <v>2024</v>
      </c>
      <c r="M554" s="2">
        <v>45259</v>
      </c>
    </row>
    <row r="555" spans="1:13" x14ac:dyDescent="0.25">
      <c r="A555" t="s">
        <v>18</v>
      </c>
      <c r="B555" s="2">
        <v>45425</v>
      </c>
      <c r="C555">
        <v>2024</v>
      </c>
      <c r="E555" t="s">
        <v>6</v>
      </c>
      <c r="F555">
        <v>91</v>
      </c>
      <c r="G555">
        <f t="shared" si="16"/>
        <v>91</v>
      </c>
      <c r="I555" s="5">
        <v>329</v>
      </c>
      <c r="J555">
        <f t="shared" si="17"/>
        <v>2024</v>
      </c>
      <c r="M555" s="2">
        <v>45253</v>
      </c>
    </row>
    <row r="556" spans="1:13" x14ac:dyDescent="0.25">
      <c r="A556" t="s">
        <v>18</v>
      </c>
      <c r="B556" s="2">
        <v>45439</v>
      </c>
      <c r="C556">
        <v>2024</v>
      </c>
      <c r="E556" t="s">
        <v>6</v>
      </c>
      <c r="F556">
        <v>98.4</v>
      </c>
      <c r="G556">
        <f t="shared" si="16"/>
        <v>98.4</v>
      </c>
      <c r="I556" s="5">
        <v>329</v>
      </c>
      <c r="J556">
        <f t="shared" si="17"/>
        <v>2024</v>
      </c>
      <c r="M556" s="2">
        <v>45251</v>
      </c>
    </row>
    <row r="557" spans="1:13" x14ac:dyDescent="0.25">
      <c r="A557" t="s">
        <v>18</v>
      </c>
      <c r="B557" s="2">
        <v>45454</v>
      </c>
      <c r="C557">
        <v>2024</v>
      </c>
      <c r="E557" t="s">
        <v>6</v>
      </c>
      <c r="F557">
        <v>84.8</v>
      </c>
      <c r="G557">
        <f t="shared" si="16"/>
        <v>84.8</v>
      </c>
      <c r="H557" t="s">
        <v>32</v>
      </c>
      <c r="I557" s="5">
        <v>329</v>
      </c>
      <c r="J557">
        <f t="shared" si="17"/>
        <v>2024</v>
      </c>
      <c r="M557" s="2">
        <v>45251</v>
      </c>
    </row>
    <row r="558" spans="1:13" x14ac:dyDescent="0.25">
      <c r="A558" t="s">
        <v>18</v>
      </c>
      <c r="B558" s="2">
        <v>45314</v>
      </c>
      <c r="C558">
        <v>2024</v>
      </c>
      <c r="E558" t="s">
        <v>6</v>
      </c>
      <c r="F558">
        <v>65.2</v>
      </c>
      <c r="G558">
        <f t="shared" si="16"/>
        <v>65.2</v>
      </c>
      <c r="I558" s="5">
        <v>330</v>
      </c>
      <c r="J558">
        <f t="shared" si="17"/>
        <v>2024</v>
      </c>
      <c r="M558" s="2">
        <v>45258</v>
      </c>
    </row>
    <row r="559" spans="1:13" x14ac:dyDescent="0.25">
      <c r="A559" t="s">
        <v>18</v>
      </c>
      <c r="B559" s="2">
        <v>45337</v>
      </c>
      <c r="C559">
        <v>2024</v>
      </c>
      <c r="E559" t="s">
        <v>6</v>
      </c>
      <c r="F559">
        <v>83.2</v>
      </c>
      <c r="G559">
        <f t="shared" si="16"/>
        <v>83.2</v>
      </c>
      <c r="I559" s="5">
        <v>330</v>
      </c>
      <c r="J559">
        <f t="shared" si="17"/>
        <v>2024</v>
      </c>
      <c r="M559" s="2">
        <v>45252</v>
      </c>
    </row>
    <row r="560" spans="1:13" x14ac:dyDescent="0.25">
      <c r="A560" t="s">
        <v>18</v>
      </c>
      <c r="B560" s="2">
        <v>45348</v>
      </c>
      <c r="C560">
        <v>2024</v>
      </c>
      <c r="E560" t="s">
        <v>6</v>
      </c>
      <c r="F560">
        <v>84.1</v>
      </c>
      <c r="G560">
        <f t="shared" si="16"/>
        <v>84.1</v>
      </c>
      <c r="I560" s="5">
        <v>330</v>
      </c>
      <c r="J560">
        <f t="shared" si="17"/>
        <v>2024</v>
      </c>
      <c r="M560" s="2">
        <v>45259</v>
      </c>
    </row>
    <row r="561" spans="1:13" x14ac:dyDescent="0.25">
      <c r="A561" t="s">
        <v>18</v>
      </c>
      <c r="B561" s="2">
        <v>45365</v>
      </c>
      <c r="C561">
        <v>2024</v>
      </c>
      <c r="E561" t="s">
        <v>6</v>
      </c>
      <c r="F561">
        <v>93.8</v>
      </c>
      <c r="G561">
        <f t="shared" si="16"/>
        <v>93.8</v>
      </c>
      <c r="I561" s="5">
        <v>330</v>
      </c>
      <c r="J561">
        <f t="shared" si="17"/>
        <v>2024</v>
      </c>
      <c r="M561" s="2">
        <v>45253</v>
      </c>
    </row>
    <row r="562" spans="1:13" x14ac:dyDescent="0.25">
      <c r="A562" t="s">
        <v>18</v>
      </c>
      <c r="B562" s="2">
        <v>45379</v>
      </c>
      <c r="C562">
        <v>2024</v>
      </c>
      <c r="E562" t="s">
        <v>6</v>
      </c>
      <c r="F562">
        <v>99.2</v>
      </c>
      <c r="G562">
        <f t="shared" si="16"/>
        <v>99.2</v>
      </c>
      <c r="I562" s="5">
        <v>330</v>
      </c>
      <c r="J562">
        <f t="shared" si="17"/>
        <v>2024</v>
      </c>
      <c r="M562" s="2">
        <v>45252</v>
      </c>
    </row>
    <row r="563" spans="1:13" x14ac:dyDescent="0.25">
      <c r="A563" t="s">
        <v>18</v>
      </c>
      <c r="B563" s="2">
        <v>45393</v>
      </c>
      <c r="C563">
        <v>2024</v>
      </c>
      <c r="E563" t="s">
        <v>6</v>
      </c>
      <c r="F563">
        <v>103.7</v>
      </c>
      <c r="G563">
        <f t="shared" si="16"/>
        <v>103.7</v>
      </c>
      <c r="I563" s="5">
        <v>330</v>
      </c>
      <c r="J563">
        <f t="shared" si="17"/>
        <v>2024</v>
      </c>
      <c r="M563" s="2">
        <v>45259</v>
      </c>
    </row>
    <row r="564" spans="1:13" x14ac:dyDescent="0.25">
      <c r="A564" t="s">
        <v>18</v>
      </c>
      <c r="B564" s="2">
        <v>45407</v>
      </c>
      <c r="C564">
        <v>2024</v>
      </c>
      <c r="E564" t="s">
        <v>6</v>
      </c>
      <c r="F564">
        <v>108.9</v>
      </c>
      <c r="G564">
        <f t="shared" si="16"/>
        <v>108.9</v>
      </c>
      <c r="H564" s="5"/>
      <c r="I564" s="5">
        <v>330</v>
      </c>
      <c r="J564">
        <f t="shared" si="17"/>
        <v>2024</v>
      </c>
      <c r="M564" s="2">
        <v>45253</v>
      </c>
    </row>
    <row r="565" spans="1:13" x14ac:dyDescent="0.25">
      <c r="A565" t="s">
        <v>18</v>
      </c>
      <c r="B565" s="2">
        <v>45414</v>
      </c>
      <c r="C565">
        <v>2024</v>
      </c>
      <c r="E565" t="s">
        <v>6</v>
      </c>
      <c r="F565">
        <v>117.1</v>
      </c>
      <c r="G565">
        <f t="shared" si="16"/>
        <v>117.1</v>
      </c>
      <c r="I565" s="5">
        <v>330</v>
      </c>
      <c r="J565">
        <f t="shared" si="17"/>
        <v>2024</v>
      </c>
      <c r="M565" s="2">
        <v>45251</v>
      </c>
    </row>
    <row r="566" spans="1:13" x14ac:dyDescent="0.25">
      <c r="A566" t="s">
        <v>18</v>
      </c>
      <c r="B566" s="2">
        <v>45425</v>
      </c>
      <c r="C566">
        <v>2024</v>
      </c>
      <c r="E566" t="s">
        <v>6</v>
      </c>
      <c r="F566">
        <v>113.1</v>
      </c>
      <c r="G566">
        <f t="shared" si="16"/>
        <v>113.1</v>
      </c>
      <c r="I566" s="5">
        <v>330</v>
      </c>
      <c r="J566">
        <f t="shared" si="17"/>
        <v>2024</v>
      </c>
      <c r="M566" s="2">
        <v>45258</v>
      </c>
    </row>
    <row r="567" spans="1:13" x14ac:dyDescent="0.25">
      <c r="A567" t="s">
        <v>18</v>
      </c>
      <c r="B567" s="2">
        <v>45441</v>
      </c>
      <c r="C567">
        <v>2024</v>
      </c>
      <c r="E567" t="s">
        <v>6</v>
      </c>
      <c r="F567">
        <v>115.1</v>
      </c>
      <c r="G567">
        <f t="shared" si="16"/>
        <v>115.1</v>
      </c>
      <c r="I567" s="5">
        <v>330</v>
      </c>
      <c r="J567">
        <f t="shared" si="17"/>
        <v>2024</v>
      </c>
      <c r="M567" s="2">
        <v>45252</v>
      </c>
    </row>
    <row r="568" spans="1:13" x14ac:dyDescent="0.25">
      <c r="A568" t="s">
        <v>18</v>
      </c>
      <c r="B568" s="2">
        <v>45453</v>
      </c>
      <c r="C568">
        <v>2024</v>
      </c>
      <c r="E568" t="s">
        <v>6</v>
      </c>
      <c r="F568">
        <v>114.5</v>
      </c>
      <c r="G568">
        <f t="shared" si="16"/>
        <v>114.5</v>
      </c>
      <c r="I568" s="5">
        <v>330</v>
      </c>
      <c r="J568">
        <f t="shared" si="17"/>
        <v>2024</v>
      </c>
      <c r="M568" s="2">
        <v>45259</v>
      </c>
    </row>
    <row r="569" spans="1:13" x14ac:dyDescent="0.25">
      <c r="A569" t="s">
        <v>18</v>
      </c>
      <c r="B569" s="2">
        <v>45314</v>
      </c>
      <c r="C569">
        <v>2024</v>
      </c>
      <c r="E569" t="s">
        <v>6</v>
      </c>
      <c r="F569">
        <v>59.9</v>
      </c>
      <c r="G569">
        <f t="shared" si="16"/>
        <v>59.9</v>
      </c>
      <c r="I569" s="5">
        <v>330</v>
      </c>
      <c r="J569">
        <f t="shared" si="17"/>
        <v>2024</v>
      </c>
      <c r="M569" s="2">
        <v>45253</v>
      </c>
    </row>
    <row r="570" spans="1:13" x14ac:dyDescent="0.25">
      <c r="A570" t="s">
        <v>18</v>
      </c>
      <c r="B570" s="2">
        <v>45336</v>
      </c>
      <c r="C570">
        <v>2024</v>
      </c>
      <c r="E570" t="s">
        <v>6</v>
      </c>
      <c r="F570">
        <v>66.7</v>
      </c>
      <c r="G570">
        <f t="shared" si="16"/>
        <v>66.7</v>
      </c>
      <c r="I570" s="5">
        <v>330</v>
      </c>
      <c r="J570">
        <f t="shared" si="17"/>
        <v>2024</v>
      </c>
      <c r="M570" s="2">
        <v>45251</v>
      </c>
    </row>
    <row r="571" spans="1:13" x14ac:dyDescent="0.25">
      <c r="A571" t="s">
        <v>18</v>
      </c>
      <c r="B571" s="2">
        <v>45348</v>
      </c>
      <c r="C571">
        <v>2024</v>
      </c>
      <c r="E571" t="s">
        <v>6</v>
      </c>
      <c r="F571">
        <v>74.900000000000006</v>
      </c>
      <c r="G571">
        <f t="shared" si="16"/>
        <v>74.900000000000006</v>
      </c>
      <c r="H571" t="s">
        <v>32</v>
      </c>
      <c r="I571" s="5">
        <v>330</v>
      </c>
      <c r="J571">
        <f t="shared" si="17"/>
        <v>2024</v>
      </c>
      <c r="M571" s="2">
        <v>45258</v>
      </c>
    </row>
    <row r="572" spans="1:13" x14ac:dyDescent="0.25">
      <c r="A572" t="s">
        <v>18</v>
      </c>
      <c r="B572" s="2">
        <v>45365</v>
      </c>
      <c r="C572">
        <v>2024</v>
      </c>
      <c r="E572" t="s">
        <v>6</v>
      </c>
      <c r="F572">
        <v>85.1</v>
      </c>
      <c r="G572">
        <f t="shared" si="16"/>
        <v>85.1</v>
      </c>
      <c r="I572" s="5">
        <v>329</v>
      </c>
      <c r="J572">
        <f t="shared" si="17"/>
        <v>2024</v>
      </c>
      <c r="M572" s="2">
        <v>45252</v>
      </c>
    </row>
    <row r="573" spans="1:13" x14ac:dyDescent="0.25">
      <c r="A573" t="s">
        <v>18</v>
      </c>
      <c r="B573" s="2">
        <v>45379</v>
      </c>
      <c r="C573">
        <v>2024</v>
      </c>
      <c r="E573" t="s">
        <v>6</v>
      </c>
      <c r="F573">
        <v>90.7</v>
      </c>
      <c r="G573">
        <f t="shared" si="16"/>
        <v>90.7</v>
      </c>
      <c r="I573" s="5">
        <v>329</v>
      </c>
      <c r="J573">
        <f t="shared" si="17"/>
        <v>2024</v>
      </c>
      <c r="M573" s="2">
        <v>45253</v>
      </c>
    </row>
    <row r="574" spans="1:13" x14ac:dyDescent="0.25">
      <c r="A574" t="s">
        <v>18</v>
      </c>
      <c r="B574" s="2">
        <v>45390</v>
      </c>
      <c r="C574">
        <v>2024</v>
      </c>
      <c r="E574" t="s">
        <v>6</v>
      </c>
      <c r="F574">
        <v>91.8</v>
      </c>
      <c r="G574">
        <f t="shared" si="16"/>
        <v>91.8</v>
      </c>
      <c r="H574" s="5"/>
      <c r="I574" s="5">
        <v>329</v>
      </c>
      <c r="J574">
        <f t="shared" si="17"/>
        <v>2024</v>
      </c>
      <c r="M574" s="2">
        <v>45258</v>
      </c>
    </row>
    <row r="575" spans="1:13" x14ac:dyDescent="0.25">
      <c r="A575" t="s">
        <v>18</v>
      </c>
      <c r="B575" s="2">
        <v>45404</v>
      </c>
      <c r="C575">
        <v>2024</v>
      </c>
      <c r="E575" t="s">
        <v>6</v>
      </c>
      <c r="F575">
        <v>98.2</v>
      </c>
      <c r="G575">
        <f t="shared" si="16"/>
        <v>98.2</v>
      </c>
      <c r="I575" s="5">
        <v>329</v>
      </c>
      <c r="J575">
        <f t="shared" si="17"/>
        <v>2024</v>
      </c>
      <c r="M575" s="2">
        <v>45259</v>
      </c>
    </row>
    <row r="576" spans="1:13" x14ac:dyDescent="0.25">
      <c r="A576" t="s">
        <v>18</v>
      </c>
      <c r="B576" s="2">
        <v>45413</v>
      </c>
      <c r="C576">
        <v>2024</v>
      </c>
      <c r="E576" t="s">
        <v>6</v>
      </c>
      <c r="F576">
        <v>101.7</v>
      </c>
      <c r="G576">
        <f t="shared" si="16"/>
        <v>101.7</v>
      </c>
      <c r="I576" s="5">
        <v>329</v>
      </c>
      <c r="J576">
        <f t="shared" si="17"/>
        <v>2024</v>
      </c>
      <c r="M576" s="2">
        <v>45251</v>
      </c>
    </row>
    <row r="577" spans="1:13" x14ac:dyDescent="0.25">
      <c r="A577" t="s">
        <v>18</v>
      </c>
      <c r="B577" s="2">
        <v>45425</v>
      </c>
      <c r="C577">
        <v>2024</v>
      </c>
      <c r="E577" t="s">
        <v>6</v>
      </c>
      <c r="F577">
        <v>103.3</v>
      </c>
      <c r="G577">
        <f t="shared" si="16"/>
        <v>103.3</v>
      </c>
      <c r="I577" s="5">
        <v>329</v>
      </c>
      <c r="J577">
        <f t="shared" si="17"/>
        <v>2024</v>
      </c>
      <c r="M577" s="2">
        <v>45252</v>
      </c>
    </row>
    <row r="578" spans="1:13" x14ac:dyDescent="0.25">
      <c r="A578" t="s">
        <v>18</v>
      </c>
      <c r="B578" s="2">
        <v>45441</v>
      </c>
      <c r="C578">
        <v>2024</v>
      </c>
      <c r="E578" t="s">
        <v>6</v>
      </c>
      <c r="F578">
        <v>99.2</v>
      </c>
      <c r="G578">
        <f t="shared" si="16"/>
        <v>99.2</v>
      </c>
      <c r="I578" s="5">
        <v>329</v>
      </c>
      <c r="J578">
        <f t="shared" si="17"/>
        <v>2024</v>
      </c>
      <c r="M578" s="2">
        <v>45259</v>
      </c>
    </row>
    <row r="579" spans="1:13" x14ac:dyDescent="0.25">
      <c r="A579" t="s">
        <v>18</v>
      </c>
      <c r="B579" s="2">
        <v>45453</v>
      </c>
      <c r="C579">
        <v>2024</v>
      </c>
      <c r="E579" t="s">
        <v>6</v>
      </c>
      <c r="F579">
        <v>99.8</v>
      </c>
      <c r="G579">
        <f t="shared" ref="G579:G612" si="18">F579</f>
        <v>99.8</v>
      </c>
      <c r="I579" s="5">
        <v>329</v>
      </c>
      <c r="J579">
        <f t="shared" ref="J579:J612" si="19">YEAR(B579)</f>
        <v>2024</v>
      </c>
      <c r="M579" s="2">
        <v>45258</v>
      </c>
    </row>
    <row r="580" spans="1:13" x14ac:dyDescent="0.25">
      <c r="A580" t="s">
        <v>18</v>
      </c>
      <c r="B580" s="2">
        <v>45316</v>
      </c>
      <c r="C580">
        <v>2024</v>
      </c>
      <c r="E580" t="s">
        <v>6</v>
      </c>
      <c r="F580">
        <v>57.1</v>
      </c>
      <c r="G580">
        <f t="shared" si="18"/>
        <v>57.1</v>
      </c>
      <c r="I580" s="5">
        <v>329</v>
      </c>
      <c r="J580">
        <f t="shared" si="19"/>
        <v>2024</v>
      </c>
      <c r="M580" s="2">
        <v>45253</v>
      </c>
    </row>
    <row r="581" spans="1:13" x14ac:dyDescent="0.25">
      <c r="A581" t="s">
        <v>18</v>
      </c>
      <c r="B581" s="2">
        <v>45337</v>
      </c>
      <c r="C581">
        <v>2024</v>
      </c>
      <c r="E581" t="s">
        <v>6</v>
      </c>
      <c r="F581">
        <v>71.099999999999994</v>
      </c>
      <c r="G581">
        <f t="shared" si="18"/>
        <v>71.099999999999994</v>
      </c>
      <c r="I581" s="5">
        <v>329</v>
      </c>
      <c r="J581">
        <f t="shared" si="19"/>
        <v>2024</v>
      </c>
      <c r="M581" s="2">
        <v>45251</v>
      </c>
    </row>
    <row r="582" spans="1:13" x14ac:dyDescent="0.25">
      <c r="A582" t="s">
        <v>18</v>
      </c>
      <c r="B582" s="2">
        <v>45350</v>
      </c>
      <c r="C582">
        <v>2024</v>
      </c>
      <c r="E582" t="s">
        <v>6</v>
      </c>
      <c r="F582">
        <v>77</v>
      </c>
      <c r="G582">
        <f t="shared" si="18"/>
        <v>77</v>
      </c>
      <c r="H582" t="s">
        <v>32</v>
      </c>
      <c r="I582" s="5">
        <v>329</v>
      </c>
      <c r="J582">
        <f t="shared" si="19"/>
        <v>2024</v>
      </c>
      <c r="M582" s="2">
        <v>45253</v>
      </c>
    </row>
    <row r="583" spans="1:13" x14ac:dyDescent="0.25">
      <c r="A583" t="s">
        <v>18</v>
      </c>
      <c r="B583" s="2">
        <v>45364</v>
      </c>
      <c r="C583">
        <v>2024</v>
      </c>
      <c r="E583" t="s">
        <v>6</v>
      </c>
      <c r="F583">
        <v>83.1</v>
      </c>
      <c r="G583">
        <f t="shared" si="18"/>
        <v>83.1</v>
      </c>
      <c r="I583" s="5">
        <v>330</v>
      </c>
      <c r="J583">
        <f t="shared" si="19"/>
        <v>2024</v>
      </c>
      <c r="M583" s="2">
        <v>45258</v>
      </c>
    </row>
    <row r="584" spans="1:13" x14ac:dyDescent="0.25">
      <c r="A584" t="s">
        <v>18</v>
      </c>
      <c r="B584" s="2">
        <v>45378</v>
      </c>
      <c r="C584">
        <v>2024</v>
      </c>
      <c r="E584" t="s">
        <v>6</v>
      </c>
      <c r="F584">
        <v>87.3</v>
      </c>
      <c r="G584">
        <f t="shared" si="18"/>
        <v>87.3</v>
      </c>
      <c r="I584" s="5">
        <v>330</v>
      </c>
      <c r="J584">
        <f t="shared" si="19"/>
        <v>2024</v>
      </c>
      <c r="M584" s="2">
        <v>45252</v>
      </c>
    </row>
    <row r="585" spans="1:13" x14ac:dyDescent="0.25">
      <c r="A585" t="s">
        <v>18</v>
      </c>
      <c r="B585" s="2">
        <v>45393</v>
      </c>
      <c r="C585">
        <v>2024</v>
      </c>
      <c r="E585" t="s">
        <v>6</v>
      </c>
      <c r="F585">
        <v>86.6</v>
      </c>
      <c r="G585">
        <f t="shared" si="18"/>
        <v>86.6</v>
      </c>
      <c r="I585" s="5">
        <v>330</v>
      </c>
      <c r="J585">
        <f t="shared" si="19"/>
        <v>2024</v>
      </c>
      <c r="M585" s="2">
        <v>45259</v>
      </c>
    </row>
    <row r="586" spans="1:13" x14ac:dyDescent="0.25">
      <c r="A586" t="s">
        <v>18</v>
      </c>
      <c r="B586" s="2">
        <v>45404</v>
      </c>
      <c r="C586">
        <v>2024</v>
      </c>
      <c r="E586" t="s">
        <v>6</v>
      </c>
      <c r="F586">
        <v>90.1</v>
      </c>
      <c r="G586">
        <f t="shared" si="18"/>
        <v>90.1</v>
      </c>
      <c r="I586" s="5">
        <v>330</v>
      </c>
      <c r="J586">
        <f t="shared" si="19"/>
        <v>2024</v>
      </c>
      <c r="M586" s="2">
        <v>45251</v>
      </c>
    </row>
    <row r="587" spans="1:13" x14ac:dyDescent="0.25">
      <c r="A587" t="s">
        <v>18</v>
      </c>
      <c r="B587" s="2">
        <v>45414</v>
      </c>
      <c r="C587">
        <v>2024</v>
      </c>
      <c r="E587" t="s">
        <v>6</v>
      </c>
      <c r="F587">
        <v>99.7</v>
      </c>
      <c r="G587">
        <f t="shared" si="18"/>
        <v>99.7</v>
      </c>
      <c r="H587" s="5"/>
      <c r="I587" s="5">
        <v>330</v>
      </c>
      <c r="J587">
        <f t="shared" si="19"/>
        <v>2024</v>
      </c>
      <c r="M587" s="2">
        <v>45252</v>
      </c>
    </row>
    <row r="588" spans="1:13" x14ac:dyDescent="0.25">
      <c r="A588" t="s">
        <v>18</v>
      </c>
      <c r="B588" s="2">
        <v>45425</v>
      </c>
      <c r="C588">
        <v>2024</v>
      </c>
      <c r="E588" t="s">
        <v>6</v>
      </c>
      <c r="F588">
        <v>101.1</v>
      </c>
      <c r="G588">
        <f t="shared" si="18"/>
        <v>101.1</v>
      </c>
      <c r="I588" s="5">
        <v>330</v>
      </c>
      <c r="J588">
        <f t="shared" si="19"/>
        <v>2024</v>
      </c>
      <c r="M588" s="2">
        <v>45259</v>
      </c>
    </row>
    <row r="589" spans="1:13" x14ac:dyDescent="0.25">
      <c r="A589" t="s">
        <v>18</v>
      </c>
      <c r="B589" s="2">
        <v>45441</v>
      </c>
      <c r="C589">
        <v>2024</v>
      </c>
      <c r="E589" t="s">
        <v>6</v>
      </c>
      <c r="F589">
        <v>100.3</v>
      </c>
      <c r="G589">
        <f t="shared" si="18"/>
        <v>100.3</v>
      </c>
      <c r="I589" s="5">
        <v>330</v>
      </c>
      <c r="J589">
        <f t="shared" si="19"/>
        <v>2024</v>
      </c>
      <c r="M589" s="2">
        <v>45253</v>
      </c>
    </row>
    <row r="590" spans="1:13" x14ac:dyDescent="0.25">
      <c r="A590" t="s">
        <v>18</v>
      </c>
      <c r="B590" s="2">
        <v>45453</v>
      </c>
      <c r="C590">
        <v>2024</v>
      </c>
      <c r="E590" t="s">
        <v>6</v>
      </c>
      <c r="F590">
        <v>97.4</v>
      </c>
      <c r="G590">
        <f t="shared" si="18"/>
        <v>97.4</v>
      </c>
      <c r="I590" s="5">
        <v>330</v>
      </c>
      <c r="J590">
        <f t="shared" si="19"/>
        <v>2024</v>
      </c>
      <c r="M590" s="2">
        <v>45251</v>
      </c>
    </row>
    <row r="591" spans="1:13" x14ac:dyDescent="0.25">
      <c r="A591" t="s">
        <v>18</v>
      </c>
      <c r="B591" s="2">
        <v>45316</v>
      </c>
      <c r="C591">
        <v>2024</v>
      </c>
      <c r="E591" t="s">
        <v>6</v>
      </c>
      <c r="F591">
        <v>64.400000000000006</v>
      </c>
      <c r="G591">
        <f t="shared" si="18"/>
        <v>64.400000000000006</v>
      </c>
      <c r="I591" s="5">
        <v>330</v>
      </c>
      <c r="J591">
        <f t="shared" si="19"/>
        <v>2024</v>
      </c>
      <c r="M591" s="2">
        <v>45258</v>
      </c>
    </row>
    <row r="592" spans="1:13" x14ac:dyDescent="0.25">
      <c r="A592" t="s">
        <v>18</v>
      </c>
      <c r="B592" s="2">
        <v>45337</v>
      </c>
      <c r="C592">
        <v>2024</v>
      </c>
      <c r="E592" t="s">
        <v>6</v>
      </c>
      <c r="F592">
        <v>68.599999999999994</v>
      </c>
      <c r="G592">
        <f t="shared" si="18"/>
        <v>68.599999999999994</v>
      </c>
      <c r="H592" t="s">
        <v>32</v>
      </c>
      <c r="I592" s="5">
        <v>330</v>
      </c>
      <c r="J592">
        <f t="shared" si="19"/>
        <v>2024</v>
      </c>
      <c r="M592" s="2">
        <v>45252</v>
      </c>
    </row>
    <row r="593" spans="1:13" x14ac:dyDescent="0.25">
      <c r="A593" t="s">
        <v>18</v>
      </c>
      <c r="B593" s="2">
        <v>45350</v>
      </c>
      <c r="C593">
        <v>2024</v>
      </c>
      <c r="E593" t="s">
        <v>6</v>
      </c>
      <c r="F593">
        <v>86.5</v>
      </c>
      <c r="G593">
        <f t="shared" si="18"/>
        <v>86.5</v>
      </c>
      <c r="I593" s="5">
        <v>329</v>
      </c>
      <c r="J593">
        <f t="shared" si="19"/>
        <v>2024</v>
      </c>
      <c r="M593" s="2">
        <v>45253</v>
      </c>
    </row>
    <row r="594" spans="1:13" x14ac:dyDescent="0.25">
      <c r="A594" t="s">
        <v>18</v>
      </c>
      <c r="B594" s="2">
        <v>45364</v>
      </c>
      <c r="C594">
        <v>2024</v>
      </c>
      <c r="E594" t="s">
        <v>6</v>
      </c>
      <c r="F594">
        <v>90</v>
      </c>
      <c r="G594">
        <f t="shared" si="18"/>
        <v>90</v>
      </c>
      <c r="I594" s="5">
        <v>329</v>
      </c>
      <c r="J594">
        <f t="shared" si="19"/>
        <v>2024</v>
      </c>
      <c r="M594" s="2">
        <v>45259</v>
      </c>
    </row>
    <row r="595" spans="1:13" x14ac:dyDescent="0.25">
      <c r="A595" t="s">
        <v>18</v>
      </c>
      <c r="B595" s="2">
        <v>45378</v>
      </c>
      <c r="C595">
        <v>2024</v>
      </c>
      <c r="E595" t="s">
        <v>6</v>
      </c>
      <c r="F595">
        <v>98.4</v>
      </c>
      <c r="G595">
        <f t="shared" si="18"/>
        <v>98.4</v>
      </c>
      <c r="I595" s="5">
        <v>329</v>
      </c>
      <c r="J595">
        <f t="shared" si="19"/>
        <v>2024</v>
      </c>
      <c r="M595" s="2">
        <v>45251</v>
      </c>
    </row>
    <row r="596" spans="1:13" x14ac:dyDescent="0.25">
      <c r="A596" t="s">
        <v>18</v>
      </c>
      <c r="B596" s="2">
        <v>45390</v>
      </c>
      <c r="C596">
        <v>2024</v>
      </c>
      <c r="E596" t="s">
        <v>6</v>
      </c>
      <c r="F596">
        <v>102.7</v>
      </c>
      <c r="G596">
        <f t="shared" si="18"/>
        <v>102.7</v>
      </c>
      <c r="I596" s="5">
        <v>329</v>
      </c>
      <c r="J596">
        <f t="shared" si="19"/>
        <v>2024</v>
      </c>
      <c r="M596" s="2">
        <v>45258</v>
      </c>
    </row>
    <row r="597" spans="1:13" x14ac:dyDescent="0.25">
      <c r="A597" t="s">
        <v>18</v>
      </c>
      <c r="B597" s="2">
        <v>45407</v>
      </c>
      <c r="C597">
        <v>2024</v>
      </c>
      <c r="E597" t="s">
        <v>6</v>
      </c>
      <c r="F597">
        <v>102.3</v>
      </c>
      <c r="G597">
        <f t="shared" si="18"/>
        <v>102.3</v>
      </c>
      <c r="H597" s="5"/>
      <c r="I597" s="5">
        <v>329</v>
      </c>
      <c r="J597">
        <f t="shared" si="19"/>
        <v>2024</v>
      </c>
      <c r="M597" s="2">
        <v>45259</v>
      </c>
    </row>
    <row r="598" spans="1:13" x14ac:dyDescent="0.25">
      <c r="A598" t="s">
        <v>18</v>
      </c>
      <c r="B598" s="2">
        <v>45413</v>
      </c>
      <c r="C598">
        <v>2024</v>
      </c>
      <c r="E598" t="s">
        <v>6</v>
      </c>
      <c r="F598">
        <v>103.9</v>
      </c>
      <c r="G598">
        <f t="shared" si="18"/>
        <v>103.9</v>
      </c>
      <c r="I598" s="5">
        <v>329</v>
      </c>
      <c r="J598">
        <f t="shared" si="19"/>
        <v>2024</v>
      </c>
      <c r="M598" s="2">
        <v>45251</v>
      </c>
    </row>
    <row r="599" spans="1:13" x14ac:dyDescent="0.25">
      <c r="A599" t="s">
        <v>18</v>
      </c>
      <c r="B599" s="2">
        <v>45425</v>
      </c>
      <c r="C599">
        <v>2024</v>
      </c>
      <c r="E599" t="s">
        <v>6</v>
      </c>
      <c r="F599">
        <v>100.2</v>
      </c>
      <c r="G599">
        <f t="shared" si="18"/>
        <v>100.2</v>
      </c>
      <c r="I599" s="5">
        <v>329</v>
      </c>
      <c r="J599">
        <f t="shared" si="19"/>
        <v>2024</v>
      </c>
      <c r="M599" s="2">
        <v>45258</v>
      </c>
    </row>
    <row r="600" spans="1:13" x14ac:dyDescent="0.25">
      <c r="A600" t="s">
        <v>18</v>
      </c>
      <c r="B600" s="2">
        <v>45439</v>
      </c>
      <c r="C600">
        <v>2024</v>
      </c>
      <c r="E600" t="s">
        <v>6</v>
      </c>
      <c r="F600">
        <v>103</v>
      </c>
      <c r="G600">
        <f t="shared" si="18"/>
        <v>103</v>
      </c>
      <c r="I600" s="5">
        <v>329</v>
      </c>
      <c r="J600">
        <f t="shared" si="19"/>
        <v>2024</v>
      </c>
      <c r="M600" s="2">
        <v>45252</v>
      </c>
    </row>
    <row r="601" spans="1:13" x14ac:dyDescent="0.25">
      <c r="A601" t="s">
        <v>18</v>
      </c>
      <c r="B601" s="2">
        <v>45454</v>
      </c>
      <c r="C601">
        <v>2024</v>
      </c>
      <c r="E601" t="s">
        <v>6</v>
      </c>
      <c r="F601">
        <v>101.2</v>
      </c>
      <c r="G601">
        <f t="shared" si="18"/>
        <v>101.2</v>
      </c>
      <c r="I601" s="5">
        <v>329</v>
      </c>
      <c r="J601">
        <f t="shared" si="19"/>
        <v>2024</v>
      </c>
      <c r="M601" s="2">
        <v>45253</v>
      </c>
    </row>
    <row r="602" spans="1:13" x14ac:dyDescent="0.25">
      <c r="A602" t="s">
        <v>23</v>
      </c>
      <c r="B602" s="2">
        <v>45315</v>
      </c>
      <c r="C602">
        <v>2024</v>
      </c>
      <c r="E602" t="s">
        <v>9</v>
      </c>
      <c r="F602">
        <v>67.5</v>
      </c>
      <c r="G602">
        <f t="shared" si="18"/>
        <v>67.5</v>
      </c>
      <c r="I602" s="5">
        <v>329</v>
      </c>
      <c r="J602">
        <f t="shared" si="19"/>
        <v>2024</v>
      </c>
      <c r="M602" s="2">
        <v>45252</v>
      </c>
    </row>
    <row r="603" spans="1:13" x14ac:dyDescent="0.25">
      <c r="A603" t="s">
        <v>23</v>
      </c>
      <c r="B603" s="2">
        <v>45335</v>
      </c>
      <c r="C603">
        <v>2024</v>
      </c>
      <c r="E603" t="s">
        <v>9</v>
      </c>
      <c r="F603">
        <v>78.2</v>
      </c>
      <c r="G603">
        <f t="shared" si="18"/>
        <v>78.2</v>
      </c>
      <c r="H603" t="s">
        <v>32</v>
      </c>
      <c r="I603" s="5">
        <v>329</v>
      </c>
      <c r="J603">
        <f t="shared" si="19"/>
        <v>2024</v>
      </c>
      <c r="M603" s="2">
        <v>45252</v>
      </c>
    </row>
    <row r="604" spans="1:13" x14ac:dyDescent="0.25">
      <c r="A604" t="s">
        <v>23</v>
      </c>
      <c r="B604" s="2">
        <v>45349</v>
      </c>
      <c r="C604">
        <v>2024</v>
      </c>
      <c r="E604" t="s">
        <v>9</v>
      </c>
      <c r="F604">
        <v>86.7</v>
      </c>
      <c r="G604">
        <f t="shared" si="18"/>
        <v>86.7</v>
      </c>
      <c r="I604" s="4">
        <f t="shared" ref="I604:I612" si="20" xml:space="preserve"> DATEDIF(DATE(YEAR(M604),1,0),M604,"d")+1</f>
        <v>327</v>
      </c>
      <c r="J604">
        <f t="shared" si="19"/>
        <v>2024</v>
      </c>
      <c r="M604" s="2">
        <v>45252</v>
      </c>
    </row>
    <row r="605" spans="1:13" x14ac:dyDescent="0.25">
      <c r="A605" t="s">
        <v>23</v>
      </c>
      <c r="B605" s="2">
        <v>45363</v>
      </c>
      <c r="C605">
        <v>2024</v>
      </c>
      <c r="E605" t="s">
        <v>9</v>
      </c>
      <c r="F605">
        <v>92.6</v>
      </c>
      <c r="G605">
        <f t="shared" si="18"/>
        <v>92.6</v>
      </c>
      <c r="I605" s="4">
        <f t="shared" si="20"/>
        <v>327</v>
      </c>
      <c r="J605">
        <f t="shared" si="19"/>
        <v>2024</v>
      </c>
      <c r="M605" s="2">
        <v>45252</v>
      </c>
    </row>
    <row r="606" spans="1:13" x14ac:dyDescent="0.25">
      <c r="A606" t="s">
        <v>23</v>
      </c>
      <c r="B606" s="2">
        <v>45378</v>
      </c>
      <c r="C606">
        <v>2024</v>
      </c>
      <c r="E606" t="s">
        <v>9</v>
      </c>
      <c r="F606">
        <v>99.8</v>
      </c>
      <c r="G606">
        <f t="shared" si="18"/>
        <v>99.8</v>
      </c>
      <c r="I606" s="4">
        <f t="shared" si="20"/>
        <v>327</v>
      </c>
      <c r="J606">
        <f t="shared" si="19"/>
        <v>2024</v>
      </c>
      <c r="M606" s="2">
        <v>45252</v>
      </c>
    </row>
    <row r="607" spans="1:13" x14ac:dyDescent="0.25">
      <c r="A607" t="s">
        <v>23</v>
      </c>
      <c r="B607" s="2">
        <v>45390</v>
      </c>
      <c r="C607">
        <v>2024</v>
      </c>
      <c r="E607" t="s">
        <v>9</v>
      </c>
      <c r="F607">
        <v>103.5</v>
      </c>
      <c r="G607">
        <f t="shared" si="18"/>
        <v>103.5</v>
      </c>
      <c r="H607" s="5"/>
      <c r="I607" s="4">
        <f t="shared" si="20"/>
        <v>327</v>
      </c>
      <c r="J607">
        <f t="shared" si="19"/>
        <v>2024</v>
      </c>
      <c r="M607" s="2">
        <v>45252</v>
      </c>
    </row>
    <row r="608" spans="1:13" x14ac:dyDescent="0.25">
      <c r="A608" t="s">
        <v>23</v>
      </c>
      <c r="B608" s="2">
        <v>45406</v>
      </c>
      <c r="C608">
        <v>2024</v>
      </c>
      <c r="E608" t="s">
        <v>9</v>
      </c>
      <c r="F608">
        <v>113.8</v>
      </c>
      <c r="G608">
        <f t="shared" si="18"/>
        <v>113.8</v>
      </c>
      <c r="I608" s="4">
        <f t="shared" si="20"/>
        <v>327</v>
      </c>
      <c r="J608">
        <f t="shared" si="19"/>
        <v>2024</v>
      </c>
      <c r="M608" s="2">
        <v>45252</v>
      </c>
    </row>
    <row r="609" spans="1:13" x14ac:dyDescent="0.25">
      <c r="A609" t="s">
        <v>23</v>
      </c>
      <c r="B609" s="2">
        <v>45412</v>
      </c>
      <c r="C609">
        <v>2024</v>
      </c>
      <c r="E609" t="s">
        <v>9</v>
      </c>
      <c r="F609">
        <v>87.9</v>
      </c>
      <c r="G609">
        <f t="shared" si="18"/>
        <v>87.9</v>
      </c>
      <c r="I609" s="4">
        <f t="shared" si="20"/>
        <v>327</v>
      </c>
      <c r="J609">
        <f t="shared" si="19"/>
        <v>2024</v>
      </c>
      <c r="M609" s="2">
        <v>45252</v>
      </c>
    </row>
    <row r="610" spans="1:13" x14ac:dyDescent="0.25">
      <c r="A610" t="s">
        <v>23</v>
      </c>
      <c r="B610" s="2">
        <v>45427</v>
      </c>
      <c r="C610">
        <v>2024</v>
      </c>
      <c r="E610" t="s">
        <v>9</v>
      </c>
      <c r="F610">
        <v>105.6</v>
      </c>
      <c r="G610">
        <f t="shared" si="18"/>
        <v>105.6</v>
      </c>
      <c r="I610" s="4">
        <f t="shared" si="20"/>
        <v>327</v>
      </c>
      <c r="J610">
        <f t="shared" si="19"/>
        <v>2024</v>
      </c>
      <c r="M610" s="2">
        <v>45252</v>
      </c>
    </row>
    <row r="611" spans="1:13" x14ac:dyDescent="0.25">
      <c r="A611" t="s">
        <v>23</v>
      </c>
      <c r="B611" s="2">
        <v>45441</v>
      </c>
      <c r="C611">
        <v>2024</v>
      </c>
      <c r="E611" t="s">
        <v>9</v>
      </c>
      <c r="F611">
        <v>99.6</v>
      </c>
      <c r="G611">
        <f t="shared" si="18"/>
        <v>99.6</v>
      </c>
      <c r="I611" s="4">
        <f t="shared" si="20"/>
        <v>327</v>
      </c>
      <c r="J611">
        <f t="shared" si="19"/>
        <v>2024</v>
      </c>
      <c r="M611" s="2">
        <v>45252</v>
      </c>
    </row>
    <row r="612" spans="1:13" x14ac:dyDescent="0.25">
      <c r="A612" t="s">
        <v>23</v>
      </c>
      <c r="B612" s="2">
        <v>45454</v>
      </c>
      <c r="C612">
        <v>2024</v>
      </c>
      <c r="E612" t="s">
        <v>9</v>
      </c>
      <c r="F612">
        <v>104.6</v>
      </c>
      <c r="G612">
        <f t="shared" si="18"/>
        <v>104.6</v>
      </c>
      <c r="I612" s="4">
        <f t="shared" si="20"/>
        <v>327</v>
      </c>
      <c r="J612">
        <f t="shared" si="19"/>
        <v>2024</v>
      </c>
      <c r="M612" s="2">
        <v>45252</v>
      </c>
    </row>
  </sheetData>
  <autoFilter ref="A1:A612" xr:uid="{00000000-0001-0000-00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B67B-B506-4BB6-B9F2-66D1B242A6E8}">
  <dimension ref="A1:F20"/>
  <sheetViews>
    <sheetView tabSelected="1" zoomScale="80" zoomScaleNormal="80" workbookViewId="0">
      <selection activeCell="F25" sqref="F25"/>
    </sheetView>
  </sheetViews>
  <sheetFormatPr defaultRowHeight="15" x14ac:dyDescent="0.25"/>
  <cols>
    <col min="1" max="1" width="44.42578125" customWidth="1"/>
    <col min="2" max="3" width="16.28515625" customWidth="1"/>
    <col min="4" max="4" width="20.85546875" customWidth="1"/>
    <col min="5" max="5" width="25.7109375" customWidth="1"/>
    <col min="6" max="6" width="27.140625" customWidth="1"/>
  </cols>
  <sheetData>
    <row r="1" spans="1:6" x14ac:dyDescent="0.25">
      <c r="A1" s="13" t="s">
        <v>0</v>
      </c>
      <c r="B1" s="3" t="s">
        <v>43</v>
      </c>
      <c r="C1" s="3" t="s">
        <v>44</v>
      </c>
      <c r="D1" s="3" t="s">
        <v>40</v>
      </c>
      <c r="E1" s="3" t="s">
        <v>41</v>
      </c>
      <c r="F1" s="3" t="s">
        <v>42</v>
      </c>
    </row>
    <row r="2" spans="1:6" s="14" customFormat="1" x14ac:dyDescent="0.25">
      <c r="A2" s="14" t="s">
        <v>10</v>
      </c>
      <c r="B2" s="20">
        <v>42491</v>
      </c>
      <c r="C2" s="17">
        <f>B2-DATE(YEAR(B2),1,0)</f>
        <v>122</v>
      </c>
      <c r="D2" s="14">
        <f>27.417*LN(C2)-21.056</f>
        <v>110.6558449834517</v>
      </c>
      <c r="E2" s="14">
        <f xml:space="preserve"> 7.5203*LN(C2) - 18.204</f>
        <v>17.923679462707511</v>
      </c>
      <c r="F2" s="14">
        <f xml:space="preserve"> 4.5311*LN(C2) - 5.5574</f>
        <v>16.210099755790861</v>
      </c>
    </row>
    <row r="3" spans="1:6" s="14" customFormat="1" x14ac:dyDescent="0.25">
      <c r="A3" s="14" t="s">
        <v>11</v>
      </c>
      <c r="B3" s="20">
        <v>42856</v>
      </c>
      <c r="C3" s="17">
        <f t="shared" ref="C3:C20" si="0">B3-DATE(YEAR(B3),1,0)</f>
        <v>121</v>
      </c>
      <c r="D3" s="14">
        <f>29.81*LN(C3)-23.18</f>
        <v>119.78251616423884</v>
      </c>
      <c r="E3" s="14">
        <f xml:space="preserve"> 8.0727*LN(C3) - 18.996</f>
        <v>19.718978337438809</v>
      </c>
      <c r="F3" s="14">
        <f xml:space="preserve"> 4.2989*LN(C3) - 4.1826</f>
        <v>16.434023976465831</v>
      </c>
    </row>
    <row r="4" spans="1:6" s="14" customFormat="1" x14ac:dyDescent="0.25">
      <c r="A4" s="14" t="s">
        <v>12</v>
      </c>
      <c r="B4" s="20">
        <v>43221</v>
      </c>
      <c r="C4" s="17">
        <f t="shared" si="0"/>
        <v>121</v>
      </c>
      <c r="D4" s="14">
        <f>24.59*LN(C4)-8.78</f>
        <v>109.14848951622386</v>
      </c>
      <c r="E4" s="14">
        <f xml:space="preserve"> 7.3045*LN(C4) - 16.868</f>
        <v>18.162852040311396</v>
      </c>
      <c r="F4" s="14">
        <f xml:space="preserve"> 4.717*LN(C4) - 5.8565</f>
        <v>16.765244003579827</v>
      </c>
    </row>
    <row r="5" spans="1:6" s="14" customFormat="1" x14ac:dyDescent="0.25">
      <c r="A5" s="14" t="s">
        <v>13</v>
      </c>
      <c r="B5" s="20">
        <v>43586</v>
      </c>
      <c r="C5" s="17">
        <f t="shared" si="0"/>
        <v>121</v>
      </c>
      <c r="D5" s="14">
        <f>22.45*LN(C5)-4.7</f>
        <v>102.96549774864684</v>
      </c>
      <c r="E5" s="14">
        <f xml:space="preserve"> 6.5159*LN(C5) - 13.701</f>
        <v>17.547891616053807</v>
      </c>
      <c r="F5" s="14">
        <f xml:space="preserve"> 4.4925*LN(C5) - 4.2394</f>
        <v>17.305689026093358</v>
      </c>
    </row>
    <row r="6" spans="1:6" s="14" customFormat="1" x14ac:dyDescent="0.25">
      <c r="A6" s="14" t="s">
        <v>14</v>
      </c>
      <c r="B6" s="20">
        <v>43952</v>
      </c>
      <c r="C6" s="17">
        <f t="shared" si="0"/>
        <v>122</v>
      </c>
      <c r="D6" s="14">
        <f xml:space="preserve"> 23.529*LN(C6) - 7.8187</f>
        <v>105.2151111615288</v>
      </c>
      <c r="E6" s="14">
        <f xml:space="preserve"> 7.8195*LN(C6) - 18.793</f>
        <v>18.772042559291698</v>
      </c>
      <c r="F6" s="14">
        <f xml:space="preserve"> 5.2134*LN(C6) - 7.0613</f>
        <v>17.983983314612363</v>
      </c>
    </row>
    <row r="7" spans="1:6" s="14" customFormat="1" x14ac:dyDescent="0.25">
      <c r="A7" s="14" t="s">
        <v>15</v>
      </c>
      <c r="B7" s="20">
        <v>44317</v>
      </c>
      <c r="C7" s="17">
        <f t="shared" si="0"/>
        <v>121</v>
      </c>
      <c r="D7" s="14">
        <f xml:space="preserve"> 28.894*LN(C7) - 33.413</f>
        <v>105.15657202447223</v>
      </c>
      <c r="E7" s="14">
        <f xml:space="preserve"> 8.7529*LN(C7) - 23.525</f>
        <v>18.452075066553718</v>
      </c>
      <c r="F7" s="14">
        <f xml:space="preserve"> 5.2782*LN(C7) - 7.6739</f>
        <v>17.639241657768721</v>
      </c>
    </row>
    <row r="8" spans="1:6" s="14" customFormat="1" x14ac:dyDescent="0.25">
      <c r="A8" s="14" t="s">
        <v>16</v>
      </c>
      <c r="B8" s="20">
        <v>44682</v>
      </c>
      <c r="C8" s="17">
        <f t="shared" si="0"/>
        <v>121</v>
      </c>
      <c r="D8" s="14">
        <f xml:space="preserve"> 35.269*LN(C8) - 48.839</f>
        <v>120.30373675265147</v>
      </c>
      <c r="E8" s="14">
        <f xml:space="preserve"> 9.8786*LN(C8) - 27.385</f>
        <v>19.99069648373197</v>
      </c>
      <c r="F8" s="14">
        <f xml:space="preserve"> 4.7126*LN(C8) - 5.9565</f>
        <v>16.644142525179205</v>
      </c>
    </row>
    <row r="9" spans="1:6" s="14" customFormat="1" x14ac:dyDescent="0.25">
      <c r="A9" s="14" t="s">
        <v>17</v>
      </c>
      <c r="B9" s="20">
        <v>45047</v>
      </c>
      <c r="C9" s="17">
        <f t="shared" si="0"/>
        <v>121</v>
      </c>
      <c r="D9" s="14">
        <f xml:space="preserve"> 33.147*LN(C9) - 43.652</f>
        <v>115.31406921489518</v>
      </c>
      <c r="E9" s="14">
        <f xml:space="preserve"> 9.2757*LN(C9) - 24.904</f>
        <v>19.580314363791697</v>
      </c>
      <c r="F9" s="14">
        <f xml:space="preserve"> 4.7697*LN(C9) - 5.9803</f>
        <v>16.894182165332779</v>
      </c>
    </row>
    <row r="10" spans="1:6" s="14" customFormat="1" x14ac:dyDescent="0.25">
      <c r="A10" s="14" t="s">
        <v>18</v>
      </c>
      <c r="B10" s="20">
        <v>45413</v>
      </c>
      <c r="C10" s="17">
        <f t="shared" si="0"/>
        <v>122</v>
      </c>
      <c r="D10" s="14">
        <f xml:space="preserve"> 23.659*LN(C10) - 15.267</f>
        <v>98.391333897344126</v>
      </c>
      <c r="E10" s="14">
        <f xml:space="preserve"> 7.2391*LN(C10) - 18.129</f>
        <v>16.647788744928516</v>
      </c>
      <c r="F10" s="14">
        <f xml:space="preserve"> 4.803*LN(C10) - 6.1369</f>
        <v>16.936813077853831</v>
      </c>
    </row>
    <row r="11" spans="1:6" s="15" customFormat="1" x14ac:dyDescent="0.25">
      <c r="A11" s="15" t="s">
        <v>19</v>
      </c>
      <c r="B11" s="21">
        <v>43952</v>
      </c>
      <c r="C11" s="18">
        <f t="shared" si="0"/>
        <v>122</v>
      </c>
      <c r="D11" s="15">
        <f xml:space="preserve"> 29.249*LN(C11) - 29.474</f>
        <v>111.03881153740302</v>
      </c>
      <c r="E11" s="15">
        <f xml:space="preserve"> 7.0115*LN(C11) - 14.752</f>
        <v>18.931393555147224</v>
      </c>
      <c r="F11" s="15">
        <f xml:space="preserve"> 3.2847*LN(C11) + 1.4713</f>
        <v>17.251067925635329</v>
      </c>
    </row>
    <row r="12" spans="1:6" s="15" customFormat="1" x14ac:dyDescent="0.25">
      <c r="A12" s="15" t="s">
        <v>20</v>
      </c>
      <c r="B12" s="21">
        <v>44317</v>
      </c>
      <c r="C12" s="18">
        <f t="shared" si="0"/>
        <v>121</v>
      </c>
      <c r="D12" s="15">
        <f xml:space="preserve"> 28.918*LN(C12) - 30.791</f>
        <v>107.89367099756657</v>
      </c>
      <c r="E12" s="15">
        <f xml:space="preserve"> 7.6256*LN(C12) - 18.693</f>
        <v>17.877780384502511</v>
      </c>
      <c r="F12" s="15">
        <f xml:space="preserve"> 3.9123*LN(C12) - 2.1343</f>
        <v>16.628271351538132</v>
      </c>
    </row>
    <row r="13" spans="1:6" s="15" customFormat="1" x14ac:dyDescent="0.25">
      <c r="A13" s="15" t="s">
        <v>21</v>
      </c>
      <c r="B13" s="21">
        <v>44682</v>
      </c>
      <c r="C13" s="18">
        <f t="shared" si="0"/>
        <v>121</v>
      </c>
      <c r="D13" s="15">
        <f xml:space="preserve"> 37.134*LN(C13) - 67.128</f>
        <v>110.9588861201894</v>
      </c>
      <c r="E13" s="15">
        <f xml:space="preserve"> 10.575*LN(C13) - 31.244</f>
        <v>19.471485019685538</v>
      </c>
      <c r="F13" s="15">
        <f xml:space="preserve"> 5.4035*LN(C13) - 8.3163</f>
        <v>17.597754213131992</v>
      </c>
    </row>
    <row r="14" spans="1:6" s="15" customFormat="1" x14ac:dyDescent="0.25">
      <c r="A14" s="15" t="s">
        <v>22</v>
      </c>
      <c r="B14" s="21">
        <v>45047</v>
      </c>
      <c r="C14" s="18">
        <f t="shared" si="0"/>
        <v>121</v>
      </c>
      <c r="D14" s="15">
        <f xml:space="preserve"> 31.85*LN(C14) - 28.15</f>
        <v>124.5959288772562</v>
      </c>
      <c r="E14" s="15">
        <f xml:space="preserve"> 10.179*LN(C14) - 25.831</f>
        <v>22.985351963629231</v>
      </c>
      <c r="F14" s="15">
        <f xml:space="preserve"> 5.2677*LN(C14) - 6.7698</f>
        <v>18.492985857039951</v>
      </c>
    </row>
    <row r="15" spans="1:6" s="15" customFormat="1" x14ac:dyDescent="0.25">
      <c r="A15" s="15" t="s">
        <v>23</v>
      </c>
      <c r="B15" s="21">
        <v>45413</v>
      </c>
      <c r="C15" s="18">
        <f t="shared" si="0"/>
        <v>122</v>
      </c>
      <c r="D15" s="15">
        <f xml:space="preserve"> 19.88*LN(C15) + 6.1182</f>
        <v>101.62213836929715</v>
      </c>
      <c r="E15" s="15">
        <f xml:space="preserve"> 6.5366*LN(C15) - 13.658</f>
        <v>17.743963961003409</v>
      </c>
      <c r="F15" s="15">
        <f xml:space="preserve"> 4.2061*LN(C15) - 2.6869</f>
        <v>17.519292916252549</v>
      </c>
    </row>
    <row r="16" spans="1:6" s="16" customFormat="1" x14ac:dyDescent="0.25">
      <c r="A16" s="16" t="s">
        <v>33</v>
      </c>
      <c r="B16" s="22">
        <v>43952</v>
      </c>
      <c r="C16" s="19">
        <f t="shared" si="0"/>
        <v>122</v>
      </c>
      <c r="D16" s="16">
        <f xml:space="preserve"> 27.791*LN(C16) - 21.427</f>
        <v>112.08154885418196</v>
      </c>
      <c r="E16" s="16">
        <f xml:space="preserve"> 8.6223*LN(C16) - 21.009</f>
        <v>20.412710654003554</v>
      </c>
      <c r="F16" s="16">
        <f xml:space="preserve"> 4.815*LN(C16) - 4.8836</f>
        <v>18.247761330390631</v>
      </c>
    </row>
    <row r="17" spans="1:6" s="16" customFormat="1" x14ac:dyDescent="0.25">
      <c r="A17" s="16" t="s">
        <v>34</v>
      </c>
      <c r="B17" s="22">
        <v>44317</v>
      </c>
      <c r="C17" s="19">
        <f t="shared" si="0"/>
        <v>121</v>
      </c>
      <c r="D17" s="16">
        <f xml:space="preserve"> 24.472*LN(C17) - 10.113</f>
        <v>107.24958623184347</v>
      </c>
      <c r="E17" s="16">
        <f xml:space="preserve"> 8.1134*LN(C17) - 18.723</f>
        <v>20.187167012644601</v>
      </c>
      <c r="F17" s="16">
        <f xml:space="preserve"> 4.6819*LN(C17) - 3.5369</f>
        <v>18.916511755429383</v>
      </c>
    </row>
    <row r="18" spans="1:6" s="16" customFormat="1" x14ac:dyDescent="0.25">
      <c r="A18" s="16" t="s">
        <v>35</v>
      </c>
      <c r="B18" s="22">
        <v>44682</v>
      </c>
      <c r="C18" s="19">
        <f t="shared" si="0"/>
        <v>121</v>
      </c>
      <c r="D18" s="16">
        <f xml:space="preserve"> 32.51*LN(C18) - 42.554</f>
        <v>113.35715063735006</v>
      </c>
      <c r="E18" s="16">
        <f xml:space="preserve"> 10.27*LN(C18) - 27.358</f>
        <v>21.894768903278528</v>
      </c>
      <c r="F18" s="16">
        <f xml:space="preserve"> 5.129*LN(C18) - 5.2481</f>
        <v>19.349509708365684</v>
      </c>
    </row>
    <row r="19" spans="1:6" s="16" customFormat="1" x14ac:dyDescent="0.25">
      <c r="A19" s="16" t="s">
        <v>36</v>
      </c>
      <c r="B19" s="22">
        <v>45047</v>
      </c>
      <c r="C19" s="19">
        <f t="shared" si="0"/>
        <v>121</v>
      </c>
      <c r="D19" s="16">
        <f>28.494*LN(C19) - 20.737</f>
        <v>115.91425580623354</v>
      </c>
      <c r="E19" s="16">
        <f xml:space="preserve"> 8.0217*LN(C19) - 18.98</f>
        <v>19.490393019613375</v>
      </c>
      <c r="F19" s="16">
        <f xml:space="preserve"> 4.0582*LN(C19) - 2.5446</f>
        <v>16.917677192140697</v>
      </c>
    </row>
    <row r="20" spans="1:6" s="16" customFormat="1" x14ac:dyDescent="0.25">
      <c r="A20" s="16" t="s">
        <v>37</v>
      </c>
      <c r="B20" s="22">
        <v>45413</v>
      </c>
      <c r="C20" s="19">
        <f t="shared" si="0"/>
        <v>122</v>
      </c>
      <c r="D20" s="16">
        <f xml:space="preserve"> 25.329*LN(C20) - 18.082</f>
        <v>103.59904904204868</v>
      </c>
      <c r="E20" s="16">
        <f xml:space="preserve"> 7.4099*LN(C20) - 18.019</f>
        <v>17.578315539368965</v>
      </c>
      <c r="F20" s="16">
        <f xml:space="preserve"> 4.544*LN(C20) - 4.75</f>
        <v>17.079471627267917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SingleBerryFW</vt:lpstr>
      <vt:lpstr>SingleBerryDW</vt:lpstr>
      <vt:lpstr>SingleBerryDMC</vt:lpstr>
      <vt:lpstr>FullBloom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Niloo Shahidi</cp:lastModifiedBy>
  <dcterms:created xsi:type="dcterms:W3CDTF">2025-07-01T02:18:19Z</dcterms:created>
  <dcterms:modified xsi:type="dcterms:W3CDTF">2025-09-20T05:56:23Z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2025-07-01T05:54:52Z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b27a9a34-be71-4ec7-935b-33361ce60716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