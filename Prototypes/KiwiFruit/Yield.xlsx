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FE1F05B7-EB18-4243-8EB8-4B8557381F7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</sheets>
  <definedNames>
    <definedName name="_xlnm._FilterDatabase" localSheetId="3" hidden="1">FullBloom!$A$1:$A$612</definedName>
    <definedName name="_xlnm._FilterDatabase" localSheetId="2" hidden="1">SingleBerryDMC!$A$1:$A$1228</definedName>
    <definedName name="_xlnm._FilterDatabase" localSheetId="1" hidden="1">SingleBerryDW!$A$1:$A$1224</definedName>
    <definedName name="_xlnm._FilterDatabase" localSheetId="0" hidden="1">SingleBerryFW!$A$1:$A$1224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I1224" i="1" l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G1024" i="3"/>
  <c r="G1156" i="3"/>
  <c r="G959" i="3"/>
  <c r="F1221" i="4"/>
  <c r="G1221" i="4" s="1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G630" i="4" s="1"/>
  <c r="F631" i="4"/>
  <c r="G631" i="4" s="1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G646" i="4" s="1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G682" i="4" s="1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G713" i="4" s="1"/>
  <c r="F714" i="4"/>
  <c r="G714" i="4" s="1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G731" i="4" s="1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G770" i="4" s="1"/>
  <c r="F771" i="4"/>
  <c r="G771" i="4" s="1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G802" i="4" s="1"/>
  <c r="F803" i="4"/>
  <c r="G803" i="4" s="1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G816" i="4" s="1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G851" i="4" s="1"/>
  <c r="F852" i="4"/>
  <c r="G852" i="4" s="1"/>
  <c r="F853" i="4"/>
  <c r="G853" i="4" s="1"/>
  <c r="F854" i="4"/>
  <c r="G854" i="4" s="1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G870" i="4" s="1"/>
  <c r="F871" i="4"/>
  <c r="G871" i="4" s="1"/>
  <c r="F872" i="4"/>
  <c r="F873" i="4"/>
  <c r="F874" i="4"/>
  <c r="F875" i="4"/>
  <c r="F876" i="4"/>
  <c r="F877" i="4"/>
  <c r="F878" i="4"/>
  <c r="F879" i="4"/>
  <c r="F880" i="4"/>
  <c r="G880" i="4" s="1"/>
  <c r="F881" i="4"/>
  <c r="G881" i="4" s="1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G909" i="4" s="1"/>
  <c r="F910" i="4"/>
  <c r="G910" i="4" s="1"/>
  <c r="F911" i="4"/>
  <c r="G911" i="4" s="1"/>
  <c r="F912" i="4"/>
  <c r="G912" i="4" s="1"/>
  <c r="F913" i="4"/>
  <c r="G913" i="4" s="1"/>
  <c r="F914" i="4"/>
  <c r="G914" i="4" s="1"/>
  <c r="F915" i="4"/>
  <c r="G915" i="4" s="1"/>
  <c r="F916" i="4"/>
  <c r="G916" i="4" s="1"/>
  <c r="F917" i="4"/>
  <c r="F918" i="4"/>
  <c r="F919" i="4"/>
  <c r="F920" i="4"/>
  <c r="F921" i="4"/>
  <c r="F922" i="4"/>
  <c r="F923" i="4"/>
  <c r="F924" i="4"/>
  <c r="F925" i="4"/>
  <c r="G925" i="4" s="1"/>
  <c r="F926" i="4"/>
  <c r="F927" i="4"/>
  <c r="F928" i="4"/>
  <c r="F929" i="4"/>
  <c r="F930" i="4"/>
  <c r="F931" i="4"/>
  <c r="F932" i="4"/>
  <c r="G932" i="4" s="1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G947" i="4" s="1"/>
  <c r="F948" i="4"/>
  <c r="G948" i="4" s="1"/>
  <c r="F949" i="4"/>
  <c r="G949" i="4" s="1"/>
  <c r="F950" i="4"/>
  <c r="F951" i="4"/>
  <c r="F952" i="4"/>
  <c r="F953" i="4"/>
  <c r="F954" i="4"/>
  <c r="F955" i="4"/>
  <c r="F956" i="4"/>
  <c r="F957" i="4"/>
  <c r="F958" i="4"/>
  <c r="F959" i="4"/>
  <c r="G959" i="4" s="1"/>
  <c r="F960" i="4"/>
  <c r="F961" i="4"/>
  <c r="F962" i="4"/>
  <c r="F963" i="4"/>
  <c r="F964" i="4"/>
  <c r="F965" i="4"/>
  <c r="F966" i="4"/>
  <c r="F967" i="4"/>
  <c r="F968" i="4"/>
  <c r="F969" i="4"/>
  <c r="G969" i="4" s="1"/>
  <c r="F970" i="4"/>
  <c r="F971" i="4"/>
  <c r="F972" i="4"/>
  <c r="F973" i="4"/>
  <c r="F974" i="4"/>
  <c r="F975" i="4"/>
  <c r="F976" i="4"/>
  <c r="F977" i="4"/>
  <c r="F978" i="4"/>
  <c r="F979" i="4"/>
  <c r="G979" i="4" s="1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G1004" i="4" s="1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G1024" i="4" s="1"/>
  <c r="F1025" i="4"/>
  <c r="F1026" i="4"/>
  <c r="F1027" i="4"/>
  <c r="F1028" i="4"/>
  <c r="F1029" i="4"/>
  <c r="F1030" i="4"/>
  <c r="F1031" i="4"/>
  <c r="F1032" i="4"/>
  <c r="F1033" i="4"/>
  <c r="F1034" i="4"/>
  <c r="F1035" i="4"/>
  <c r="G1035" i="4" s="1"/>
  <c r="F1036" i="4"/>
  <c r="F1037" i="4"/>
  <c r="F1038" i="4"/>
  <c r="F1039" i="4"/>
  <c r="F1040" i="4"/>
  <c r="F1041" i="4"/>
  <c r="F1042" i="4"/>
  <c r="F1043" i="4"/>
  <c r="F1044" i="4"/>
  <c r="F1045" i="4"/>
  <c r="F1046" i="4"/>
  <c r="G1046" i="4" s="1"/>
  <c r="F1047" i="4"/>
  <c r="F1048" i="4"/>
  <c r="F1049" i="4"/>
  <c r="F1050" i="4"/>
  <c r="F1051" i="4"/>
  <c r="F1052" i="4"/>
  <c r="F1053" i="4"/>
  <c r="F1054" i="4"/>
  <c r="F1055" i="4"/>
  <c r="F1056" i="4"/>
  <c r="F1057" i="4"/>
  <c r="G1057" i="4" s="1"/>
  <c r="F1058" i="4"/>
  <c r="F1059" i="4"/>
  <c r="F1060" i="4"/>
  <c r="F1061" i="4"/>
  <c r="F1062" i="4"/>
  <c r="F1063" i="4"/>
  <c r="F1064" i="4"/>
  <c r="F1065" i="4"/>
  <c r="F1066" i="4"/>
  <c r="F1067" i="4"/>
  <c r="F1068" i="4"/>
  <c r="G1068" i="4" s="1"/>
  <c r="F1069" i="4"/>
  <c r="F1070" i="4"/>
  <c r="F1071" i="4"/>
  <c r="F1072" i="4"/>
  <c r="F1073" i="4"/>
  <c r="F1074" i="4"/>
  <c r="F1075" i="4"/>
  <c r="F1076" i="4"/>
  <c r="F1077" i="4"/>
  <c r="F1078" i="4"/>
  <c r="F1079" i="4"/>
  <c r="G1079" i="4" s="1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G1091" i="4" s="1"/>
  <c r="F1092" i="4"/>
  <c r="F1093" i="4"/>
  <c r="F1094" i="4"/>
  <c r="F1095" i="4"/>
  <c r="F1096" i="4"/>
  <c r="F1097" i="4"/>
  <c r="F1098" i="4"/>
  <c r="F1099" i="4"/>
  <c r="F1100" i="4"/>
  <c r="G1100" i="4" s="1"/>
  <c r="F1101" i="4"/>
  <c r="G1101" i="4" s="1"/>
  <c r="F1102" i="4"/>
  <c r="F1103" i="4"/>
  <c r="F1104" i="4"/>
  <c r="F1105" i="4"/>
  <c r="F1106" i="4"/>
  <c r="F1107" i="4"/>
  <c r="F1108" i="4"/>
  <c r="F1109" i="4"/>
  <c r="F1110" i="4"/>
  <c r="F1111" i="4"/>
  <c r="G1111" i="4" s="1"/>
  <c r="F1112" i="4"/>
  <c r="G1112" i="4" s="1"/>
  <c r="F1113" i="4"/>
  <c r="F1114" i="4"/>
  <c r="F1115" i="4"/>
  <c r="F1116" i="4"/>
  <c r="F1117" i="4"/>
  <c r="F1118" i="4"/>
  <c r="F1119" i="4"/>
  <c r="F1120" i="4"/>
  <c r="F1121" i="4"/>
  <c r="F1122" i="4"/>
  <c r="G1122" i="4" s="1"/>
  <c r="F1123" i="4"/>
  <c r="G1123" i="4" s="1"/>
  <c r="F1124" i="4"/>
  <c r="F1125" i="4"/>
  <c r="F1126" i="4"/>
  <c r="F1127" i="4"/>
  <c r="F1128" i="4"/>
  <c r="F1129" i="4"/>
  <c r="F1130" i="4"/>
  <c r="F1131" i="4"/>
  <c r="F1132" i="4"/>
  <c r="F1133" i="4"/>
  <c r="G1133" i="4" s="1"/>
  <c r="F1134" i="4"/>
  <c r="G1134" i="4" s="1"/>
  <c r="F1135" i="4"/>
  <c r="F1136" i="4"/>
  <c r="F1137" i="4"/>
  <c r="F1138" i="4"/>
  <c r="F1139" i="4"/>
  <c r="F1140" i="4"/>
  <c r="F1141" i="4"/>
  <c r="F1142" i="4"/>
  <c r="F1143" i="4"/>
  <c r="F1144" i="4"/>
  <c r="G1144" i="4" s="1"/>
  <c r="F1145" i="4"/>
  <c r="G1145" i="4" s="1"/>
  <c r="F1146" i="4"/>
  <c r="F1147" i="4"/>
  <c r="F1148" i="4"/>
  <c r="F1149" i="4"/>
  <c r="F1150" i="4"/>
  <c r="F1151" i="4"/>
  <c r="F1152" i="4"/>
  <c r="F1153" i="4"/>
  <c r="F1154" i="4"/>
  <c r="F1155" i="4"/>
  <c r="F1156" i="4"/>
  <c r="G1156" i="4" s="1"/>
  <c r="F1157" i="4"/>
  <c r="F1158" i="4"/>
  <c r="F1159" i="4"/>
  <c r="F1160" i="4"/>
  <c r="F1161" i="4"/>
  <c r="F1162" i="4"/>
  <c r="F1163" i="4"/>
  <c r="F1164" i="4"/>
  <c r="G1164" i="4" s="1"/>
  <c r="F1165" i="4"/>
  <c r="G1165" i="4" s="1"/>
  <c r="F1166" i="4"/>
  <c r="F1167" i="4"/>
  <c r="F1168" i="4"/>
  <c r="F1169" i="4"/>
  <c r="F1170" i="4"/>
  <c r="F1171" i="4"/>
  <c r="F1172" i="4"/>
  <c r="F1173" i="4"/>
  <c r="F1174" i="4"/>
  <c r="F1175" i="4"/>
  <c r="G1175" i="4" s="1"/>
  <c r="F1176" i="4"/>
  <c r="F1177" i="4"/>
  <c r="F1178" i="4"/>
  <c r="F1179" i="4"/>
  <c r="F1180" i="4"/>
  <c r="F1181" i="4"/>
  <c r="F1182" i="4"/>
  <c r="F1183" i="4"/>
  <c r="F1184" i="4"/>
  <c r="F1185" i="4"/>
  <c r="F1186" i="4"/>
  <c r="G1186" i="4" s="1"/>
  <c r="F1187" i="4"/>
  <c r="G1187" i="4" s="1"/>
  <c r="F1188" i="4"/>
  <c r="F1189" i="4"/>
  <c r="F1190" i="4"/>
  <c r="F1191" i="4"/>
  <c r="F1192" i="4"/>
  <c r="F1193" i="4"/>
  <c r="F1194" i="4"/>
  <c r="F1195" i="4"/>
  <c r="F1196" i="4"/>
  <c r="F1197" i="4"/>
  <c r="G1197" i="4" s="1"/>
  <c r="F1198" i="4"/>
  <c r="G1198" i="4" s="1"/>
  <c r="F1199" i="4"/>
  <c r="F1200" i="4"/>
  <c r="F1201" i="4"/>
  <c r="F1202" i="4"/>
  <c r="F1203" i="4"/>
  <c r="F1204" i="4"/>
  <c r="F1205" i="4"/>
  <c r="F1206" i="4"/>
  <c r="F1207" i="4"/>
  <c r="F1208" i="4"/>
  <c r="G1208" i="4" s="1"/>
  <c r="F1209" i="4"/>
  <c r="G1209" i="4" s="1"/>
  <c r="F1210" i="4"/>
  <c r="F1211" i="4"/>
  <c r="F1212" i="4"/>
  <c r="F1213" i="4"/>
  <c r="F1214" i="4"/>
  <c r="F1215" i="4"/>
  <c r="F1216" i="4"/>
  <c r="F1217" i="4"/>
  <c r="F1218" i="4"/>
  <c r="F1219" i="4"/>
  <c r="F1220" i="4"/>
  <c r="G1220" i="4" s="1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<sst xmlns="http://schemas.openxmlformats.org/spreadsheetml/2006/main" count="8780" uniqueCount="33">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</sst>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224"/>
  <sheetViews>
    <sheetView zoomScale="70" zoomScaleNormal="70" workbookViewId="0">
      <pane ySplit="1" topLeftCell="A614" activePane="bottomLeft" state="frozen"/>
      <selection pane="bottomLeft" activeCell="L1211" sqref="L1211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3" spans="1:13" hidden="1" x14ac:dyDescent="0.25"/>
    <row r="614" spans="1:13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  <c r="G615">
        <f t="shared" ref="G615:G678" si="9">F615</f>
        <v>58.3</v>
      </c>
      <c r="I615" s="5">
        <f t="shared" ref="I615:I678" si="10" xml:space="preserve"> DATEDIF(DATE(YEAR(M615),1,0),M615,"d")+1</f>
        <v>334</v>
      </c>
      <c r="M615" s="2">
        <v>42337</v>
      </c>
    </row>
    <row r="616" spans="1:13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  <c r="G616">
        <f t="shared" si="9"/>
        <v>74.400000000000006</v>
      </c>
      <c r="I616" s="5">
        <f t="shared" si="10"/>
        <v>331</v>
      </c>
      <c r="M616" s="2">
        <v>42334</v>
      </c>
    </row>
    <row r="617" spans="1:13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  <c r="G617">
        <f t="shared" si="9"/>
        <v>85.7</v>
      </c>
      <c r="I617" s="5">
        <f t="shared" si="10"/>
        <v>333</v>
      </c>
      <c r="M617" s="2">
        <v>42336</v>
      </c>
    </row>
    <row r="618" spans="1:13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  <c r="G618">
        <f t="shared" si="9"/>
        <v>79.400000000000006</v>
      </c>
      <c r="I618" s="5">
        <f t="shared" si="10"/>
        <v>331</v>
      </c>
      <c r="M618" s="2">
        <v>42334</v>
      </c>
    </row>
    <row r="619" spans="1:13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  <c r="G619">
        <f t="shared" si="9"/>
        <v>92.4</v>
      </c>
      <c r="I619" s="5">
        <f t="shared" si="10"/>
        <v>336</v>
      </c>
      <c r="M619" s="2">
        <v>42339</v>
      </c>
    </row>
    <row r="620" spans="1:13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  <c r="G620">
        <f t="shared" si="9"/>
        <v>91.9</v>
      </c>
      <c r="I620" s="5">
        <f t="shared" si="10"/>
        <v>330</v>
      </c>
      <c r="M620" s="2">
        <v>42333</v>
      </c>
    </row>
    <row r="621" spans="1:13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  <c r="G621">
        <f t="shared" si="9"/>
        <v>101.1</v>
      </c>
      <c r="I621" s="5">
        <f t="shared" si="10"/>
        <v>331</v>
      </c>
      <c r="M621" s="2">
        <v>42334</v>
      </c>
    </row>
    <row r="622" spans="1:13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  <c r="G622">
        <f t="shared" si="9"/>
        <v>94.9</v>
      </c>
      <c r="I622" s="5">
        <f t="shared" si="10"/>
        <v>336</v>
      </c>
      <c r="M622" s="2">
        <v>42339</v>
      </c>
    </row>
    <row r="623" spans="1:13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  <c r="G623">
        <f t="shared" si="9"/>
        <v>113.4</v>
      </c>
      <c r="I623" s="5">
        <f t="shared" si="10"/>
        <v>327</v>
      </c>
      <c r="M623" s="2">
        <v>42330</v>
      </c>
    </row>
    <row r="624" spans="1:13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  <c r="G624">
        <f t="shared" si="9"/>
        <v>115.3</v>
      </c>
      <c r="I624" s="5">
        <f t="shared" si="10"/>
        <v>334</v>
      </c>
      <c r="M624" s="2">
        <v>42337</v>
      </c>
    </row>
    <row r="625" spans="1:13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  <c r="G625">
        <f t="shared" si="9"/>
        <v>101.2</v>
      </c>
      <c r="I625" s="5">
        <f t="shared" si="10"/>
        <v>331</v>
      </c>
      <c r="M625" s="2">
        <v>42334</v>
      </c>
    </row>
    <row r="626" spans="1:13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  <c r="G626">
        <f t="shared" si="9"/>
        <v>103.3</v>
      </c>
      <c r="I626" s="5">
        <f t="shared" si="10"/>
        <v>333</v>
      </c>
      <c r="M626" s="2">
        <v>42336</v>
      </c>
    </row>
    <row r="627" spans="1:13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  <c r="G627">
        <f t="shared" si="9"/>
        <v>119.2</v>
      </c>
      <c r="I627" s="5">
        <f t="shared" si="10"/>
        <v>330</v>
      </c>
      <c r="M627" s="2">
        <v>42333</v>
      </c>
    </row>
    <row r="628" spans="1:13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  <c r="G628">
        <f t="shared" si="9"/>
        <v>103.4</v>
      </c>
      <c r="I628" s="5">
        <f t="shared" si="10"/>
        <v>331</v>
      </c>
      <c r="M628" s="2">
        <v>42334</v>
      </c>
    </row>
    <row r="629" spans="1:13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  <c r="G629">
        <f t="shared" si="9"/>
        <v>115.3</v>
      </c>
      <c r="I629" s="5">
        <f t="shared" si="10"/>
        <v>336</v>
      </c>
      <c r="M629" s="2">
        <v>42339</v>
      </c>
    </row>
    <row r="630" spans="1:13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  <c r="G630">
        <f t="shared" si="9"/>
        <v>105.7</v>
      </c>
      <c r="H630" t="s">
        <v>27</v>
      </c>
      <c r="I630" s="5">
        <f t="shared" si="10"/>
        <v>330</v>
      </c>
      <c r="M630" s="2">
        <v>42333</v>
      </c>
    </row>
    <row r="631" spans="1:13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  <c r="G631">
        <f t="shared" si="9"/>
        <v>122.2</v>
      </c>
      <c r="H631" t="s">
        <v>27</v>
      </c>
      <c r="I631" s="5">
        <f t="shared" si="10"/>
        <v>327</v>
      </c>
      <c r="M631" s="2">
        <v>42330</v>
      </c>
    </row>
    <row r="632" spans="1:13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  <c r="G632">
        <f t="shared" si="9"/>
        <v>106.7</v>
      </c>
      <c r="I632" s="5">
        <f t="shared" si="10"/>
        <v>334</v>
      </c>
      <c r="M632" s="2">
        <v>42337</v>
      </c>
    </row>
    <row r="633" spans="1:13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  <c r="G633">
        <f t="shared" si="9"/>
        <v>123.3</v>
      </c>
      <c r="I633" s="5">
        <f t="shared" si="10"/>
        <v>331</v>
      </c>
      <c r="M633" s="2">
        <v>42334</v>
      </c>
    </row>
    <row r="634" spans="1:13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  <c r="G634">
        <f t="shared" si="9"/>
        <v>103.3</v>
      </c>
      <c r="I634" s="5">
        <f t="shared" si="10"/>
        <v>333</v>
      </c>
      <c r="M634" s="2">
        <v>42336</v>
      </c>
    </row>
    <row r="635" spans="1:13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  <c r="G635">
        <f t="shared" si="9"/>
        <v>122.6</v>
      </c>
      <c r="I635" s="5">
        <f t="shared" si="10"/>
        <v>331</v>
      </c>
      <c r="M635" s="2">
        <v>42334</v>
      </c>
    </row>
    <row r="636" spans="1:13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  <c r="G636">
        <f t="shared" si="9"/>
        <v>106.7</v>
      </c>
      <c r="I636" s="5">
        <f t="shared" si="10"/>
        <v>336</v>
      </c>
      <c r="M636" s="2">
        <v>42339</v>
      </c>
    </row>
    <row r="637" spans="1:13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  <c r="G637">
        <f t="shared" si="9"/>
        <v>118.4</v>
      </c>
      <c r="I637" s="5">
        <f t="shared" si="10"/>
        <v>327</v>
      </c>
      <c r="M637" s="2">
        <v>42330</v>
      </c>
    </row>
    <row r="638" spans="1:13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  <c r="G638">
        <f t="shared" si="9"/>
        <v>56.9</v>
      </c>
      <c r="I638" s="5">
        <f t="shared" si="10"/>
        <v>334</v>
      </c>
      <c r="M638" s="2">
        <v>42337</v>
      </c>
    </row>
    <row r="639" spans="1:13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  <c r="G639">
        <f t="shared" si="9"/>
        <v>81.2</v>
      </c>
      <c r="I639" s="5">
        <f t="shared" si="10"/>
        <v>331</v>
      </c>
      <c r="M639" s="2">
        <v>42334</v>
      </c>
    </row>
    <row r="640" spans="1:13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  <c r="G640">
        <f t="shared" si="9"/>
        <v>94.7</v>
      </c>
      <c r="I640" s="5">
        <f t="shared" si="10"/>
        <v>333</v>
      </c>
      <c r="M640" s="2">
        <v>42336</v>
      </c>
    </row>
    <row r="641" spans="1:13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  <c r="G641">
        <f t="shared" si="9"/>
        <v>97.8</v>
      </c>
      <c r="I641" s="5">
        <f t="shared" si="10"/>
        <v>330</v>
      </c>
      <c r="M641" s="2">
        <v>42333</v>
      </c>
    </row>
    <row r="642" spans="1:13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  <c r="G642">
        <f t="shared" si="9"/>
        <v>109.2</v>
      </c>
      <c r="I642" s="5">
        <f t="shared" si="10"/>
        <v>331</v>
      </c>
      <c r="M642" s="2">
        <v>42334</v>
      </c>
    </row>
    <row r="643" spans="1:13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  <c r="G643">
        <f t="shared" si="9"/>
        <v>107.3</v>
      </c>
      <c r="I643" s="5">
        <f t="shared" si="10"/>
        <v>327</v>
      </c>
      <c r="M643" s="2">
        <v>42330</v>
      </c>
    </row>
    <row r="644" spans="1:13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  <c r="G644">
        <f t="shared" si="9"/>
        <v>112.8</v>
      </c>
      <c r="I644" s="5">
        <f t="shared" si="10"/>
        <v>334</v>
      </c>
      <c r="M644" s="2">
        <v>42337</v>
      </c>
    </row>
    <row r="645" spans="1:13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  <c r="G645">
        <f t="shared" si="9"/>
        <v>110.8</v>
      </c>
      <c r="I645" s="5">
        <f t="shared" si="10"/>
        <v>336</v>
      </c>
      <c r="M645" s="2">
        <v>42339</v>
      </c>
    </row>
    <row r="646" spans="1:13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  <c r="G646">
        <f t="shared" si="9"/>
        <v>115.6</v>
      </c>
      <c r="H646" t="s">
        <v>27</v>
      </c>
      <c r="I646" s="5">
        <f t="shared" si="10"/>
        <v>331</v>
      </c>
      <c r="M646" s="2">
        <v>42334</v>
      </c>
    </row>
    <row r="647" spans="1:13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  <c r="G647">
        <f t="shared" si="9"/>
        <v>114.4</v>
      </c>
      <c r="I647" s="5">
        <f t="shared" si="10"/>
        <v>333</v>
      </c>
      <c r="M647" s="2">
        <v>42336</v>
      </c>
    </row>
    <row r="648" spans="1:13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  <c r="G648">
        <f t="shared" si="9"/>
        <v>113.8</v>
      </c>
      <c r="I648" s="5">
        <f t="shared" si="10"/>
        <v>330</v>
      </c>
      <c r="M648" s="2">
        <v>42333</v>
      </c>
    </row>
    <row r="649" spans="1:13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  <c r="G649">
        <f t="shared" si="9"/>
        <v>119.1</v>
      </c>
      <c r="I649" s="5">
        <f t="shared" si="10"/>
        <v>336</v>
      </c>
      <c r="M649" s="2">
        <v>42339</v>
      </c>
    </row>
    <row r="650" spans="1:13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  <c r="G650">
        <f t="shared" si="9"/>
        <v>65.2</v>
      </c>
      <c r="I650" s="5">
        <f t="shared" si="10"/>
        <v>333</v>
      </c>
      <c r="M650" s="2">
        <v>42336</v>
      </c>
    </row>
    <row r="651" spans="1:13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  <c r="G651">
        <f t="shared" si="9"/>
        <v>62.3</v>
      </c>
      <c r="I651" s="5">
        <f t="shared" si="10"/>
        <v>330</v>
      </c>
      <c r="M651" s="2">
        <v>42333</v>
      </c>
    </row>
    <row r="652" spans="1:13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  <c r="G652">
        <f t="shared" si="9"/>
        <v>61.2</v>
      </c>
      <c r="I652" s="5">
        <f t="shared" si="10"/>
        <v>331</v>
      </c>
      <c r="M652" s="2">
        <v>42334</v>
      </c>
    </row>
    <row r="653" spans="1:13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  <c r="G653">
        <f t="shared" si="9"/>
        <v>61</v>
      </c>
      <c r="I653" s="5">
        <f t="shared" si="10"/>
        <v>327</v>
      </c>
      <c r="M653" s="2">
        <v>42330</v>
      </c>
    </row>
    <row r="654" spans="1:13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  <c r="G654">
        <f t="shared" si="9"/>
        <v>91.7</v>
      </c>
      <c r="I654" s="5">
        <f t="shared" si="10"/>
        <v>334</v>
      </c>
      <c r="M654" s="2">
        <v>42337</v>
      </c>
    </row>
    <row r="655" spans="1:13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  <c r="G655">
        <f t="shared" si="9"/>
        <v>88.5</v>
      </c>
      <c r="I655" s="5">
        <f t="shared" si="10"/>
        <v>331</v>
      </c>
      <c r="M655" s="2">
        <v>42334</v>
      </c>
    </row>
    <row r="656" spans="1:13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  <c r="G656">
        <f t="shared" si="9"/>
        <v>81.3</v>
      </c>
      <c r="I656" s="5">
        <f t="shared" si="10"/>
        <v>331</v>
      </c>
      <c r="M656" s="2">
        <v>42334</v>
      </c>
    </row>
    <row r="657" spans="1:13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  <c r="G657">
        <f t="shared" si="9"/>
        <v>78.599999999999994</v>
      </c>
      <c r="I657" s="5">
        <f t="shared" si="10"/>
        <v>327</v>
      </c>
      <c r="M657" s="2">
        <v>42330</v>
      </c>
    </row>
    <row r="658" spans="1:13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  <c r="G658">
        <f t="shared" si="9"/>
        <v>85.2</v>
      </c>
      <c r="I658" s="5">
        <f t="shared" si="10"/>
        <v>334</v>
      </c>
      <c r="M658" s="2">
        <v>42337</v>
      </c>
    </row>
    <row r="659" spans="1:13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  <c r="G659">
        <f t="shared" si="9"/>
        <v>100.6</v>
      </c>
      <c r="I659" s="5">
        <f t="shared" si="10"/>
        <v>336</v>
      </c>
      <c r="M659" s="2">
        <v>42339</v>
      </c>
    </row>
    <row r="660" spans="1:13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  <c r="G660">
        <f t="shared" si="9"/>
        <v>99.5</v>
      </c>
      <c r="I660" s="5">
        <f t="shared" si="10"/>
        <v>331</v>
      </c>
      <c r="M660" s="2">
        <v>42334</v>
      </c>
    </row>
    <row r="661" spans="1:13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  <c r="G661">
        <f t="shared" si="9"/>
        <v>85.7</v>
      </c>
      <c r="I661" s="5">
        <f t="shared" si="10"/>
        <v>333</v>
      </c>
      <c r="M661" s="2">
        <v>42336</v>
      </c>
    </row>
    <row r="662" spans="1:13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  <c r="G662">
        <f t="shared" si="9"/>
        <v>109.5</v>
      </c>
      <c r="I662" s="5">
        <f t="shared" si="10"/>
        <v>330</v>
      </c>
      <c r="M662" s="2">
        <v>42333</v>
      </c>
    </row>
    <row r="663" spans="1:13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  <c r="G663">
        <f t="shared" si="9"/>
        <v>103.6</v>
      </c>
      <c r="I663" s="5">
        <f t="shared" si="10"/>
        <v>331</v>
      </c>
      <c r="M663" s="2">
        <v>42334</v>
      </c>
    </row>
    <row r="664" spans="1:13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  <c r="G664">
        <f t="shared" si="9"/>
        <v>93.8</v>
      </c>
      <c r="I664" s="5">
        <f t="shared" si="10"/>
        <v>336</v>
      </c>
      <c r="M664" s="2">
        <v>42339</v>
      </c>
    </row>
    <row r="665" spans="1:13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  <c r="G665">
        <f t="shared" si="9"/>
        <v>91.6</v>
      </c>
      <c r="I665" s="5">
        <f t="shared" si="10"/>
        <v>327</v>
      </c>
      <c r="M665" s="2">
        <v>42330</v>
      </c>
    </row>
    <row r="666" spans="1:13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  <c r="G666">
        <f t="shared" si="9"/>
        <v>118.7</v>
      </c>
      <c r="I666" s="5">
        <f t="shared" si="10"/>
        <v>334</v>
      </c>
      <c r="M666" s="2">
        <v>42337</v>
      </c>
    </row>
    <row r="667" spans="1:13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  <c r="G667">
        <f t="shared" si="9"/>
        <v>113.1</v>
      </c>
      <c r="I667" s="5">
        <f t="shared" si="10"/>
        <v>331</v>
      </c>
      <c r="M667" s="2">
        <v>42334</v>
      </c>
    </row>
    <row r="668" spans="1:13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  <c r="G668">
        <f t="shared" si="9"/>
        <v>102</v>
      </c>
      <c r="I668" s="5">
        <f t="shared" si="10"/>
        <v>333</v>
      </c>
      <c r="M668" s="2">
        <v>42336</v>
      </c>
    </row>
    <row r="669" spans="1:13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  <c r="G669">
        <f t="shared" si="9"/>
        <v>99.5</v>
      </c>
      <c r="I669" s="5">
        <f t="shared" si="10"/>
        <v>330</v>
      </c>
      <c r="M669" s="2">
        <v>42333</v>
      </c>
    </row>
    <row r="670" spans="1:13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  <c r="G670">
        <f t="shared" si="9"/>
        <v>101.5</v>
      </c>
      <c r="I670" s="5">
        <f t="shared" si="10"/>
        <v>331</v>
      </c>
      <c r="M670" s="2">
        <v>42334</v>
      </c>
    </row>
    <row r="671" spans="1:13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  <c r="G671">
        <f t="shared" si="9"/>
        <v>118.9</v>
      </c>
      <c r="I671" s="5">
        <f t="shared" si="10"/>
        <v>336</v>
      </c>
      <c r="M671" s="2">
        <v>42339</v>
      </c>
    </row>
    <row r="672" spans="1:13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  <c r="G672">
        <f t="shared" si="9"/>
        <v>112.3</v>
      </c>
      <c r="I672" s="5">
        <f t="shared" si="10"/>
        <v>330</v>
      </c>
      <c r="M672" s="2">
        <v>42333</v>
      </c>
    </row>
    <row r="673" spans="1:13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  <c r="G673">
        <f t="shared" si="9"/>
        <v>104.3</v>
      </c>
      <c r="I673" s="5">
        <f t="shared" si="10"/>
        <v>327</v>
      </c>
      <c r="M673" s="2">
        <v>42330</v>
      </c>
    </row>
    <row r="674" spans="1:13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  <c r="G674">
        <f t="shared" si="9"/>
        <v>120.9</v>
      </c>
      <c r="I674" s="5">
        <f t="shared" si="10"/>
        <v>334</v>
      </c>
      <c r="M674" s="2">
        <v>42337</v>
      </c>
    </row>
    <row r="675" spans="1:13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  <c r="G675">
        <f t="shared" si="9"/>
        <v>114.2</v>
      </c>
      <c r="I675" s="5">
        <f t="shared" si="10"/>
        <v>331</v>
      </c>
      <c r="M675" s="2">
        <v>42334</v>
      </c>
    </row>
    <row r="676" spans="1:13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  <c r="G676">
        <f t="shared" si="9"/>
        <v>102.6</v>
      </c>
      <c r="I676" s="5">
        <f t="shared" si="10"/>
        <v>333</v>
      </c>
      <c r="M676" s="2">
        <v>42336</v>
      </c>
    </row>
    <row r="677" spans="1:13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  <c r="G677">
        <f t="shared" si="9"/>
        <v>101</v>
      </c>
      <c r="I677" s="5">
        <f t="shared" si="10"/>
        <v>327</v>
      </c>
      <c r="M677" s="2">
        <v>42330</v>
      </c>
    </row>
    <row r="678" spans="1:13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  <c r="G678">
        <f t="shared" si="9"/>
        <v>122.8</v>
      </c>
      <c r="I678" s="5">
        <f t="shared" si="10"/>
        <v>331</v>
      </c>
      <c r="M678" s="2">
        <v>42334</v>
      </c>
    </row>
    <row r="679" spans="1:13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  <c r="G679">
        <f t="shared" ref="G679:G742" si="11">F679</f>
        <v>117.3</v>
      </c>
      <c r="I679" s="5">
        <f t="shared" ref="I679:I742" si="12" xml:space="preserve"> DATEDIF(DATE(YEAR(M679),1,0),M679,"d")+1</f>
        <v>330</v>
      </c>
      <c r="M679" s="2">
        <v>42333</v>
      </c>
    </row>
    <row r="680" spans="1:13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  <c r="G680">
        <f t="shared" si="11"/>
        <v>103.3</v>
      </c>
      <c r="I680" s="5">
        <f t="shared" si="12"/>
        <v>331</v>
      </c>
      <c r="M680" s="2">
        <v>42334</v>
      </c>
    </row>
    <row r="681" spans="1:13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  <c r="G681">
        <f t="shared" si="11"/>
        <v>104.8</v>
      </c>
      <c r="I681" s="5">
        <f t="shared" si="12"/>
        <v>334</v>
      </c>
      <c r="M681" s="2">
        <v>42337</v>
      </c>
    </row>
    <row r="682" spans="1:13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  <c r="G682">
        <f t="shared" si="11"/>
        <v>108.8</v>
      </c>
      <c r="H682" t="s">
        <v>27</v>
      </c>
      <c r="I682" s="5">
        <f t="shared" si="12"/>
        <v>336</v>
      </c>
      <c r="M682" s="2">
        <v>42339</v>
      </c>
    </row>
    <row r="683" spans="1:13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  <c r="G683">
        <f t="shared" si="11"/>
        <v>122</v>
      </c>
      <c r="I683" s="5">
        <f t="shared" si="12"/>
        <v>333</v>
      </c>
      <c r="M683" s="2">
        <v>42336</v>
      </c>
    </row>
    <row r="684" spans="1:13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  <c r="G684">
        <f t="shared" si="11"/>
        <v>123.2</v>
      </c>
      <c r="I684" s="5">
        <f t="shared" si="12"/>
        <v>331</v>
      </c>
      <c r="M684" s="2">
        <v>42334</v>
      </c>
    </row>
    <row r="685" spans="1:13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  <c r="G685">
        <f t="shared" si="11"/>
        <v>104.9</v>
      </c>
      <c r="I685" s="5">
        <f t="shared" si="12"/>
        <v>336</v>
      </c>
      <c r="M685" s="2">
        <v>42339</v>
      </c>
    </row>
    <row r="686" spans="1:13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  <c r="G686">
        <f t="shared" si="11"/>
        <v>122.6</v>
      </c>
      <c r="I686" s="5">
        <f t="shared" si="12"/>
        <v>330</v>
      </c>
      <c r="M686" s="2">
        <v>42333</v>
      </c>
    </row>
    <row r="687" spans="1:13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  <c r="G687">
        <f t="shared" si="11"/>
        <v>110.8</v>
      </c>
      <c r="I687" s="5">
        <f t="shared" si="12"/>
        <v>327</v>
      </c>
      <c r="M687" s="2">
        <v>42330</v>
      </c>
    </row>
    <row r="688" spans="1:13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  <c r="G688">
        <f t="shared" si="11"/>
        <v>110</v>
      </c>
      <c r="I688" s="5">
        <f t="shared" si="12"/>
        <v>334</v>
      </c>
      <c r="M688" s="2">
        <v>42337</v>
      </c>
    </row>
    <row r="689" spans="1:13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  <c r="G689">
        <f t="shared" si="11"/>
        <v>121.7</v>
      </c>
      <c r="I689" s="5">
        <f t="shared" si="12"/>
        <v>331</v>
      </c>
      <c r="M689" s="2">
        <v>42334</v>
      </c>
    </row>
    <row r="690" spans="1:13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  <c r="G690">
        <f t="shared" si="11"/>
        <v>109</v>
      </c>
      <c r="I690" s="5">
        <f t="shared" si="12"/>
        <v>333</v>
      </c>
      <c r="M690" s="2">
        <v>42336</v>
      </c>
    </row>
    <row r="691" spans="1:13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  <c r="G691">
        <f t="shared" si="11"/>
        <v>121.5</v>
      </c>
      <c r="I691" s="5">
        <f t="shared" si="12"/>
        <v>334</v>
      </c>
      <c r="M691" s="2">
        <v>42337</v>
      </c>
    </row>
    <row r="692" spans="1:13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  <c r="G692">
        <f t="shared" si="11"/>
        <v>121.1</v>
      </c>
      <c r="I692" s="5">
        <f t="shared" si="12"/>
        <v>331</v>
      </c>
      <c r="M692" s="2">
        <v>42334</v>
      </c>
    </row>
    <row r="693" spans="1:13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  <c r="G693">
        <f t="shared" si="11"/>
        <v>108.4</v>
      </c>
      <c r="I693" s="5">
        <f t="shared" si="12"/>
        <v>327</v>
      </c>
      <c r="M693" s="2">
        <v>42330</v>
      </c>
    </row>
    <row r="694" spans="1:13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  <c r="G694">
        <f t="shared" si="11"/>
        <v>124</v>
      </c>
      <c r="I694" s="5">
        <f t="shared" si="12"/>
        <v>336</v>
      </c>
      <c r="M694" s="2">
        <v>42339</v>
      </c>
    </row>
    <row r="695" spans="1:13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  <c r="G695">
        <f t="shared" si="11"/>
        <v>123.9</v>
      </c>
      <c r="I695" s="5">
        <f t="shared" si="12"/>
        <v>331</v>
      </c>
      <c r="M695" s="2">
        <v>42334</v>
      </c>
    </row>
    <row r="696" spans="1:13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  <c r="G696">
        <f t="shared" si="11"/>
        <v>114.6</v>
      </c>
      <c r="I696" s="5">
        <f t="shared" si="12"/>
        <v>333</v>
      </c>
      <c r="M696" s="2">
        <v>42336</v>
      </c>
    </row>
    <row r="697" spans="1:13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  <c r="G697">
        <f t="shared" si="11"/>
        <v>64.3</v>
      </c>
      <c r="I697" s="5">
        <f t="shared" si="12"/>
        <v>330</v>
      </c>
      <c r="M697" s="2">
        <v>42698</v>
      </c>
    </row>
    <row r="698" spans="1:13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  <c r="G698">
        <f t="shared" si="11"/>
        <v>54.6</v>
      </c>
      <c r="I698" s="5">
        <f t="shared" si="12"/>
        <v>340</v>
      </c>
      <c r="M698" s="2">
        <v>42708</v>
      </c>
    </row>
    <row r="699" spans="1:13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  <c r="G699">
        <f t="shared" si="11"/>
        <v>86</v>
      </c>
      <c r="I699" s="5">
        <f t="shared" si="12"/>
        <v>324</v>
      </c>
      <c r="M699" s="2">
        <v>42692</v>
      </c>
    </row>
    <row r="700" spans="1:13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  <c r="G700">
        <f t="shared" si="11"/>
        <v>82.6</v>
      </c>
      <c r="I700" s="5">
        <f t="shared" si="12"/>
        <v>328</v>
      </c>
      <c r="M700" s="2">
        <v>42696</v>
      </c>
    </row>
    <row r="701" spans="1:13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  <c r="G701">
        <f t="shared" si="11"/>
        <v>96.5</v>
      </c>
      <c r="I701" s="5">
        <f t="shared" si="12"/>
        <v>325</v>
      </c>
      <c r="M701" s="2">
        <v>42693</v>
      </c>
    </row>
    <row r="702" spans="1:13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  <c r="G702">
        <f t="shared" si="11"/>
        <v>88.4</v>
      </c>
      <c r="I702" s="5">
        <f t="shared" si="12"/>
        <v>333</v>
      </c>
      <c r="M702" s="2">
        <v>42701</v>
      </c>
    </row>
    <row r="703" spans="1:13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  <c r="G703">
        <f t="shared" si="11"/>
        <v>102.8</v>
      </c>
      <c r="I703" s="5">
        <f t="shared" si="12"/>
        <v>325</v>
      </c>
      <c r="M703" s="2">
        <v>42693</v>
      </c>
    </row>
    <row r="704" spans="1:13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  <c r="G704">
        <f t="shared" si="11"/>
        <v>93.6</v>
      </c>
      <c r="I704" s="5">
        <f t="shared" si="12"/>
        <v>330</v>
      </c>
      <c r="M704" s="2">
        <v>42698</v>
      </c>
    </row>
    <row r="705" spans="1:13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  <c r="G705">
        <f t="shared" si="11"/>
        <v>117.4</v>
      </c>
      <c r="I705" s="5">
        <f t="shared" si="12"/>
        <v>340</v>
      </c>
      <c r="M705" s="2">
        <v>42708</v>
      </c>
    </row>
    <row r="706" spans="1:13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  <c r="G706">
        <f t="shared" si="11"/>
        <v>103.2</v>
      </c>
      <c r="I706" s="5">
        <f t="shared" si="12"/>
        <v>325</v>
      </c>
      <c r="M706" s="2">
        <v>42693</v>
      </c>
    </row>
    <row r="707" spans="1:13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  <c r="G707">
        <f t="shared" si="11"/>
        <v>114.5</v>
      </c>
      <c r="I707" s="5">
        <f t="shared" si="12"/>
        <v>324</v>
      </c>
      <c r="M707" s="2">
        <v>42692</v>
      </c>
    </row>
    <row r="708" spans="1:13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  <c r="G708">
        <f t="shared" si="11"/>
        <v>108.9</v>
      </c>
      <c r="I708" s="5">
        <f t="shared" si="12"/>
        <v>328</v>
      </c>
      <c r="M708" s="2">
        <v>42696</v>
      </c>
    </row>
    <row r="709" spans="1:13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  <c r="G709">
        <f t="shared" si="11"/>
        <v>118.9</v>
      </c>
      <c r="I709" s="5">
        <f t="shared" si="12"/>
        <v>325</v>
      </c>
      <c r="M709" s="2">
        <v>42693</v>
      </c>
    </row>
    <row r="710" spans="1:13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  <c r="G710">
        <f t="shared" si="11"/>
        <v>111.8</v>
      </c>
      <c r="I710" s="5">
        <f t="shared" si="12"/>
        <v>333</v>
      </c>
      <c r="M710" s="2">
        <v>42701</v>
      </c>
    </row>
    <row r="711" spans="1:13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  <c r="G711">
        <f t="shared" si="11"/>
        <v>110.2</v>
      </c>
      <c r="I711" s="5">
        <f t="shared" si="12"/>
        <v>330</v>
      </c>
      <c r="M711" s="2">
        <v>42698</v>
      </c>
    </row>
    <row r="712" spans="1:13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  <c r="G712">
        <f t="shared" si="11"/>
        <v>124.6</v>
      </c>
      <c r="I712" s="5">
        <f t="shared" si="12"/>
        <v>340</v>
      </c>
      <c r="M712" s="2">
        <v>42708</v>
      </c>
    </row>
    <row r="713" spans="1:13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  <c r="G713">
        <f t="shared" si="11"/>
        <v>120.5</v>
      </c>
      <c r="H713" t="s">
        <v>27</v>
      </c>
      <c r="I713" s="5">
        <f t="shared" si="12"/>
        <v>328</v>
      </c>
      <c r="M713" s="2">
        <v>42696</v>
      </c>
    </row>
    <row r="714" spans="1:13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  <c r="G714">
        <f t="shared" si="11"/>
        <v>109.1</v>
      </c>
      <c r="H714" t="s">
        <v>27</v>
      </c>
      <c r="I714" s="5">
        <f t="shared" si="12"/>
        <v>325</v>
      </c>
      <c r="M714" s="2">
        <v>42693</v>
      </c>
    </row>
    <row r="715" spans="1:13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  <c r="G715">
        <f t="shared" si="11"/>
        <v>123.6</v>
      </c>
      <c r="I715" s="5">
        <f t="shared" si="12"/>
        <v>324</v>
      </c>
      <c r="M715" s="2">
        <v>42692</v>
      </c>
    </row>
    <row r="716" spans="1:13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  <c r="G716">
        <f t="shared" si="11"/>
        <v>117.7</v>
      </c>
      <c r="I716" s="5">
        <f t="shared" si="12"/>
        <v>325</v>
      </c>
      <c r="M716" s="2">
        <v>42693</v>
      </c>
    </row>
    <row r="717" spans="1:13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  <c r="G717">
        <f t="shared" si="11"/>
        <v>121.5</v>
      </c>
      <c r="I717" s="5">
        <f t="shared" si="12"/>
        <v>333</v>
      </c>
      <c r="M717" s="2">
        <v>42701</v>
      </c>
    </row>
    <row r="718" spans="1:13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  <c r="G718">
        <f t="shared" si="11"/>
        <v>118.8</v>
      </c>
      <c r="I718" s="5">
        <f t="shared" si="12"/>
        <v>330</v>
      </c>
      <c r="M718" s="2">
        <v>42698</v>
      </c>
    </row>
    <row r="719" spans="1:13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  <c r="G719">
        <f t="shared" si="11"/>
        <v>122.4</v>
      </c>
      <c r="I719" s="5">
        <f t="shared" si="12"/>
        <v>340</v>
      </c>
      <c r="M719" s="2">
        <v>42708</v>
      </c>
    </row>
    <row r="720" spans="1:13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  <c r="G720">
        <f t="shared" si="11"/>
        <v>113</v>
      </c>
      <c r="I720" s="5">
        <f t="shared" si="12"/>
        <v>325</v>
      </c>
      <c r="M720" s="2">
        <v>42693</v>
      </c>
    </row>
    <row r="721" spans="1:13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  <c r="G721">
        <f t="shared" si="11"/>
        <v>115.9</v>
      </c>
      <c r="I721" s="5">
        <f t="shared" si="12"/>
        <v>324</v>
      </c>
      <c r="M721" s="2">
        <v>42692</v>
      </c>
    </row>
    <row r="722" spans="1:13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  <c r="G722">
        <f t="shared" si="11"/>
        <v>117.7</v>
      </c>
      <c r="I722" s="5">
        <f t="shared" si="12"/>
        <v>328</v>
      </c>
      <c r="M722" s="2">
        <v>42696</v>
      </c>
    </row>
    <row r="723" spans="1:13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  <c r="G723">
        <f t="shared" si="11"/>
        <v>63.8</v>
      </c>
      <c r="I723" s="5">
        <f t="shared" si="12"/>
        <v>325</v>
      </c>
      <c r="M723" s="2">
        <v>42693</v>
      </c>
    </row>
    <row r="724" spans="1:13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  <c r="G724">
        <f t="shared" si="11"/>
        <v>92.9</v>
      </c>
      <c r="I724" s="5">
        <f t="shared" si="12"/>
        <v>333</v>
      </c>
      <c r="M724" s="2">
        <v>42701</v>
      </c>
    </row>
    <row r="725" spans="1:13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  <c r="G725">
        <f t="shared" si="11"/>
        <v>102.8</v>
      </c>
      <c r="I725" s="5">
        <f t="shared" si="12"/>
        <v>330</v>
      </c>
      <c r="M725" s="2">
        <v>42698</v>
      </c>
    </row>
    <row r="726" spans="1:13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  <c r="G726">
        <f t="shared" si="11"/>
        <v>112.2</v>
      </c>
      <c r="I726" s="5">
        <f t="shared" si="12"/>
        <v>340</v>
      </c>
      <c r="M726" s="2">
        <v>42708</v>
      </c>
    </row>
    <row r="727" spans="1:13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  <c r="G727">
        <f t="shared" si="11"/>
        <v>123.8</v>
      </c>
      <c r="I727" s="5">
        <f t="shared" si="12"/>
        <v>325</v>
      </c>
      <c r="M727" s="2">
        <v>42693</v>
      </c>
    </row>
    <row r="728" spans="1:13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  <c r="G728">
        <f t="shared" si="11"/>
        <v>125.9</v>
      </c>
      <c r="I728" s="5">
        <f t="shared" si="12"/>
        <v>324</v>
      </c>
      <c r="M728" s="2">
        <v>42692</v>
      </c>
    </row>
    <row r="729" spans="1:13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  <c r="G729">
        <f t="shared" si="11"/>
        <v>129.1</v>
      </c>
      <c r="I729" s="5">
        <f t="shared" si="12"/>
        <v>328</v>
      </c>
      <c r="M729" s="2">
        <v>42696</v>
      </c>
    </row>
    <row r="730" spans="1:13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  <c r="G730">
        <f t="shared" si="11"/>
        <v>132.1</v>
      </c>
      <c r="I730" s="5">
        <f t="shared" si="12"/>
        <v>325</v>
      </c>
      <c r="M730" s="2">
        <v>42693</v>
      </c>
    </row>
    <row r="731" spans="1:13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  <c r="G731">
        <f t="shared" si="11"/>
        <v>131.9</v>
      </c>
      <c r="H731" t="s">
        <v>27</v>
      </c>
      <c r="I731" s="5">
        <f t="shared" si="12"/>
        <v>333</v>
      </c>
      <c r="M731" s="2">
        <v>42701</v>
      </c>
    </row>
    <row r="732" spans="1:13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  <c r="G732">
        <f t="shared" si="11"/>
        <v>134.6</v>
      </c>
      <c r="I732" s="5">
        <f t="shared" si="12"/>
        <v>325</v>
      </c>
      <c r="M732" s="2">
        <v>42693</v>
      </c>
    </row>
    <row r="733" spans="1:13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  <c r="G733">
        <f t="shared" si="11"/>
        <v>134.80000000000001</v>
      </c>
      <c r="I733" s="5">
        <f t="shared" si="12"/>
        <v>324</v>
      </c>
      <c r="M733" s="2">
        <v>42692</v>
      </c>
    </row>
    <row r="734" spans="1:13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  <c r="G734">
        <f t="shared" si="11"/>
        <v>130.9</v>
      </c>
      <c r="I734" s="5">
        <f t="shared" si="12"/>
        <v>328</v>
      </c>
      <c r="M734" s="2">
        <v>42696</v>
      </c>
    </row>
    <row r="735" spans="1:13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  <c r="G735">
        <f t="shared" si="11"/>
        <v>127.7</v>
      </c>
      <c r="I735" s="5">
        <f t="shared" si="12"/>
        <v>325</v>
      </c>
      <c r="M735" s="2">
        <v>42693</v>
      </c>
    </row>
    <row r="736" spans="1:13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  <c r="G736">
        <f t="shared" si="11"/>
        <v>63.7</v>
      </c>
      <c r="I736" s="5">
        <f t="shared" si="12"/>
        <v>333</v>
      </c>
      <c r="M736" s="2">
        <v>42701</v>
      </c>
    </row>
    <row r="737" spans="1:13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  <c r="G737">
        <f t="shared" si="11"/>
        <v>64.7</v>
      </c>
      <c r="I737" s="5">
        <f t="shared" si="12"/>
        <v>330</v>
      </c>
      <c r="M737" s="2">
        <v>42698</v>
      </c>
    </row>
    <row r="738" spans="1:13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  <c r="G738">
        <f t="shared" si="11"/>
        <v>67.099999999999994</v>
      </c>
      <c r="I738" s="5">
        <f t="shared" si="12"/>
        <v>340</v>
      </c>
      <c r="M738" s="2">
        <v>42708</v>
      </c>
    </row>
    <row r="739" spans="1:13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  <c r="G739">
        <f t="shared" si="11"/>
        <v>70.2</v>
      </c>
      <c r="I739" s="5">
        <f t="shared" si="12"/>
        <v>330</v>
      </c>
      <c r="M739" s="2">
        <v>42698</v>
      </c>
    </row>
    <row r="740" spans="1:13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  <c r="G740">
        <f t="shared" si="11"/>
        <v>93.9</v>
      </c>
      <c r="I740" s="5">
        <f t="shared" si="12"/>
        <v>340</v>
      </c>
      <c r="M740" s="2">
        <v>42708</v>
      </c>
    </row>
    <row r="741" spans="1:13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  <c r="G741">
        <f t="shared" si="11"/>
        <v>84.1</v>
      </c>
      <c r="I741" s="5">
        <f t="shared" si="12"/>
        <v>325</v>
      </c>
      <c r="M741" s="2">
        <v>42693</v>
      </c>
    </row>
    <row r="742" spans="1:13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  <c r="G742">
        <f t="shared" si="11"/>
        <v>96</v>
      </c>
      <c r="I742" s="5">
        <f t="shared" si="12"/>
        <v>324</v>
      </c>
      <c r="M742" s="2">
        <v>42692</v>
      </c>
    </row>
    <row r="743" spans="1:13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  <c r="G743">
        <f t="shared" ref="G743:G806" si="13">F743</f>
        <v>85.8</v>
      </c>
      <c r="I743" s="5">
        <f t="shared" ref="I743:I806" si="14" xml:space="preserve"> DATEDIF(DATE(YEAR(M743),1,0),M743,"d")+1</f>
        <v>328</v>
      </c>
      <c r="M743" s="2">
        <v>42696</v>
      </c>
    </row>
    <row r="744" spans="1:13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  <c r="G744">
        <f t="shared" si="13"/>
        <v>107.9</v>
      </c>
      <c r="I744" s="5">
        <f t="shared" si="14"/>
        <v>325</v>
      </c>
      <c r="M744" s="2">
        <v>42693</v>
      </c>
    </row>
    <row r="745" spans="1:13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  <c r="G745">
        <f t="shared" si="13"/>
        <v>102.9</v>
      </c>
      <c r="I745" s="5">
        <f t="shared" si="14"/>
        <v>333</v>
      </c>
      <c r="M745" s="2">
        <v>42701</v>
      </c>
    </row>
    <row r="746" spans="1:13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  <c r="G746">
        <f t="shared" si="13"/>
        <v>94.6</v>
      </c>
      <c r="I746" s="5">
        <f t="shared" si="14"/>
        <v>340</v>
      </c>
      <c r="M746" s="2">
        <v>42708</v>
      </c>
    </row>
    <row r="747" spans="1:13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  <c r="G747">
        <f t="shared" si="13"/>
        <v>98.9</v>
      </c>
      <c r="I747" s="5">
        <f t="shared" si="14"/>
        <v>330</v>
      </c>
      <c r="M747" s="2">
        <v>42698</v>
      </c>
    </row>
    <row r="748" spans="1:13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  <c r="G748">
        <f t="shared" si="13"/>
        <v>110.9</v>
      </c>
      <c r="I748" s="5">
        <f t="shared" si="14"/>
        <v>324</v>
      </c>
      <c r="M748" s="2">
        <v>42692</v>
      </c>
    </row>
    <row r="749" spans="1:13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  <c r="G749">
        <f t="shared" si="13"/>
        <v>101.5</v>
      </c>
      <c r="I749" s="5">
        <f t="shared" si="14"/>
        <v>328</v>
      </c>
      <c r="M749" s="2">
        <v>42696</v>
      </c>
    </row>
    <row r="750" spans="1:13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  <c r="G750">
        <f t="shared" si="13"/>
        <v>112.1</v>
      </c>
      <c r="I750" s="5">
        <f t="shared" si="14"/>
        <v>325</v>
      </c>
      <c r="M750" s="2">
        <v>42693</v>
      </c>
    </row>
    <row r="751" spans="1:13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  <c r="G751">
        <f t="shared" si="13"/>
        <v>105.8</v>
      </c>
      <c r="I751" s="5">
        <f t="shared" si="14"/>
        <v>333</v>
      </c>
      <c r="M751" s="2">
        <v>42701</v>
      </c>
    </row>
    <row r="752" spans="1:13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  <c r="G752">
        <f t="shared" si="13"/>
        <v>126.1</v>
      </c>
      <c r="I752" s="5">
        <f t="shared" si="14"/>
        <v>325</v>
      </c>
      <c r="M752" s="2">
        <v>42693</v>
      </c>
    </row>
    <row r="753" spans="1:13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  <c r="G753">
        <f t="shared" si="13"/>
        <v>109.7</v>
      </c>
      <c r="I753" s="5">
        <f t="shared" si="14"/>
        <v>330</v>
      </c>
      <c r="M753" s="2">
        <v>42698</v>
      </c>
    </row>
    <row r="754" spans="1:13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  <c r="G754">
        <f t="shared" si="13"/>
        <v>123.2</v>
      </c>
      <c r="I754" s="5">
        <f t="shared" si="14"/>
        <v>340</v>
      </c>
      <c r="M754" s="2">
        <v>42708</v>
      </c>
    </row>
    <row r="755" spans="1:13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  <c r="G755">
        <f t="shared" si="13"/>
        <v>116.9</v>
      </c>
      <c r="I755" s="5">
        <f t="shared" si="14"/>
        <v>325</v>
      </c>
      <c r="M755" s="2">
        <v>42693</v>
      </c>
    </row>
    <row r="756" spans="1:13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  <c r="G756">
        <f t="shared" si="13"/>
        <v>128.69999999999999</v>
      </c>
      <c r="I756" s="5">
        <f t="shared" si="14"/>
        <v>328</v>
      </c>
      <c r="M756" s="2">
        <v>42696</v>
      </c>
    </row>
    <row r="757" spans="1:13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  <c r="G757">
        <f t="shared" si="13"/>
        <v>115.1</v>
      </c>
      <c r="I757" s="5">
        <f t="shared" si="14"/>
        <v>333</v>
      </c>
      <c r="M757" s="2">
        <v>42701</v>
      </c>
    </row>
    <row r="758" spans="1:13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  <c r="G758">
        <f t="shared" si="13"/>
        <v>127.2</v>
      </c>
      <c r="I758" s="5">
        <f t="shared" si="14"/>
        <v>324</v>
      </c>
      <c r="M758" s="2">
        <v>42692</v>
      </c>
    </row>
    <row r="759" spans="1:13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  <c r="G759">
        <f t="shared" si="13"/>
        <v>119.1</v>
      </c>
      <c r="I759" s="5">
        <f t="shared" si="14"/>
        <v>325</v>
      </c>
      <c r="M759" s="2">
        <v>42693</v>
      </c>
    </row>
    <row r="760" spans="1:13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  <c r="G760">
        <f t="shared" si="13"/>
        <v>131.69999999999999</v>
      </c>
      <c r="I760" s="5">
        <f t="shared" si="14"/>
        <v>330</v>
      </c>
      <c r="M760" s="2">
        <v>42698</v>
      </c>
    </row>
    <row r="761" spans="1:13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  <c r="G761">
        <f t="shared" si="13"/>
        <v>116</v>
      </c>
      <c r="I761" s="5">
        <f t="shared" si="14"/>
        <v>340</v>
      </c>
      <c r="M761" s="2">
        <v>42708</v>
      </c>
    </row>
    <row r="762" spans="1:13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  <c r="G762">
        <f t="shared" si="13"/>
        <v>125.3</v>
      </c>
      <c r="I762" s="5">
        <f t="shared" si="14"/>
        <v>325</v>
      </c>
      <c r="M762" s="2">
        <v>42693</v>
      </c>
    </row>
    <row r="763" spans="1:13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  <c r="G763">
        <f t="shared" si="13"/>
        <v>120.2</v>
      </c>
      <c r="I763" s="5">
        <f t="shared" si="14"/>
        <v>324</v>
      </c>
      <c r="M763" s="2">
        <v>42692</v>
      </c>
    </row>
    <row r="764" spans="1:13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  <c r="G764">
        <f t="shared" si="13"/>
        <v>114.2</v>
      </c>
      <c r="I764" s="5">
        <f t="shared" si="14"/>
        <v>328</v>
      </c>
      <c r="M764" s="2">
        <v>42696</v>
      </c>
    </row>
    <row r="765" spans="1:13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  <c r="G765">
        <f t="shared" si="13"/>
        <v>125.6</v>
      </c>
      <c r="I765" s="5">
        <f t="shared" si="14"/>
        <v>325</v>
      </c>
      <c r="M765" s="2">
        <v>42693</v>
      </c>
    </row>
    <row r="766" spans="1:13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  <c r="G766">
        <f t="shared" si="13"/>
        <v>120.9</v>
      </c>
      <c r="I766" s="5">
        <f t="shared" si="14"/>
        <v>333</v>
      </c>
      <c r="M766" s="2">
        <v>42701</v>
      </c>
    </row>
    <row r="767" spans="1:13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  <c r="G767">
        <f t="shared" si="13"/>
        <v>130.30000000000001</v>
      </c>
      <c r="I767" s="5">
        <f t="shared" si="14"/>
        <v>330</v>
      </c>
      <c r="M767" s="2">
        <v>42698</v>
      </c>
    </row>
    <row r="768" spans="1:13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  <c r="G768">
        <f t="shared" si="13"/>
        <v>135.9</v>
      </c>
      <c r="H768" t="s">
        <v>27</v>
      </c>
      <c r="I768" s="5">
        <f t="shared" si="14"/>
        <v>340</v>
      </c>
      <c r="M768" s="2">
        <v>42708</v>
      </c>
    </row>
    <row r="769" spans="1:13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  <c r="G769">
        <f t="shared" si="13"/>
        <v>128.4</v>
      </c>
      <c r="H769" t="s">
        <v>27</v>
      </c>
      <c r="I769" s="5">
        <f t="shared" si="14"/>
        <v>325</v>
      </c>
      <c r="M769" s="2">
        <v>42693</v>
      </c>
    </row>
    <row r="770" spans="1:13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  <c r="G770">
        <f t="shared" si="13"/>
        <v>116</v>
      </c>
      <c r="H770" t="s">
        <v>27</v>
      </c>
      <c r="I770" s="5">
        <f t="shared" si="14"/>
        <v>324</v>
      </c>
      <c r="M770" s="2">
        <v>42692</v>
      </c>
    </row>
    <row r="771" spans="1:13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  <c r="G771">
        <f t="shared" si="13"/>
        <v>121.5</v>
      </c>
      <c r="H771" t="s">
        <v>27</v>
      </c>
      <c r="I771" s="5">
        <f t="shared" si="14"/>
        <v>328</v>
      </c>
      <c r="M771" s="2">
        <v>42696</v>
      </c>
    </row>
    <row r="772" spans="1:13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  <c r="G772">
        <f t="shared" si="13"/>
        <v>130.30000000000001</v>
      </c>
      <c r="I772" s="5">
        <f t="shared" si="14"/>
        <v>325</v>
      </c>
      <c r="M772" s="2">
        <v>42693</v>
      </c>
    </row>
    <row r="773" spans="1:13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  <c r="G773">
        <f t="shared" si="13"/>
        <v>121.6</v>
      </c>
      <c r="I773" s="5">
        <f t="shared" si="14"/>
        <v>333</v>
      </c>
      <c r="M773" s="2">
        <v>42701</v>
      </c>
    </row>
    <row r="774" spans="1:13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  <c r="G774">
        <f t="shared" si="13"/>
        <v>131.6</v>
      </c>
      <c r="I774" s="5">
        <f t="shared" si="14"/>
        <v>330</v>
      </c>
      <c r="M774" s="2">
        <v>42698</v>
      </c>
    </row>
    <row r="775" spans="1:13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  <c r="G775">
        <f t="shared" si="13"/>
        <v>123</v>
      </c>
      <c r="I775" s="5">
        <f t="shared" si="14"/>
        <v>324</v>
      </c>
      <c r="M775" s="2">
        <v>42692</v>
      </c>
    </row>
    <row r="776" spans="1:13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  <c r="G776">
        <f t="shared" si="13"/>
        <v>133.1</v>
      </c>
      <c r="I776" s="5">
        <f t="shared" si="14"/>
        <v>340</v>
      </c>
      <c r="M776" s="2">
        <v>42708</v>
      </c>
    </row>
    <row r="777" spans="1:13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  <c r="G777">
        <f t="shared" si="13"/>
        <v>116.4</v>
      </c>
      <c r="I777" s="5">
        <f t="shared" si="14"/>
        <v>325</v>
      </c>
      <c r="M777" s="2">
        <v>42693</v>
      </c>
    </row>
    <row r="778" spans="1:13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  <c r="G778">
        <f t="shared" si="13"/>
        <v>131.9</v>
      </c>
      <c r="I778" s="5">
        <f t="shared" si="14"/>
        <v>333</v>
      </c>
      <c r="M778" s="2">
        <v>42701</v>
      </c>
    </row>
    <row r="779" spans="1:13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  <c r="G779">
        <f t="shared" si="13"/>
        <v>124.7</v>
      </c>
      <c r="I779" s="5">
        <f t="shared" si="14"/>
        <v>325</v>
      </c>
      <c r="M779" s="2">
        <v>42693</v>
      </c>
    </row>
    <row r="780" spans="1:13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  <c r="G780">
        <f t="shared" si="13"/>
        <v>119</v>
      </c>
      <c r="I780" s="5">
        <f t="shared" si="14"/>
        <v>330</v>
      </c>
      <c r="M780" s="2">
        <v>42698</v>
      </c>
    </row>
    <row r="781" spans="1:13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  <c r="G781">
        <f t="shared" si="13"/>
        <v>121.2</v>
      </c>
      <c r="I781" s="5">
        <f t="shared" si="14"/>
        <v>324</v>
      </c>
      <c r="M781" s="2">
        <v>42692</v>
      </c>
    </row>
    <row r="782" spans="1:13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  <c r="G782">
        <f t="shared" si="13"/>
        <v>132.6</v>
      </c>
      <c r="I782" s="5">
        <f t="shared" si="14"/>
        <v>340</v>
      </c>
      <c r="M782" s="2">
        <v>42708</v>
      </c>
    </row>
    <row r="783" spans="1:13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  <c r="G783">
        <f t="shared" si="13"/>
        <v>117.5</v>
      </c>
      <c r="I783" s="5">
        <f t="shared" si="14"/>
        <v>325</v>
      </c>
      <c r="M783" s="2">
        <v>42693</v>
      </c>
    </row>
    <row r="784" spans="1:13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  <c r="G784">
        <f t="shared" si="13"/>
        <v>121.7</v>
      </c>
      <c r="I784" s="5">
        <f t="shared" si="14"/>
        <v>333</v>
      </c>
      <c r="M784" s="2">
        <v>42701</v>
      </c>
    </row>
    <row r="785" spans="1:13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  <c r="G785">
        <f t="shared" si="13"/>
        <v>130.1</v>
      </c>
      <c r="I785" s="5">
        <f t="shared" si="14"/>
        <v>325</v>
      </c>
      <c r="M785" s="2">
        <v>42693</v>
      </c>
    </row>
    <row r="786" spans="1:13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  <c r="G786">
        <f t="shared" si="13"/>
        <v>62.4</v>
      </c>
      <c r="I786" s="5">
        <f t="shared" si="14"/>
        <v>331</v>
      </c>
      <c r="M786" s="2">
        <v>43065</v>
      </c>
    </row>
    <row r="787" spans="1:13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  <c r="G787">
        <f t="shared" si="13"/>
        <v>57.1</v>
      </c>
      <c r="I787" s="5">
        <f t="shared" si="14"/>
        <v>326</v>
      </c>
      <c r="M787" s="2">
        <v>43060</v>
      </c>
    </row>
    <row r="788" spans="1:13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  <c r="G788">
        <f t="shared" si="13"/>
        <v>82.1</v>
      </c>
      <c r="I788" s="5">
        <f t="shared" si="14"/>
        <v>331</v>
      </c>
      <c r="M788" s="2">
        <v>43065</v>
      </c>
    </row>
    <row r="789" spans="1:13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  <c r="G789">
        <f t="shared" si="13"/>
        <v>79.7</v>
      </c>
      <c r="I789" s="5">
        <f t="shared" si="14"/>
        <v>327</v>
      </c>
      <c r="M789" s="2">
        <v>43061</v>
      </c>
    </row>
    <row r="790" spans="1:13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  <c r="G790">
        <f t="shared" si="13"/>
        <v>89.9</v>
      </c>
      <c r="I790" s="5">
        <f t="shared" si="14"/>
        <v>336</v>
      </c>
      <c r="M790" s="2">
        <v>43070</v>
      </c>
    </row>
    <row r="791" spans="1:13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  <c r="G791">
        <f t="shared" si="13"/>
        <v>87.6</v>
      </c>
      <c r="I791" s="5">
        <f t="shared" si="14"/>
        <v>330</v>
      </c>
      <c r="M791" s="2">
        <v>43064</v>
      </c>
    </row>
    <row r="792" spans="1:13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  <c r="G792">
        <f t="shared" si="13"/>
        <v>93.2</v>
      </c>
      <c r="I792" s="5">
        <f t="shared" si="14"/>
        <v>334</v>
      </c>
      <c r="M792" s="2">
        <v>43068</v>
      </c>
    </row>
    <row r="793" spans="1:13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  <c r="G793">
        <f t="shared" si="13"/>
        <v>90.1</v>
      </c>
      <c r="I793" s="5">
        <f t="shared" si="14"/>
        <v>331</v>
      </c>
      <c r="M793" s="2">
        <v>43065</v>
      </c>
    </row>
    <row r="794" spans="1:13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  <c r="G794">
        <f t="shared" si="13"/>
        <v>102.3</v>
      </c>
      <c r="I794" s="5">
        <f t="shared" si="14"/>
        <v>326</v>
      </c>
      <c r="M794" s="2">
        <v>43060</v>
      </c>
    </row>
    <row r="795" spans="1:13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  <c r="G795">
        <f t="shared" si="13"/>
        <v>98.2</v>
      </c>
      <c r="I795" s="5">
        <f t="shared" si="14"/>
        <v>331</v>
      </c>
      <c r="M795" s="2">
        <v>43065</v>
      </c>
    </row>
    <row r="796" spans="1:13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  <c r="G796">
        <f t="shared" si="13"/>
        <v>105.5</v>
      </c>
      <c r="I796" s="5">
        <f t="shared" si="14"/>
        <v>327</v>
      </c>
      <c r="M796" s="2">
        <v>43061</v>
      </c>
    </row>
    <row r="797" spans="1:13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  <c r="G797">
        <f t="shared" si="13"/>
        <v>98.8</v>
      </c>
      <c r="I797" s="5">
        <f t="shared" si="14"/>
        <v>336</v>
      </c>
      <c r="M797" s="2">
        <v>43070</v>
      </c>
    </row>
    <row r="798" spans="1:13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  <c r="G798">
        <f t="shared" si="13"/>
        <v>110</v>
      </c>
      <c r="I798" s="5">
        <f t="shared" si="14"/>
        <v>330</v>
      </c>
      <c r="M798" s="2">
        <v>43064</v>
      </c>
    </row>
    <row r="799" spans="1:13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  <c r="G799">
        <f t="shared" si="13"/>
        <v>99.3</v>
      </c>
      <c r="I799" s="5">
        <f t="shared" si="14"/>
        <v>334</v>
      </c>
      <c r="M799" s="2">
        <v>43068</v>
      </c>
    </row>
    <row r="800" spans="1:13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  <c r="G800">
        <f t="shared" si="13"/>
        <v>113.2</v>
      </c>
      <c r="I800" s="5">
        <f t="shared" si="14"/>
        <v>331</v>
      </c>
      <c r="M800" s="2">
        <v>43065</v>
      </c>
    </row>
    <row r="801" spans="1:13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  <c r="G801">
        <f t="shared" si="13"/>
        <v>106.4</v>
      </c>
      <c r="I801" s="5">
        <f t="shared" si="14"/>
        <v>326</v>
      </c>
      <c r="M801" s="2">
        <v>43060</v>
      </c>
    </row>
    <row r="802" spans="1:13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  <c r="G802">
        <f t="shared" si="13"/>
        <v>117.6</v>
      </c>
      <c r="H802" t="s">
        <v>27</v>
      </c>
      <c r="I802" s="5">
        <f t="shared" si="14"/>
        <v>331</v>
      </c>
      <c r="M802" s="2">
        <v>43065</v>
      </c>
    </row>
    <row r="803" spans="1:13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  <c r="G803">
        <f t="shared" si="13"/>
        <v>109</v>
      </c>
      <c r="H803" t="s">
        <v>27</v>
      </c>
      <c r="I803" s="5">
        <f t="shared" si="14"/>
        <v>327</v>
      </c>
      <c r="M803" s="2">
        <v>43061</v>
      </c>
    </row>
    <row r="804" spans="1:13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  <c r="G804">
        <f t="shared" si="13"/>
        <v>115.1</v>
      </c>
      <c r="I804" s="5">
        <f t="shared" si="14"/>
        <v>336</v>
      </c>
      <c r="M804" s="2">
        <v>43070</v>
      </c>
    </row>
    <row r="805" spans="1:13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  <c r="G805">
        <f t="shared" si="13"/>
        <v>108.3</v>
      </c>
      <c r="I805" s="5">
        <f t="shared" si="14"/>
        <v>330</v>
      </c>
      <c r="M805" s="2">
        <v>43064</v>
      </c>
    </row>
    <row r="806" spans="1:13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  <c r="G806">
        <f t="shared" si="13"/>
        <v>114.4</v>
      </c>
      <c r="I806" s="5">
        <f t="shared" si="14"/>
        <v>334</v>
      </c>
      <c r="M806" s="2">
        <v>43068</v>
      </c>
    </row>
    <row r="807" spans="1:13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  <c r="G807">
        <f t="shared" ref="G807:G870" si="15">F807</f>
        <v>105.5</v>
      </c>
      <c r="I807" s="5">
        <f t="shared" ref="I807:I870" si="16" xml:space="preserve"> DATEDIF(DATE(YEAR(M807),1,0),M807,"d")+1</f>
        <v>331</v>
      </c>
      <c r="M807" s="2">
        <v>43065</v>
      </c>
    </row>
    <row r="808" spans="1:13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  <c r="G808">
        <f t="shared" si="15"/>
        <v>61.5</v>
      </c>
      <c r="I808" s="5">
        <f t="shared" si="16"/>
        <v>326</v>
      </c>
      <c r="M808" s="2">
        <v>43060</v>
      </c>
    </row>
    <row r="809" spans="1:13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  <c r="G809">
        <f t="shared" si="15"/>
        <v>82.5</v>
      </c>
      <c r="I809" s="5">
        <f t="shared" si="16"/>
        <v>331</v>
      </c>
      <c r="M809" s="2">
        <v>43065</v>
      </c>
    </row>
    <row r="810" spans="1:13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  <c r="G810">
        <f t="shared" si="15"/>
        <v>93.7</v>
      </c>
      <c r="I810" s="5">
        <f t="shared" si="16"/>
        <v>327</v>
      </c>
      <c r="M810" s="2">
        <v>43061</v>
      </c>
    </row>
    <row r="811" spans="1:13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  <c r="G811">
        <f t="shared" si="15"/>
        <v>95.8</v>
      </c>
      <c r="I811" s="5">
        <f t="shared" si="16"/>
        <v>336</v>
      </c>
      <c r="M811" s="2">
        <v>43070</v>
      </c>
    </row>
    <row r="812" spans="1:13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  <c r="G812">
        <f t="shared" si="15"/>
        <v>105.4</v>
      </c>
      <c r="I812" s="5">
        <f t="shared" si="16"/>
        <v>330</v>
      </c>
      <c r="M812" s="2">
        <v>43064</v>
      </c>
    </row>
    <row r="813" spans="1:13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  <c r="G813">
        <f t="shared" si="15"/>
        <v>106.4</v>
      </c>
      <c r="I813" s="5">
        <f t="shared" si="16"/>
        <v>334</v>
      </c>
      <c r="M813" s="2">
        <v>43068</v>
      </c>
    </row>
    <row r="814" spans="1:13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  <c r="G814">
        <f t="shared" si="15"/>
        <v>108.9</v>
      </c>
      <c r="I814" s="5">
        <f t="shared" si="16"/>
        <v>331</v>
      </c>
      <c r="M814" s="2">
        <v>43065</v>
      </c>
    </row>
    <row r="815" spans="1:13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  <c r="G815">
        <f t="shared" si="15"/>
        <v>112.6</v>
      </c>
      <c r="I815" s="5">
        <f t="shared" si="16"/>
        <v>334</v>
      </c>
      <c r="M815" s="2">
        <v>43068</v>
      </c>
    </row>
    <row r="816" spans="1:13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  <c r="G816">
        <f t="shared" si="15"/>
        <v>116.3</v>
      </c>
      <c r="H816" t="s">
        <v>27</v>
      </c>
      <c r="I816" s="5">
        <f t="shared" si="16"/>
        <v>326</v>
      </c>
      <c r="M816" s="2">
        <v>43060</v>
      </c>
    </row>
    <row r="817" spans="1:13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  <c r="G817">
        <f t="shared" si="15"/>
        <v>115.2</v>
      </c>
      <c r="I817" s="5">
        <f t="shared" si="16"/>
        <v>331</v>
      </c>
      <c r="M817" s="2">
        <v>43065</v>
      </c>
    </row>
    <row r="818" spans="1:13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  <c r="G818">
        <f t="shared" si="15"/>
        <v>115.4</v>
      </c>
      <c r="I818" s="5">
        <f t="shared" si="16"/>
        <v>327</v>
      </c>
      <c r="M818" s="2">
        <v>43061</v>
      </c>
    </row>
    <row r="819" spans="1:13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  <c r="G819">
        <f t="shared" si="15"/>
        <v>59.6</v>
      </c>
      <c r="I819" s="5">
        <f t="shared" si="16"/>
        <v>336</v>
      </c>
      <c r="M819" s="2">
        <v>43070</v>
      </c>
    </row>
    <row r="820" spans="1:13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  <c r="G820">
        <f t="shared" si="15"/>
        <v>67.7</v>
      </c>
      <c r="I820" s="5">
        <f t="shared" si="16"/>
        <v>330</v>
      </c>
      <c r="M820" s="2">
        <v>43064</v>
      </c>
    </row>
    <row r="821" spans="1:13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  <c r="G821">
        <f t="shared" si="15"/>
        <v>63.1</v>
      </c>
      <c r="I821" s="5">
        <f t="shared" si="16"/>
        <v>331</v>
      </c>
      <c r="M821" s="2">
        <v>43065</v>
      </c>
    </row>
    <row r="822" spans="1:13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  <c r="G822">
        <f t="shared" si="15"/>
        <v>68.400000000000006</v>
      </c>
      <c r="I822" s="5">
        <f t="shared" si="16"/>
        <v>326</v>
      </c>
      <c r="M822" s="2">
        <v>43060</v>
      </c>
    </row>
    <row r="823" spans="1:13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  <c r="G823">
        <f t="shared" si="15"/>
        <v>81.5</v>
      </c>
      <c r="I823" s="5">
        <f t="shared" si="16"/>
        <v>331</v>
      </c>
      <c r="M823" s="2">
        <v>43065</v>
      </c>
    </row>
    <row r="824" spans="1:13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  <c r="G824">
        <f t="shared" si="15"/>
        <v>88</v>
      </c>
      <c r="I824" s="5">
        <f t="shared" si="16"/>
        <v>327</v>
      </c>
      <c r="M824" s="2">
        <v>43061</v>
      </c>
    </row>
    <row r="825" spans="1:13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  <c r="G825">
        <f t="shared" si="15"/>
        <v>77.2</v>
      </c>
      <c r="I825" s="5">
        <f t="shared" si="16"/>
        <v>336</v>
      </c>
      <c r="M825" s="2">
        <v>43070</v>
      </c>
    </row>
    <row r="826" spans="1:13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  <c r="G826">
        <f t="shared" si="15"/>
        <v>84.2</v>
      </c>
      <c r="I826" s="5">
        <f t="shared" si="16"/>
        <v>330</v>
      </c>
      <c r="M826" s="2">
        <v>43064</v>
      </c>
    </row>
    <row r="827" spans="1:13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  <c r="G827">
        <f t="shared" si="15"/>
        <v>88.9</v>
      </c>
      <c r="I827" s="5">
        <f t="shared" si="16"/>
        <v>334</v>
      </c>
      <c r="M827" s="2">
        <v>43068</v>
      </c>
    </row>
    <row r="828" spans="1:13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  <c r="G828">
        <f t="shared" si="15"/>
        <v>93.5</v>
      </c>
      <c r="I828" s="5">
        <f t="shared" si="16"/>
        <v>331</v>
      </c>
      <c r="M828" s="2">
        <v>43065</v>
      </c>
    </row>
    <row r="829" spans="1:13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  <c r="G829">
        <f t="shared" si="15"/>
        <v>88.1</v>
      </c>
      <c r="I829" s="5">
        <f t="shared" si="16"/>
        <v>326</v>
      </c>
      <c r="M829" s="2">
        <v>43060</v>
      </c>
    </row>
    <row r="830" spans="1:13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  <c r="G830">
        <f t="shared" si="15"/>
        <v>94.7</v>
      </c>
      <c r="I830" s="5">
        <f t="shared" si="16"/>
        <v>331</v>
      </c>
      <c r="M830" s="2">
        <v>43065</v>
      </c>
    </row>
    <row r="831" spans="1:13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  <c r="G831">
        <f t="shared" si="15"/>
        <v>92.8</v>
      </c>
      <c r="I831" s="5">
        <f t="shared" si="16"/>
        <v>327</v>
      </c>
      <c r="M831" s="2">
        <v>43061</v>
      </c>
    </row>
    <row r="832" spans="1:13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  <c r="G832">
        <f t="shared" si="15"/>
        <v>100.4</v>
      </c>
      <c r="I832" s="5">
        <f t="shared" si="16"/>
        <v>336</v>
      </c>
      <c r="M832" s="2">
        <v>43070</v>
      </c>
    </row>
    <row r="833" spans="1:13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  <c r="G833">
        <f t="shared" si="15"/>
        <v>93.1</v>
      </c>
      <c r="I833" s="5">
        <f t="shared" si="16"/>
        <v>330</v>
      </c>
      <c r="M833" s="2">
        <v>43064</v>
      </c>
    </row>
    <row r="834" spans="1:13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  <c r="G834">
        <f t="shared" si="15"/>
        <v>96.3</v>
      </c>
      <c r="I834" s="5">
        <f t="shared" si="16"/>
        <v>334</v>
      </c>
      <c r="M834" s="2">
        <v>43068</v>
      </c>
    </row>
    <row r="835" spans="1:13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  <c r="G835">
        <f t="shared" si="15"/>
        <v>102.6</v>
      </c>
      <c r="I835" s="5">
        <f t="shared" si="16"/>
        <v>331</v>
      </c>
      <c r="M835" s="2">
        <v>43065</v>
      </c>
    </row>
    <row r="836" spans="1:13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  <c r="G836">
        <f t="shared" si="15"/>
        <v>110.1</v>
      </c>
      <c r="I836" s="5">
        <f t="shared" si="16"/>
        <v>327</v>
      </c>
      <c r="M836" s="2">
        <v>43061</v>
      </c>
    </row>
    <row r="837" spans="1:13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  <c r="G837">
        <f t="shared" si="15"/>
        <v>98.9</v>
      </c>
      <c r="I837" s="5">
        <f t="shared" si="16"/>
        <v>331</v>
      </c>
      <c r="M837" s="2">
        <v>43065</v>
      </c>
    </row>
    <row r="838" spans="1:13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  <c r="G838">
        <f t="shared" si="15"/>
        <v>105.7</v>
      </c>
      <c r="I838" s="5">
        <f t="shared" si="16"/>
        <v>336</v>
      </c>
      <c r="M838" s="2">
        <v>43070</v>
      </c>
    </row>
    <row r="839" spans="1:13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  <c r="G839">
        <f t="shared" si="15"/>
        <v>100.4</v>
      </c>
      <c r="I839" s="5">
        <f t="shared" si="16"/>
        <v>330</v>
      </c>
      <c r="M839" s="2">
        <v>43064</v>
      </c>
    </row>
    <row r="840" spans="1:13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  <c r="G840">
        <f t="shared" si="15"/>
        <v>111.8</v>
      </c>
      <c r="I840" s="5">
        <f t="shared" si="16"/>
        <v>334</v>
      </c>
      <c r="M840" s="2">
        <v>43068</v>
      </c>
    </row>
    <row r="841" spans="1:13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  <c r="G841">
        <f t="shared" si="15"/>
        <v>100.7</v>
      </c>
      <c r="I841" s="5">
        <f t="shared" si="16"/>
        <v>326</v>
      </c>
      <c r="M841" s="2">
        <v>43060</v>
      </c>
    </row>
    <row r="842" spans="1:13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  <c r="G842">
        <f t="shared" si="15"/>
        <v>109.4</v>
      </c>
      <c r="I842" s="5">
        <f t="shared" si="16"/>
        <v>331</v>
      </c>
      <c r="M842" s="2">
        <v>43065</v>
      </c>
    </row>
    <row r="843" spans="1:13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  <c r="G843">
        <f t="shared" si="15"/>
        <v>102.3</v>
      </c>
      <c r="I843" s="5">
        <f t="shared" si="16"/>
        <v>327</v>
      </c>
      <c r="M843" s="2">
        <v>43061</v>
      </c>
    </row>
    <row r="844" spans="1:13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  <c r="G844">
        <f t="shared" si="15"/>
        <v>111.2</v>
      </c>
      <c r="I844" s="5">
        <f t="shared" si="16"/>
        <v>331</v>
      </c>
      <c r="M844" s="2">
        <v>43065</v>
      </c>
    </row>
    <row r="845" spans="1:13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  <c r="G845">
        <f t="shared" si="15"/>
        <v>103.4</v>
      </c>
      <c r="I845" s="5">
        <f t="shared" si="16"/>
        <v>336</v>
      </c>
      <c r="M845" s="2">
        <v>43070</v>
      </c>
    </row>
    <row r="846" spans="1:13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  <c r="G846">
        <f t="shared" si="15"/>
        <v>114.4</v>
      </c>
      <c r="I846" s="5">
        <f t="shared" si="16"/>
        <v>330</v>
      </c>
      <c r="M846" s="2">
        <v>43064</v>
      </c>
    </row>
    <row r="847" spans="1:13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  <c r="G847">
        <f t="shared" si="15"/>
        <v>100.7</v>
      </c>
      <c r="I847" s="5">
        <f t="shared" si="16"/>
        <v>334</v>
      </c>
      <c r="M847" s="2">
        <v>43068</v>
      </c>
    </row>
    <row r="848" spans="1:13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  <c r="G848">
        <f t="shared" si="15"/>
        <v>106.2</v>
      </c>
      <c r="I848" s="5">
        <f t="shared" si="16"/>
        <v>326</v>
      </c>
      <c r="M848" s="2">
        <v>43060</v>
      </c>
    </row>
    <row r="849" spans="1:13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  <c r="G849">
        <f t="shared" si="15"/>
        <v>118.2</v>
      </c>
      <c r="I849" s="5">
        <f t="shared" si="16"/>
        <v>331</v>
      </c>
      <c r="M849" s="2">
        <v>43065</v>
      </c>
    </row>
    <row r="850" spans="1:13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  <c r="G850">
        <f t="shared" si="15"/>
        <v>114.1</v>
      </c>
      <c r="I850" s="5">
        <f t="shared" si="16"/>
        <v>326</v>
      </c>
      <c r="M850" s="2">
        <v>43060</v>
      </c>
    </row>
    <row r="851" spans="1:13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  <c r="G851">
        <f t="shared" si="15"/>
        <v>109.9</v>
      </c>
      <c r="H851" t="s">
        <v>27</v>
      </c>
      <c r="I851" s="5">
        <f t="shared" si="16"/>
        <v>331</v>
      </c>
      <c r="M851" s="2">
        <v>43065</v>
      </c>
    </row>
    <row r="852" spans="1:13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  <c r="G852">
        <f t="shared" si="15"/>
        <v>114.4</v>
      </c>
      <c r="H852" t="s">
        <v>27</v>
      </c>
      <c r="I852" s="5">
        <f t="shared" si="16"/>
        <v>327</v>
      </c>
      <c r="M852" s="2">
        <v>43061</v>
      </c>
    </row>
    <row r="853" spans="1:13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  <c r="G853">
        <f t="shared" si="15"/>
        <v>118.9</v>
      </c>
      <c r="H853" t="s">
        <v>27</v>
      </c>
      <c r="I853" s="5">
        <f t="shared" si="16"/>
        <v>336</v>
      </c>
      <c r="M853" s="2">
        <v>43070</v>
      </c>
    </row>
    <row r="854" spans="1:13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  <c r="G854">
        <f t="shared" si="15"/>
        <v>120.6</v>
      </c>
      <c r="H854" t="s">
        <v>27</v>
      </c>
      <c r="I854" s="5">
        <f t="shared" si="16"/>
        <v>330</v>
      </c>
      <c r="M854" s="2">
        <v>43064</v>
      </c>
    </row>
    <row r="855" spans="1:13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  <c r="G855">
        <f t="shared" si="15"/>
        <v>109.5</v>
      </c>
      <c r="I855" s="5">
        <f t="shared" si="16"/>
        <v>334</v>
      </c>
      <c r="M855" s="2">
        <v>43068</v>
      </c>
    </row>
    <row r="856" spans="1:13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  <c r="G856">
        <f t="shared" si="15"/>
        <v>118.4</v>
      </c>
      <c r="I856" s="5">
        <f t="shared" si="16"/>
        <v>331</v>
      </c>
      <c r="M856" s="2">
        <v>43065</v>
      </c>
    </row>
    <row r="857" spans="1:13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  <c r="G857">
        <f t="shared" si="15"/>
        <v>107</v>
      </c>
      <c r="I857" s="5">
        <f t="shared" si="16"/>
        <v>326</v>
      </c>
      <c r="M857" s="2">
        <v>43060</v>
      </c>
    </row>
    <row r="858" spans="1:13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  <c r="G858">
        <f t="shared" si="15"/>
        <v>116.6</v>
      </c>
      <c r="I858" s="5">
        <f t="shared" si="16"/>
        <v>331</v>
      </c>
      <c r="M858" s="2">
        <v>43065</v>
      </c>
    </row>
    <row r="859" spans="1:13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  <c r="G859">
        <f t="shared" si="15"/>
        <v>112.9</v>
      </c>
      <c r="I859" s="5">
        <f t="shared" si="16"/>
        <v>327</v>
      </c>
      <c r="M859" s="2">
        <v>43061</v>
      </c>
    </row>
    <row r="860" spans="1:13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  <c r="G860">
        <f t="shared" si="15"/>
        <v>118.1</v>
      </c>
      <c r="I860" s="5">
        <f t="shared" si="16"/>
        <v>336</v>
      </c>
      <c r="M860" s="2">
        <v>43070</v>
      </c>
    </row>
    <row r="861" spans="1:13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  <c r="G861">
        <f t="shared" si="15"/>
        <v>104.3</v>
      </c>
      <c r="I861" s="5">
        <f t="shared" si="16"/>
        <v>330</v>
      </c>
      <c r="M861" s="2">
        <v>43064</v>
      </c>
    </row>
    <row r="862" spans="1:13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  <c r="G862">
        <f t="shared" si="15"/>
        <v>118.2</v>
      </c>
      <c r="I862" s="5">
        <f t="shared" si="16"/>
        <v>334</v>
      </c>
      <c r="M862" s="2">
        <v>43068</v>
      </c>
    </row>
    <row r="863" spans="1:13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  <c r="G863">
        <f t="shared" si="15"/>
        <v>52.3</v>
      </c>
      <c r="I863" s="5">
        <f t="shared" si="16"/>
        <v>324</v>
      </c>
      <c r="M863" s="2">
        <v>43423</v>
      </c>
    </row>
    <row r="864" spans="1:13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  <c r="G864">
        <f t="shared" si="15"/>
        <v>72.099999999999994</v>
      </c>
      <c r="I864" s="5">
        <f t="shared" si="16"/>
        <v>329</v>
      </c>
      <c r="M864" s="2">
        <v>43428</v>
      </c>
    </row>
    <row r="865" spans="1:13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  <c r="G865">
        <f t="shared" si="15"/>
        <v>78.900000000000006</v>
      </c>
      <c r="I865" s="5">
        <f t="shared" si="16"/>
        <v>333</v>
      </c>
      <c r="M865" s="2">
        <v>43432</v>
      </c>
    </row>
    <row r="866" spans="1:13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  <c r="G866">
        <f t="shared" si="15"/>
        <v>90.7</v>
      </c>
      <c r="I866" s="5">
        <f t="shared" si="16"/>
        <v>325</v>
      </c>
      <c r="M866" s="2">
        <v>43424</v>
      </c>
    </row>
    <row r="867" spans="1:13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  <c r="G867">
        <f t="shared" si="15"/>
        <v>98</v>
      </c>
      <c r="I867" s="5">
        <f t="shared" si="16"/>
        <v>331</v>
      </c>
      <c r="M867" s="2">
        <v>43430</v>
      </c>
    </row>
    <row r="868" spans="1:13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  <c r="G868">
        <f t="shared" si="15"/>
        <v>100.2</v>
      </c>
      <c r="I868" s="5">
        <f t="shared" si="16"/>
        <v>325</v>
      </c>
      <c r="M868" s="2">
        <v>43424</v>
      </c>
    </row>
    <row r="869" spans="1:13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  <c r="G869">
        <f t="shared" si="15"/>
        <v>104.2</v>
      </c>
      <c r="I869" s="5">
        <f t="shared" si="16"/>
        <v>324</v>
      </c>
      <c r="M869" s="2">
        <v>43423</v>
      </c>
    </row>
    <row r="870" spans="1:13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  <c r="G870">
        <f t="shared" si="15"/>
        <v>100.3</v>
      </c>
      <c r="H870" t="s">
        <v>27</v>
      </c>
      <c r="I870" s="5">
        <f t="shared" si="16"/>
        <v>329</v>
      </c>
      <c r="M870" s="2">
        <v>43428</v>
      </c>
    </row>
    <row r="871" spans="1:13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  <c r="G871">
        <f t="shared" ref="G871:G934" si="17">F871</f>
        <v>93.8</v>
      </c>
      <c r="H871" t="s">
        <v>27</v>
      </c>
      <c r="I871" s="5">
        <f t="shared" ref="I871:I934" si="18" xml:space="preserve"> DATEDIF(DATE(YEAR(M871),1,0),M871,"d")+1</f>
        <v>325</v>
      </c>
      <c r="M871" s="2">
        <v>43424</v>
      </c>
    </row>
    <row r="872" spans="1:13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  <c r="G872">
        <f t="shared" si="17"/>
        <v>105.9</v>
      </c>
      <c r="I872" s="5">
        <f t="shared" si="18"/>
        <v>325</v>
      </c>
      <c r="M872" s="2">
        <v>43424</v>
      </c>
    </row>
    <row r="873" spans="1:13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  <c r="G873">
        <f t="shared" si="17"/>
        <v>56.6</v>
      </c>
      <c r="I873" s="5">
        <f t="shared" si="18"/>
        <v>333</v>
      </c>
      <c r="M873" s="2">
        <v>43432</v>
      </c>
    </row>
    <row r="874" spans="1:13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  <c r="G874">
        <f t="shared" si="17"/>
        <v>75.3</v>
      </c>
      <c r="I874" s="5">
        <f t="shared" si="18"/>
        <v>331</v>
      </c>
      <c r="M874" s="2">
        <v>43430</v>
      </c>
    </row>
    <row r="875" spans="1:13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  <c r="G875">
        <f t="shared" si="17"/>
        <v>82.6</v>
      </c>
      <c r="I875" s="5">
        <f t="shared" si="18"/>
        <v>329</v>
      </c>
      <c r="M875" s="2">
        <v>43428</v>
      </c>
    </row>
    <row r="876" spans="1:13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  <c r="G876">
        <f t="shared" si="17"/>
        <v>92.1</v>
      </c>
      <c r="I876" s="5">
        <f t="shared" si="18"/>
        <v>325</v>
      </c>
      <c r="M876" s="2">
        <v>43424</v>
      </c>
    </row>
    <row r="877" spans="1:13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  <c r="G877">
        <f t="shared" si="17"/>
        <v>104</v>
      </c>
      <c r="I877" s="5">
        <f t="shared" si="18"/>
        <v>325</v>
      </c>
      <c r="M877" s="2">
        <v>43424</v>
      </c>
    </row>
    <row r="878" spans="1:13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  <c r="G878">
        <f t="shared" si="17"/>
        <v>100.7</v>
      </c>
      <c r="I878" s="5">
        <f t="shared" si="18"/>
        <v>324</v>
      </c>
      <c r="M878" s="2">
        <v>43423</v>
      </c>
    </row>
    <row r="879" spans="1:13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  <c r="G879">
        <f t="shared" si="17"/>
        <v>100.9</v>
      </c>
      <c r="I879" s="5">
        <f t="shared" si="18"/>
        <v>333</v>
      </c>
      <c r="M879" s="2">
        <v>43432</v>
      </c>
    </row>
    <row r="880" spans="1:13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  <c r="G880">
        <f t="shared" si="17"/>
        <v>105.2</v>
      </c>
      <c r="H880" t="s">
        <v>27</v>
      </c>
      <c r="I880" s="5">
        <f t="shared" si="18"/>
        <v>331</v>
      </c>
      <c r="M880" s="2">
        <v>43430</v>
      </c>
    </row>
    <row r="881" spans="1:13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  <c r="G881">
        <f t="shared" si="17"/>
        <v>93.4</v>
      </c>
      <c r="H881" t="s">
        <v>27</v>
      </c>
      <c r="I881" s="5">
        <f t="shared" si="18"/>
        <v>325</v>
      </c>
      <c r="M881" s="2">
        <v>43424</v>
      </c>
    </row>
    <row r="882" spans="1:13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  <c r="G882">
        <f t="shared" si="17"/>
        <v>109.8</v>
      </c>
      <c r="I882" s="5">
        <f t="shared" si="18"/>
        <v>325</v>
      </c>
      <c r="M882" s="2">
        <v>43424</v>
      </c>
    </row>
    <row r="883" spans="1:13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  <c r="G883">
        <f t="shared" si="17"/>
        <v>58.2</v>
      </c>
      <c r="I883" s="5">
        <f t="shared" si="18"/>
        <v>324</v>
      </c>
      <c r="M883" s="2">
        <v>43423</v>
      </c>
    </row>
    <row r="884" spans="1:13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  <c r="G884">
        <f t="shared" si="17"/>
        <v>57.8</v>
      </c>
      <c r="I884" s="5">
        <f t="shared" si="18"/>
        <v>333</v>
      </c>
      <c r="M884" s="2">
        <v>43432</v>
      </c>
    </row>
    <row r="885" spans="1:13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  <c r="G885">
        <f t="shared" si="17"/>
        <v>64.400000000000006</v>
      </c>
      <c r="I885" s="5">
        <f t="shared" si="18"/>
        <v>331</v>
      </c>
      <c r="M885" s="2">
        <v>43430</v>
      </c>
    </row>
    <row r="886" spans="1:13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  <c r="G886">
        <f t="shared" si="17"/>
        <v>50.5</v>
      </c>
      <c r="I886" s="5">
        <f t="shared" si="18"/>
        <v>324</v>
      </c>
      <c r="M886" s="2">
        <v>43423</v>
      </c>
    </row>
    <row r="887" spans="1:13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  <c r="G887">
        <f t="shared" si="17"/>
        <v>81.599999999999994</v>
      </c>
      <c r="I887" s="5">
        <f t="shared" si="18"/>
        <v>329</v>
      </c>
      <c r="M887" s="2">
        <v>43428</v>
      </c>
    </row>
    <row r="888" spans="1:13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  <c r="G888">
        <f t="shared" si="17"/>
        <v>85.6</v>
      </c>
      <c r="I888" s="5">
        <f t="shared" si="18"/>
        <v>333</v>
      </c>
      <c r="M888" s="2">
        <v>43432</v>
      </c>
    </row>
    <row r="889" spans="1:13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  <c r="G889">
        <f t="shared" si="17"/>
        <v>87.8</v>
      </c>
      <c r="I889" s="5">
        <f t="shared" si="18"/>
        <v>325</v>
      </c>
      <c r="M889" s="2">
        <v>43424</v>
      </c>
    </row>
    <row r="890" spans="1:13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  <c r="G890">
        <f t="shared" si="17"/>
        <v>74.099999999999994</v>
      </c>
      <c r="I890" s="5">
        <f t="shared" si="18"/>
        <v>331</v>
      </c>
      <c r="M890" s="2">
        <v>43430</v>
      </c>
    </row>
    <row r="891" spans="1:13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  <c r="G891">
        <f t="shared" si="17"/>
        <v>90.8</v>
      </c>
      <c r="I891" s="5">
        <f t="shared" si="18"/>
        <v>325</v>
      </c>
      <c r="M891" s="2">
        <v>43424</v>
      </c>
    </row>
    <row r="892" spans="1:13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  <c r="G892">
        <f t="shared" si="17"/>
        <v>73.5</v>
      </c>
      <c r="I892" s="5">
        <f t="shared" si="18"/>
        <v>324</v>
      </c>
      <c r="M892" s="2">
        <v>43423</v>
      </c>
    </row>
    <row r="893" spans="1:13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  <c r="G893">
        <f t="shared" si="17"/>
        <v>83.8</v>
      </c>
      <c r="I893" s="5">
        <f t="shared" si="18"/>
        <v>329</v>
      </c>
      <c r="M893" s="2">
        <v>43428</v>
      </c>
    </row>
    <row r="894" spans="1:13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  <c r="G894">
        <f t="shared" si="17"/>
        <v>98.2</v>
      </c>
      <c r="I894" s="5">
        <f t="shared" si="18"/>
        <v>333</v>
      </c>
      <c r="M894" s="2">
        <v>43432</v>
      </c>
    </row>
    <row r="895" spans="1:13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  <c r="G895">
        <f t="shared" si="17"/>
        <v>81.7</v>
      </c>
      <c r="I895" s="5">
        <f t="shared" si="18"/>
        <v>325</v>
      </c>
      <c r="M895" s="2">
        <v>43424</v>
      </c>
    </row>
    <row r="896" spans="1:13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  <c r="G896">
        <f t="shared" si="17"/>
        <v>95.2</v>
      </c>
      <c r="I896" s="5">
        <f t="shared" si="18"/>
        <v>331</v>
      </c>
      <c r="M896" s="2">
        <v>43430</v>
      </c>
    </row>
    <row r="897" spans="1:13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  <c r="G897">
        <f t="shared" si="17"/>
        <v>100.7</v>
      </c>
      <c r="I897" s="5">
        <f t="shared" si="18"/>
        <v>325</v>
      </c>
      <c r="M897" s="2">
        <v>43424</v>
      </c>
    </row>
    <row r="898" spans="1:13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  <c r="G898">
        <f t="shared" si="17"/>
        <v>106</v>
      </c>
      <c r="I898" s="5">
        <f t="shared" si="18"/>
        <v>324</v>
      </c>
      <c r="M898" s="2">
        <v>43423</v>
      </c>
    </row>
    <row r="899" spans="1:13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  <c r="G899">
        <f t="shared" si="17"/>
        <v>107.4</v>
      </c>
      <c r="I899" s="5">
        <f t="shared" si="18"/>
        <v>329</v>
      </c>
      <c r="M899" s="2">
        <v>43428</v>
      </c>
    </row>
    <row r="900" spans="1:13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  <c r="G900">
        <f t="shared" si="17"/>
        <v>89.5</v>
      </c>
      <c r="I900" s="5">
        <f t="shared" si="18"/>
        <v>333</v>
      </c>
      <c r="M900" s="2">
        <v>43432</v>
      </c>
    </row>
    <row r="901" spans="1:13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  <c r="G901">
        <f t="shared" si="17"/>
        <v>102.5</v>
      </c>
      <c r="I901" s="5">
        <f t="shared" si="18"/>
        <v>325</v>
      </c>
      <c r="M901" s="2">
        <v>43424</v>
      </c>
    </row>
    <row r="902" spans="1:13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  <c r="G902">
        <f t="shared" si="17"/>
        <v>110.4</v>
      </c>
      <c r="I902" s="5">
        <f t="shared" si="18"/>
        <v>331</v>
      </c>
      <c r="M902" s="2">
        <v>43430</v>
      </c>
    </row>
    <row r="903" spans="1:13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  <c r="G903">
        <f t="shared" si="17"/>
        <v>109</v>
      </c>
      <c r="I903" s="5">
        <f t="shared" si="18"/>
        <v>325</v>
      </c>
      <c r="M903" s="2">
        <v>43424</v>
      </c>
    </row>
    <row r="904" spans="1:13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  <c r="G904">
        <f t="shared" si="17"/>
        <v>94.3</v>
      </c>
      <c r="I904" s="5">
        <f t="shared" si="18"/>
        <v>324</v>
      </c>
      <c r="M904" s="2">
        <v>43423</v>
      </c>
    </row>
    <row r="905" spans="1:13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  <c r="G905">
        <f t="shared" si="17"/>
        <v>104.4</v>
      </c>
      <c r="I905" s="5">
        <f t="shared" si="18"/>
        <v>329</v>
      </c>
      <c r="M905" s="2">
        <v>43428</v>
      </c>
    </row>
    <row r="906" spans="1:13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  <c r="G906">
        <f t="shared" si="17"/>
        <v>108</v>
      </c>
      <c r="I906" s="5">
        <f t="shared" si="18"/>
        <v>333</v>
      </c>
      <c r="M906" s="2">
        <v>43432</v>
      </c>
    </row>
    <row r="907" spans="1:13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  <c r="G907">
        <f t="shared" si="17"/>
        <v>113.2</v>
      </c>
      <c r="I907" s="5">
        <f t="shared" si="18"/>
        <v>325</v>
      </c>
      <c r="M907" s="2">
        <v>43424</v>
      </c>
    </row>
    <row r="908" spans="1:13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  <c r="G908">
        <f t="shared" si="17"/>
        <v>94.4</v>
      </c>
      <c r="I908" s="5">
        <f t="shared" si="18"/>
        <v>331</v>
      </c>
      <c r="M908" s="2">
        <v>43430</v>
      </c>
    </row>
    <row r="909" spans="1:13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  <c r="G909">
        <f t="shared" si="17"/>
        <v>102.6</v>
      </c>
      <c r="H909" t="s">
        <v>27</v>
      </c>
      <c r="I909" s="5">
        <f t="shared" si="18"/>
        <v>325</v>
      </c>
      <c r="M909" s="2">
        <v>43424</v>
      </c>
    </row>
    <row r="910" spans="1:13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  <c r="G910">
        <f t="shared" si="17"/>
        <v>110.5</v>
      </c>
      <c r="H910" t="s">
        <v>27</v>
      </c>
      <c r="I910" s="5">
        <f t="shared" si="18"/>
        <v>324</v>
      </c>
      <c r="M910" s="2">
        <v>43423</v>
      </c>
    </row>
    <row r="911" spans="1:13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  <c r="G911">
        <f t="shared" si="17"/>
        <v>108.9</v>
      </c>
      <c r="H911" t="s">
        <v>27</v>
      </c>
      <c r="I911" s="5">
        <f t="shared" si="18"/>
        <v>329</v>
      </c>
      <c r="M911" s="2">
        <v>43428</v>
      </c>
    </row>
    <row r="912" spans="1:13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  <c r="G912">
        <f t="shared" si="17"/>
        <v>95</v>
      </c>
      <c r="H912" t="s">
        <v>27</v>
      </c>
      <c r="I912" s="5">
        <f t="shared" si="18"/>
        <v>333</v>
      </c>
      <c r="M912" s="2">
        <v>43432</v>
      </c>
    </row>
    <row r="913" spans="1:13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  <c r="G913">
        <f t="shared" si="17"/>
        <v>93.8</v>
      </c>
      <c r="H913" t="s">
        <v>27</v>
      </c>
      <c r="I913" s="5">
        <f t="shared" si="18"/>
        <v>325</v>
      </c>
      <c r="M913" s="2">
        <v>43424</v>
      </c>
    </row>
    <row r="914" spans="1:13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  <c r="G914">
        <f t="shared" si="17"/>
        <v>98.5</v>
      </c>
      <c r="H914" t="s">
        <v>27</v>
      </c>
      <c r="I914" s="5">
        <f t="shared" si="18"/>
        <v>331</v>
      </c>
      <c r="M914" s="2">
        <v>43430</v>
      </c>
    </row>
    <row r="915" spans="1:13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  <c r="G915">
        <f t="shared" si="17"/>
        <v>102.3</v>
      </c>
      <c r="H915" t="s">
        <v>27</v>
      </c>
      <c r="I915" s="5">
        <f t="shared" si="18"/>
        <v>325</v>
      </c>
      <c r="M915" s="2">
        <v>43424</v>
      </c>
    </row>
    <row r="916" spans="1:13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  <c r="G916">
        <f t="shared" si="17"/>
        <v>85.4</v>
      </c>
      <c r="H916" t="s">
        <v>27</v>
      </c>
      <c r="I916" s="5">
        <f t="shared" si="18"/>
        <v>324</v>
      </c>
      <c r="M916" s="2">
        <v>43423</v>
      </c>
    </row>
    <row r="917" spans="1:13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  <c r="G917">
        <f t="shared" si="17"/>
        <v>116.6</v>
      </c>
      <c r="I917" s="5">
        <f t="shared" si="18"/>
        <v>329</v>
      </c>
      <c r="M917" s="2">
        <v>43428</v>
      </c>
    </row>
    <row r="918" spans="1:13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  <c r="G918">
        <f t="shared" si="17"/>
        <v>97.5</v>
      </c>
      <c r="I918" s="5">
        <f t="shared" si="18"/>
        <v>333</v>
      </c>
      <c r="M918" s="2">
        <v>43432</v>
      </c>
    </row>
    <row r="919" spans="1:13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  <c r="G919">
        <f t="shared" si="17"/>
        <v>104.5</v>
      </c>
      <c r="I919" s="5">
        <f t="shared" si="18"/>
        <v>325</v>
      </c>
      <c r="M919" s="2">
        <v>43424</v>
      </c>
    </row>
    <row r="920" spans="1:13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  <c r="G920">
        <f t="shared" si="17"/>
        <v>114</v>
      </c>
      <c r="I920" s="5">
        <f t="shared" si="18"/>
        <v>325</v>
      </c>
      <c r="M920" s="2">
        <v>43424</v>
      </c>
    </row>
    <row r="921" spans="1:13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  <c r="G921">
        <f t="shared" si="17"/>
        <v>58.7</v>
      </c>
      <c r="I921" s="5">
        <f t="shared" si="18"/>
        <v>331</v>
      </c>
      <c r="M921" s="2">
        <v>43430</v>
      </c>
    </row>
    <row r="922" spans="1:13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  <c r="G922">
        <f t="shared" si="17"/>
        <v>79.599999999999994</v>
      </c>
      <c r="I922" s="5">
        <f t="shared" si="18"/>
        <v>325</v>
      </c>
      <c r="M922" s="2">
        <v>43424</v>
      </c>
    </row>
    <row r="923" spans="1:13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  <c r="G923">
        <f t="shared" si="17"/>
        <v>77.900000000000006</v>
      </c>
      <c r="I923" s="5">
        <f t="shared" si="18"/>
        <v>325</v>
      </c>
      <c r="M923" s="2">
        <v>43424</v>
      </c>
    </row>
    <row r="924" spans="1:13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  <c r="G924">
        <f t="shared" si="17"/>
        <v>88</v>
      </c>
      <c r="I924" s="5">
        <f t="shared" si="18"/>
        <v>324</v>
      </c>
      <c r="M924" s="2">
        <v>43423</v>
      </c>
    </row>
    <row r="925" spans="1:13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  <c r="G925">
        <f t="shared" si="17"/>
        <v>104.6</v>
      </c>
      <c r="H925" t="s">
        <v>27</v>
      </c>
      <c r="I925" s="5">
        <f t="shared" si="18"/>
        <v>329</v>
      </c>
      <c r="M925" s="2">
        <v>43428</v>
      </c>
    </row>
    <row r="926" spans="1:13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  <c r="G926">
        <f t="shared" si="17"/>
        <v>103.2</v>
      </c>
      <c r="I926" s="5">
        <f t="shared" si="18"/>
        <v>333</v>
      </c>
      <c r="M926" s="2">
        <v>43432</v>
      </c>
    </row>
    <row r="927" spans="1:13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  <c r="G927">
        <f t="shared" si="17"/>
        <v>101.2</v>
      </c>
      <c r="I927" s="5">
        <f t="shared" si="18"/>
        <v>331</v>
      </c>
      <c r="M927" s="2">
        <v>43430</v>
      </c>
    </row>
    <row r="928" spans="1:13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  <c r="G928">
        <f t="shared" si="17"/>
        <v>61.3</v>
      </c>
      <c r="I928" s="5">
        <f t="shared" si="18"/>
        <v>328</v>
      </c>
      <c r="M928" s="2">
        <v>43792</v>
      </c>
    </row>
    <row r="929" spans="1:13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  <c r="G929">
        <f t="shared" si="17"/>
        <v>85.2</v>
      </c>
      <c r="I929" s="5">
        <f t="shared" si="18"/>
        <v>328</v>
      </c>
      <c r="M929" s="2">
        <v>43792</v>
      </c>
    </row>
    <row r="930" spans="1:13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  <c r="G930">
        <f t="shared" si="17"/>
        <v>82.7</v>
      </c>
      <c r="I930" s="5">
        <f t="shared" si="18"/>
        <v>338</v>
      </c>
      <c r="M930" s="2">
        <v>43802</v>
      </c>
    </row>
    <row r="931" spans="1:13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  <c r="G931">
        <f t="shared" si="17"/>
        <v>93</v>
      </c>
      <c r="I931" s="5">
        <f t="shared" si="18"/>
        <v>325</v>
      </c>
      <c r="M931" s="2">
        <v>43789</v>
      </c>
    </row>
    <row r="932" spans="1:13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  <c r="G932">
        <f t="shared" si="17"/>
        <v>108</v>
      </c>
      <c r="H932" t="s">
        <v>27</v>
      </c>
      <c r="I932" s="5">
        <f t="shared" si="18"/>
        <v>328</v>
      </c>
      <c r="M932" s="2">
        <v>43792</v>
      </c>
    </row>
    <row r="933" spans="1:13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  <c r="G933">
        <f t="shared" si="17"/>
        <v>107.8</v>
      </c>
      <c r="I933" s="5">
        <f t="shared" si="18"/>
        <v>328</v>
      </c>
      <c r="M933" s="2">
        <v>43792</v>
      </c>
    </row>
    <row r="934" spans="1:13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  <c r="G934">
        <f t="shared" si="17"/>
        <v>107.9</v>
      </c>
      <c r="I934" s="5">
        <f t="shared" si="18"/>
        <v>325</v>
      </c>
      <c r="M934" s="2">
        <v>43789</v>
      </c>
    </row>
    <row r="935" spans="1:13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  <c r="G935">
        <f t="shared" ref="G935:G998" si="19">F935</f>
        <v>56.7</v>
      </c>
      <c r="I935" s="5">
        <f t="shared" ref="I935:I954" si="20" xml:space="preserve"> DATEDIF(DATE(YEAR(M935),1,0),M935,"d")+1</f>
        <v>328</v>
      </c>
      <c r="M935" s="2">
        <v>43792</v>
      </c>
    </row>
    <row r="936" spans="1:13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  <c r="G936">
        <f t="shared" si="19"/>
        <v>70.8</v>
      </c>
      <c r="I936" s="5">
        <f t="shared" si="20"/>
        <v>338</v>
      </c>
      <c r="M936" s="2">
        <v>43802</v>
      </c>
    </row>
    <row r="937" spans="1:13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  <c r="G937">
        <f t="shared" si="19"/>
        <v>74.599999999999994</v>
      </c>
      <c r="I937" s="5">
        <f t="shared" si="20"/>
        <v>328</v>
      </c>
      <c r="M937" s="2">
        <v>43792</v>
      </c>
    </row>
    <row r="938" spans="1:13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  <c r="G938">
        <f t="shared" si="19"/>
        <v>75.900000000000006</v>
      </c>
      <c r="I938" s="5">
        <f t="shared" si="20"/>
        <v>328</v>
      </c>
      <c r="M938" s="2">
        <v>43792</v>
      </c>
    </row>
    <row r="939" spans="1:13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  <c r="G939">
        <f t="shared" si="19"/>
        <v>87.8</v>
      </c>
      <c r="I939" s="5">
        <f t="shared" si="20"/>
        <v>328</v>
      </c>
      <c r="M939" s="2">
        <v>43792</v>
      </c>
    </row>
    <row r="940" spans="1:13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  <c r="G940">
        <f t="shared" si="19"/>
        <v>85.9</v>
      </c>
      <c r="I940" s="5">
        <f t="shared" si="20"/>
        <v>338</v>
      </c>
      <c r="M940" s="2">
        <v>43802</v>
      </c>
    </row>
    <row r="941" spans="1:13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  <c r="G941">
        <f t="shared" si="19"/>
        <v>78.099999999999994</v>
      </c>
      <c r="I941" s="5">
        <f t="shared" si="20"/>
        <v>325</v>
      </c>
      <c r="M941" s="2">
        <v>43789</v>
      </c>
    </row>
    <row r="942" spans="1:13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  <c r="G942">
        <f t="shared" si="19"/>
        <v>99.8</v>
      </c>
      <c r="I942" s="5">
        <f t="shared" si="20"/>
        <v>328</v>
      </c>
      <c r="M942" s="2">
        <v>43792</v>
      </c>
    </row>
    <row r="943" spans="1:13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  <c r="G943">
        <f t="shared" si="19"/>
        <v>92.5</v>
      </c>
      <c r="I943" s="5">
        <f t="shared" si="20"/>
        <v>328</v>
      </c>
      <c r="M943" s="2">
        <v>43792</v>
      </c>
    </row>
    <row r="944" spans="1:13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  <c r="G944">
        <f t="shared" si="19"/>
        <v>84.3</v>
      </c>
      <c r="I944" s="5">
        <f t="shared" si="20"/>
        <v>328</v>
      </c>
      <c r="M944" s="2">
        <v>43792</v>
      </c>
    </row>
    <row r="945" spans="1:13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  <c r="G945">
        <f t="shared" si="19"/>
        <v>108.8</v>
      </c>
      <c r="I945" s="5">
        <f t="shared" si="20"/>
        <v>338</v>
      </c>
      <c r="M945" s="2">
        <v>43802</v>
      </c>
    </row>
    <row r="946" spans="1:13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  <c r="G946">
        <f t="shared" si="19"/>
        <v>99.9</v>
      </c>
      <c r="I946" s="5">
        <f t="shared" si="20"/>
        <v>325</v>
      </c>
      <c r="M946" s="2">
        <v>43789</v>
      </c>
    </row>
    <row r="947" spans="1:13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  <c r="G947">
        <f t="shared" si="19"/>
        <v>94.6</v>
      </c>
      <c r="H947" t="s">
        <v>27</v>
      </c>
      <c r="I947" s="5">
        <f t="shared" si="20"/>
        <v>328</v>
      </c>
      <c r="M947" s="2">
        <v>43792</v>
      </c>
    </row>
    <row r="948" spans="1:13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  <c r="G948">
        <f t="shared" si="19"/>
        <v>121.5</v>
      </c>
      <c r="H948" t="s">
        <v>27</v>
      </c>
      <c r="I948" s="5">
        <f t="shared" si="20"/>
        <v>328</v>
      </c>
      <c r="M948" s="2">
        <v>43792</v>
      </c>
    </row>
    <row r="949" spans="1:13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  <c r="G949">
        <f t="shared" si="19"/>
        <v>113.2</v>
      </c>
      <c r="H949" t="s">
        <v>27</v>
      </c>
      <c r="I949" s="5">
        <f t="shared" si="20"/>
        <v>328</v>
      </c>
      <c r="M949" s="2">
        <v>43792</v>
      </c>
    </row>
    <row r="950" spans="1:13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  <c r="G950">
        <f t="shared" si="19"/>
        <v>122.7</v>
      </c>
      <c r="I950" s="5">
        <f t="shared" si="20"/>
        <v>338</v>
      </c>
      <c r="M950" s="2">
        <v>43802</v>
      </c>
    </row>
    <row r="951" spans="1:13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  <c r="G951">
        <f t="shared" si="19"/>
        <v>99.3</v>
      </c>
      <c r="I951" s="5">
        <f t="shared" si="20"/>
        <v>325</v>
      </c>
      <c r="M951" s="2">
        <v>43789</v>
      </c>
    </row>
    <row r="952" spans="1:13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  <c r="G952">
        <f t="shared" si="19"/>
        <v>120.8</v>
      </c>
      <c r="I952" s="5">
        <f t="shared" si="20"/>
        <v>328</v>
      </c>
      <c r="M952" s="2">
        <v>43792</v>
      </c>
    </row>
    <row r="953" spans="1:13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  <c r="G953">
        <f t="shared" si="19"/>
        <v>91.7</v>
      </c>
      <c r="I953" s="5">
        <f t="shared" si="20"/>
        <v>328</v>
      </c>
      <c r="M953" s="2">
        <v>43792</v>
      </c>
    </row>
    <row r="954" spans="1:13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  <c r="G954">
        <f t="shared" si="19"/>
        <v>115.7</v>
      </c>
      <c r="I954" s="5">
        <f t="shared" si="20"/>
        <v>338</v>
      </c>
      <c r="M954" s="2">
        <v>43802</v>
      </c>
    </row>
    <row r="955" spans="1:13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  <c r="G955">
        <f t="shared" si="19"/>
        <v>60.2</v>
      </c>
      <c r="I955" s="4">
        <f xml:space="preserve"> DATEDIF(DATE(YEAR(M955),1,0),M955,"d")+1</f>
        <v>328</v>
      </c>
      <c r="M955" s="2">
        <v>43792</v>
      </c>
    </row>
    <row r="956" spans="1:13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  <c r="G956">
        <f t="shared" si="19"/>
        <v>83.8</v>
      </c>
      <c r="I956" s="4">
        <f t="shared" ref="I956:I1015" si="21" xml:space="preserve"> DATEDIF(DATE(YEAR(M956),1,0),M956,"d")+1</f>
        <v>328</v>
      </c>
      <c r="M956" s="2">
        <v>43792</v>
      </c>
    </row>
    <row r="957" spans="1:13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  <c r="G957">
        <f t="shared" si="19"/>
        <v>87.9</v>
      </c>
      <c r="I957" s="4">
        <f t="shared" si="21"/>
        <v>325</v>
      </c>
      <c r="M957" s="2">
        <v>43789</v>
      </c>
    </row>
    <row r="958" spans="1:13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  <c r="G958">
        <f t="shared" si="19"/>
        <v>97.1</v>
      </c>
      <c r="I958" s="4">
        <f t="shared" si="21"/>
        <v>338</v>
      </c>
      <c r="M958" s="2">
        <v>43802</v>
      </c>
    </row>
    <row r="959" spans="1:13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  <c r="G959">
        <f t="shared" si="19"/>
        <v>109.3</v>
      </c>
      <c r="H959" t="s">
        <v>27</v>
      </c>
      <c r="I959" s="4">
        <f t="shared" si="21"/>
        <v>328</v>
      </c>
      <c r="M959" s="2">
        <v>43792</v>
      </c>
    </row>
    <row r="960" spans="1:13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  <c r="G960">
        <f t="shared" si="19"/>
        <v>116.6</v>
      </c>
      <c r="I960" s="4">
        <f t="shared" si="21"/>
        <v>325</v>
      </c>
      <c r="M960" s="2">
        <v>43789</v>
      </c>
    </row>
    <row r="961" spans="1:13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  <c r="G961">
        <f t="shared" si="19"/>
        <v>116.8</v>
      </c>
      <c r="I961" s="4">
        <f t="shared" si="21"/>
        <v>328</v>
      </c>
      <c r="M961" s="2">
        <v>43792</v>
      </c>
    </row>
    <row r="962" spans="1:13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  <c r="G962">
        <f t="shared" si="19"/>
        <v>70.474939759999998</v>
      </c>
      <c r="I962" s="5">
        <f t="shared" si="21"/>
        <v>328</v>
      </c>
      <c r="M962" s="2">
        <v>44157</v>
      </c>
    </row>
    <row r="963" spans="1:13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  <c r="G963">
        <f t="shared" si="19"/>
        <v>78.175444440000007</v>
      </c>
      <c r="I963" s="5">
        <f t="shared" si="21"/>
        <v>334</v>
      </c>
      <c r="M963" s="2">
        <v>44163</v>
      </c>
    </row>
    <row r="964" spans="1:13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  <c r="G964">
        <f t="shared" si="19"/>
        <v>89.277777779999994</v>
      </c>
      <c r="I964" s="5">
        <f t="shared" si="21"/>
        <v>328</v>
      </c>
      <c r="M964" s="2">
        <v>44157</v>
      </c>
    </row>
    <row r="965" spans="1:13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  <c r="G965">
        <f t="shared" si="19"/>
        <v>96.960333329999997</v>
      </c>
      <c r="I965" s="5">
        <f t="shared" si="21"/>
        <v>330</v>
      </c>
      <c r="M965" s="2">
        <v>44159</v>
      </c>
    </row>
    <row r="966" spans="1:13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  <c r="G966">
        <f t="shared" si="19"/>
        <v>105.0482222</v>
      </c>
      <c r="I966" s="5">
        <f t="shared" si="21"/>
        <v>332</v>
      </c>
      <c r="M966" s="2">
        <v>44161</v>
      </c>
    </row>
    <row r="967" spans="1:13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  <c r="G967">
        <f t="shared" si="19"/>
        <v>110.81411110000001</v>
      </c>
      <c r="H967" t="s">
        <v>27</v>
      </c>
      <c r="I967" s="5">
        <f t="shared" si="21"/>
        <v>328</v>
      </c>
      <c r="M967" s="2">
        <v>44157</v>
      </c>
    </row>
    <row r="968" spans="1:13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  <c r="G968">
        <f t="shared" si="19"/>
        <v>112.8977778</v>
      </c>
      <c r="H968" t="s">
        <v>27</v>
      </c>
      <c r="I968" s="5">
        <f t="shared" si="21"/>
        <v>334</v>
      </c>
      <c r="M968" s="2">
        <v>44163</v>
      </c>
    </row>
    <row r="969" spans="1:13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  <c r="G969">
        <f t="shared" si="19"/>
        <v>114.4113333</v>
      </c>
      <c r="H969" t="s">
        <v>27</v>
      </c>
      <c r="I969" s="5">
        <f t="shared" si="21"/>
        <v>328</v>
      </c>
      <c r="M969" s="2">
        <v>44157</v>
      </c>
    </row>
    <row r="970" spans="1:13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  <c r="G970">
        <f t="shared" si="19"/>
        <v>119.33077780000001</v>
      </c>
      <c r="I970" s="5">
        <f t="shared" si="21"/>
        <v>332</v>
      </c>
      <c r="M970" s="2">
        <v>44161</v>
      </c>
    </row>
    <row r="971" spans="1:13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  <c r="G971">
        <f t="shared" si="19"/>
        <v>119.8372222</v>
      </c>
      <c r="I971" s="5">
        <f t="shared" si="21"/>
        <v>330</v>
      </c>
      <c r="M971" s="2">
        <v>44159</v>
      </c>
    </row>
    <row r="972" spans="1:13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  <c r="G972">
        <f t="shared" si="19"/>
        <v>121.1773333</v>
      </c>
      <c r="I972" s="5">
        <f t="shared" si="21"/>
        <v>332</v>
      </c>
      <c r="M972" s="2">
        <v>44161</v>
      </c>
    </row>
    <row r="973" spans="1:13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  <c r="G973">
        <f t="shared" si="19"/>
        <v>68.09566667</v>
      </c>
      <c r="I973" s="5">
        <f t="shared" si="21"/>
        <v>328</v>
      </c>
      <c r="M973" s="2">
        <v>44157</v>
      </c>
    </row>
    <row r="974" spans="1:13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  <c r="G974">
        <f t="shared" si="19"/>
        <v>88.180795450000005</v>
      </c>
      <c r="I974" s="5">
        <f t="shared" si="21"/>
        <v>334</v>
      </c>
      <c r="M974" s="2">
        <v>44163</v>
      </c>
    </row>
    <row r="975" spans="1:13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  <c r="G975">
        <f t="shared" si="19"/>
        <v>97.313999999999993</v>
      </c>
      <c r="I975" s="5">
        <f t="shared" si="21"/>
        <v>328</v>
      </c>
      <c r="M975" s="2">
        <v>44157</v>
      </c>
    </row>
    <row r="976" spans="1:13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  <c r="G976">
        <f t="shared" si="19"/>
        <v>100.2647778</v>
      </c>
      <c r="I976" s="5">
        <f t="shared" si="21"/>
        <v>330</v>
      </c>
      <c r="M976" s="2">
        <v>44159</v>
      </c>
    </row>
    <row r="977" spans="1:13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  <c r="G977">
        <f t="shared" si="19"/>
        <v>104.94333330000001</v>
      </c>
      <c r="I977" s="5">
        <f t="shared" si="21"/>
        <v>332</v>
      </c>
      <c r="M977" s="2">
        <v>44161</v>
      </c>
    </row>
    <row r="978" spans="1:13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  <c r="G978">
        <f t="shared" si="19"/>
        <v>104.7833333</v>
      </c>
      <c r="H978" t="s">
        <v>27</v>
      </c>
      <c r="I978" s="5">
        <f t="shared" si="21"/>
        <v>328</v>
      </c>
      <c r="M978" s="2">
        <v>44157</v>
      </c>
    </row>
    <row r="979" spans="1:13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  <c r="G979">
        <f t="shared" si="19"/>
        <v>107.1852222</v>
      </c>
      <c r="H979" t="s">
        <v>27</v>
      </c>
      <c r="I979" s="5">
        <f t="shared" si="21"/>
        <v>334</v>
      </c>
      <c r="M979" s="2">
        <v>44163</v>
      </c>
    </row>
    <row r="980" spans="1:13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  <c r="G980">
        <f t="shared" si="19"/>
        <v>97.25755556</v>
      </c>
      <c r="I980" s="5">
        <f t="shared" si="21"/>
        <v>328</v>
      </c>
      <c r="M980" s="2">
        <v>44157</v>
      </c>
    </row>
    <row r="981" spans="1:13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  <c r="G981">
        <f t="shared" si="19"/>
        <v>110.47156630000001</v>
      </c>
      <c r="I981" s="5">
        <f t="shared" si="21"/>
        <v>330</v>
      </c>
      <c r="M981" s="2">
        <v>44159</v>
      </c>
    </row>
    <row r="982" spans="1:13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  <c r="G982">
        <f t="shared" si="19"/>
        <v>104.2146667</v>
      </c>
      <c r="I982" s="5">
        <f t="shared" si="21"/>
        <v>328</v>
      </c>
      <c r="M982" s="2">
        <v>44157</v>
      </c>
    </row>
    <row r="983" spans="1:13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  <c r="G983">
        <f t="shared" si="19"/>
        <v>68.366222219999997</v>
      </c>
      <c r="I983" s="5">
        <f t="shared" si="21"/>
        <v>334</v>
      </c>
      <c r="M983" s="2">
        <v>44163</v>
      </c>
    </row>
    <row r="984" spans="1:13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  <c r="G984">
        <f t="shared" si="19"/>
        <v>60.43444444</v>
      </c>
      <c r="I984" s="5">
        <f t="shared" si="21"/>
        <v>328</v>
      </c>
      <c r="M984" s="2">
        <v>44157</v>
      </c>
    </row>
    <row r="985" spans="1:13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  <c r="G985">
        <f t="shared" si="19"/>
        <v>59.576333329999997</v>
      </c>
      <c r="I985" s="5">
        <f t="shared" si="21"/>
        <v>332</v>
      </c>
      <c r="M985" s="2">
        <v>44161</v>
      </c>
    </row>
    <row r="986" spans="1:13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  <c r="G986">
        <f t="shared" si="19"/>
        <v>70.137222219999998</v>
      </c>
      <c r="I986" s="5">
        <f t="shared" si="21"/>
        <v>330</v>
      </c>
      <c r="M986" s="2">
        <v>44159</v>
      </c>
    </row>
    <row r="987" spans="1:13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  <c r="G987">
        <f t="shared" si="19"/>
        <v>67.538888889999996</v>
      </c>
      <c r="I987" s="5">
        <f t="shared" si="21"/>
        <v>328</v>
      </c>
      <c r="M987" s="2">
        <v>44157</v>
      </c>
    </row>
    <row r="988" spans="1:13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  <c r="G988">
        <f t="shared" si="19"/>
        <v>68.143777779999994</v>
      </c>
      <c r="I988" s="5">
        <f t="shared" si="21"/>
        <v>334</v>
      </c>
      <c r="M988" s="2">
        <v>44163</v>
      </c>
    </row>
    <row r="989" spans="1:13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  <c r="G989">
        <f t="shared" si="19"/>
        <v>77.873333329999994</v>
      </c>
      <c r="I989" s="5">
        <f t="shared" si="21"/>
        <v>328</v>
      </c>
      <c r="M989" s="2">
        <v>44157</v>
      </c>
    </row>
    <row r="990" spans="1:13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  <c r="G990">
        <f t="shared" si="19"/>
        <v>86.499777780000002</v>
      </c>
      <c r="I990" s="5">
        <f t="shared" si="21"/>
        <v>332</v>
      </c>
      <c r="M990" s="2">
        <v>44161</v>
      </c>
    </row>
    <row r="991" spans="1:13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  <c r="G991">
        <f t="shared" si="19"/>
        <v>75.648222219999994</v>
      </c>
      <c r="I991" s="5">
        <f t="shared" si="21"/>
        <v>330</v>
      </c>
      <c r="M991" s="2">
        <v>44159</v>
      </c>
    </row>
    <row r="992" spans="1:13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  <c r="G992">
        <f t="shared" si="19"/>
        <v>84.237333329999998</v>
      </c>
      <c r="I992" s="5">
        <f t="shared" si="21"/>
        <v>332</v>
      </c>
      <c r="M992" s="2">
        <v>44161</v>
      </c>
    </row>
    <row r="993" spans="1:13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  <c r="G993">
        <f t="shared" si="19"/>
        <v>95.272444440000001</v>
      </c>
      <c r="I993" s="5">
        <f t="shared" si="21"/>
        <v>328</v>
      </c>
      <c r="M993" s="2">
        <v>44157</v>
      </c>
    </row>
    <row r="994" spans="1:13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  <c r="G994">
        <f t="shared" si="19"/>
        <v>86.118555560000004</v>
      </c>
      <c r="I994" s="5">
        <f t="shared" si="21"/>
        <v>334</v>
      </c>
      <c r="M994" s="2">
        <v>44163</v>
      </c>
    </row>
    <row r="995" spans="1:13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  <c r="G995">
        <f t="shared" si="19"/>
        <v>101.1565556</v>
      </c>
      <c r="I995" s="5">
        <f t="shared" si="21"/>
        <v>328</v>
      </c>
      <c r="M995" s="2">
        <v>44157</v>
      </c>
    </row>
    <row r="996" spans="1:13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  <c r="G996">
        <f t="shared" si="19"/>
        <v>92.894333329999995</v>
      </c>
      <c r="I996" s="5">
        <f t="shared" si="21"/>
        <v>330</v>
      </c>
      <c r="M996" s="2">
        <v>44159</v>
      </c>
    </row>
    <row r="997" spans="1:13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  <c r="G997">
        <f t="shared" si="19"/>
        <v>92.753333330000004</v>
      </c>
      <c r="I997" s="5">
        <f t="shared" si="21"/>
        <v>328</v>
      </c>
      <c r="M997" s="2">
        <v>44157</v>
      </c>
    </row>
    <row r="998" spans="1:13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  <c r="G998">
        <f t="shared" si="19"/>
        <v>104.657</v>
      </c>
      <c r="I998" s="5">
        <f t="shared" si="21"/>
        <v>334</v>
      </c>
      <c r="M998" s="2">
        <v>44163</v>
      </c>
    </row>
    <row r="999" spans="1:13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  <c r="G999">
        <f t="shared" ref="G999:G1062" si="22">F999</f>
        <v>101.2516667</v>
      </c>
      <c r="I999" s="5">
        <f t="shared" si="21"/>
        <v>328</v>
      </c>
      <c r="M999" s="2">
        <v>44157</v>
      </c>
    </row>
    <row r="1000" spans="1:13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  <c r="G1000">
        <f t="shared" si="22"/>
        <v>97.531000000000006</v>
      </c>
      <c r="I1000" s="5">
        <f t="shared" si="21"/>
        <v>332</v>
      </c>
      <c r="M1000" s="2">
        <v>44161</v>
      </c>
    </row>
    <row r="1001" spans="1:13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  <c r="G1001">
        <f t="shared" si="22"/>
        <v>97.304888890000001</v>
      </c>
      <c r="I1001" s="5">
        <f t="shared" si="21"/>
        <v>330</v>
      </c>
      <c r="M1001" s="2">
        <v>44159</v>
      </c>
    </row>
    <row r="1002" spans="1:13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  <c r="G1002">
        <f t="shared" si="22"/>
        <v>110.3821111</v>
      </c>
      <c r="I1002" s="5">
        <f t="shared" si="21"/>
        <v>328</v>
      </c>
      <c r="M1002" s="2">
        <v>44157</v>
      </c>
    </row>
    <row r="1003" spans="1:13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  <c r="G1003">
        <f t="shared" si="22"/>
        <v>101.0704444</v>
      </c>
      <c r="I1003" s="5">
        <f t="shared" si="21"/>
        <v>334</v>
      </c>
      <c r="M1003" s="2">
        <v>44163</v>
      </c>
    </row>
    <row r="1004" spans="1:13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  <c r="G1004">
        <f t="shared" si="22"/>
        <v>110.3692222</v>
      </c>
      <c r="H1004" t="s">
        <v>27</v>
      </c>
      <c r="I1004" s="5">
        <f t="shared" si="21"/>
        <v>328</v>
      </c>
      <c r="M1004" s="2">
        <v>44157</v>
      </c>
    </row>
    <row r="1005" spans="1:13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  <c r="G1005">
        <f t="shared" si="22"/>
        <v>97.827444439999994</v>
      </c>
      <c r="H1005" t="s">
        <v>27</v>
      </c>
      <c r="I1005" s="5">
        <f t="shared" si="21"/>
        <v>332</v>
      </c>
      <c r="M1005" s="2">
        <v>44161</v>
      </c>
    </row>
    <row r="1006" spans="1:13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  <c r="G1006">
        <f t="shared" si="22"/>
        <v>98.942444440000003</v>
      </c>
      <c r="H1006" t="s">
        <v>27</v>
      </c>
      <c r="I1006" s="5">
        <f t="shared" si="21"/>
        <v>330</v>
      </c>
      <c r="M1006" s="2">
        <v>44159</v>
      </c>
    </row>
    <row r="1007" spans="1:13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  <c r="G1007">
        <f t="shared" si="22"/>
        <v>109.3193333</v>
      </c>
      <c r="I1007" s="5">
        <f t="shared" si="21"/>
        <v>328</v>
      </c>
      <c r="M1007" s="2">
        <v>44157</v>
      </c>
    </row>
    <row r="1008" spans="1:13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  <c r="G1008">
        <f t="shared" si="22"/>
        <v>97.286555559999996</v>
      </c>
      <c r="I1008" s="5">
        <f t="shared" si="21"/>
        <v>334</v>
      </c>
      <c r="M1008" s="2">
        <v>44163</v>
      </c>
    </row>
    <row r="1009" spans="1:13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  <c r="G1009">
        <f t="shared" si="22"/>
        <v>104.60788890000001</v>
      </c>
      <c r="I1009" s="5">
        <f t="shared" si="21"/>
        <v>328</v>
      </c>
      <c r="M1009" s="2">
        <v>44157</v>
      </c>
    </row>
    <row r="1010" spans="1:13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  <c r="G1010">
        <f t="shared" si="22"/>
        <v>113.8327778</v>
      </c>
      <c r="I1010" s="5">
        <f t="shared" si="21"/>
        <v>332</v>
      </c>
      <c r="M1010" s="2">
        <v>44161</v>
      </c>
    </row>
    <row r="1011" spans="1:13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  <c r="G1011">
        <f t="shared" si="22"/>
        <v>97.199777780000005</v>
      </c>
      <c r="I1011" s="5">
        <f t="shared" si="21"/>
        <v>330</v>
      </c>
      <c r="M1011" s="2">
        <v>44159</v>
      </c>
    </row>
    <row r="1012" spans="1:13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  <c r="G1012">
        <f t="shared" si="22"/>
        <v>109.16333330000001</v>
      </c>
      <c r="I1012" s="5">
        <f t="shared" si="21"/>
        <v>328</v>
      </c>
      <c r="M1012" s="2">
        <v>44157</v>
      </c>
    </row>
    <row r="1013" spans="1:13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  <c r="G1013">
        <f t="shared" si="22"/>
        <v>115.5402222</v>
      </c>
      <c r="I1013" s="5">
        <f t="shared" si="21"/>
        <v>334</v>
      </c>
      <c r="M1013" s="2">
        <v>44163</v>
      </c>
    </row>
    <row r="1014" spans="1:13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  <c r="G1014">
        <f t="shared" si="22"/>
        <v>97.870111109999996</v>
      </c>
      <c r="I1014" s="5">
        <f t="shared" si="21"/>
        <v>328</v>
      </c>
      <c r="M1014" s="2">
        <v>44157</v>
      </c>
    </row>
    <row r="1015" spans="1:13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  <c r="G1015">
        <f t="shared" si="22"/>
        <v>102.58633330000001</v>
      </c>
      <c r="I1015" s="5">
        <f t="shared" si="21"/>
        <v>332</v>
      </c>
      <c r="M1015" s="2">
        <v>44161</v>
      </c>
    </row>
    <row r="1016" spans="1:13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  <c r="G1016">
        <f t="shared" si="22"/>
        <v>66.148111110000002</v>
      </c>
      <c r="I1016" s="4">
        <f t="shared" ref="I1016:I1079" si="23" xml:space="preserve"> DATEDIF(DATE(YEAR(M1016),1,0),M1016,"d")+1</f>
        <v>330</v>
      </c>
      <c r="M1016" s="2">
        <v>44159</v>
      </c>
    </row>
    <row r="1017" spans="1:13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  <c r="G1017">
        <f t="shared" si="22"/>
        <v>78.188777779999995</v>
      </c>
      <c r="I1017" s="4">
        <f t="shared" si="23"/>
        <v>324</v>
      </c>
      <c r="M1017" s="2">
        <v>44519</v>
      </c>
    </row>
    <row r="1018" spans="1:13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  <c r="G1018">
        <f t="shared" si="22"/>
        <v>85.639222219999994</v>
      </c>
      <c r="I1018" s="4">
        <f t="shared" si="23"/>
        <v>334</v>
      </c>
      <c r="M1018" s="2">
        <v>44529</v>
      </c>
    </row>
    <row r="1019" spans="1:13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  <c r="G1019">
        <f t="shared" si="22"/>
        <v>91.981555560000004</v>
      </c>
      <c r="I1019" s="4">
        <f t="shared" si="23"/>
        <v>323</v>
      </c>
      <c r="M1019" s="2">
        <v>44518</v>
      </c>
    </row>
    <row r="1020" spans="1:13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  <c r="G1020">
        <f t="shared" si="22"/>
        <v>96.656555560000001</v>
      </c>
      <c r="I1020" s="4">
        <f t="shared" si="23"/>
        <v>327</v>
      </c>
      <c r="M1020" s="2">
        <v>44522</v>
      </c>
    </row>
    <row r="1021" spans="1:13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  <c r="G1021">
        <f t="shared" si="22"/>
        <v>102.13188890000001</v>
      </c>
      <c r="I1021" s="4">
        <f t="shared" si="23"/>
        <v>323</v>
      </c>
      <c r="M1021" s="2">
        <v>44518</v>
      </c>
    </row>
    <row r="1022" spans="1:13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  <c r="G1022">
        <f t="shared" si="22"/>
        <v>106.438</v>
      </c>
      <c r="I1022" s="4">
        <f t="shared" si="23"/>
        <v>323</v>
      </c>
      <c r="M1022" s="2">
        <v>44518</v>
      </c>
    </row>
    <row r="1023" spans="1:13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  <c r="G1023">
        <f t="shared" si="22"/>
        <v>114.3467778</v>
      </c>
      <c r="I1023" s="4">
        <f t="shared" si="23"/>
        <v>324</v>
      </c>
      <c r="M1023" s="2">
        <v>44519</v>
      </c>
    </row>
    <row r="1024" spans="1:13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  <c r="G1024">
        <f t="shared" si="22"/>
        <v>108.5084444</v>
      </c>
      <c r="H1024" t="s">
        <v>27</v>
      </c>
      <c r="I1024" s="4">
        <f t="shared" si="23"/>
        <v>334</v>
      </c>
      <c r="M1024" s="2">
        <v>44529</v>
      </c>
    </row>
    <row r="1025" spans="1:13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  <c r="G1025">
        <f t="shared" si="22"/>
        <v>110.1386667</v>
      </c>
      <c r="I1025" s="4">
        <f t="shared" si="23"/>
        <v>323</v>
      </c>
      <c r="M1025" s="2">
        <v>44518</v>
      </c>
    </row>
    <row r="1026" spans="1:13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  <c r="G1026">
        <f t="shared" si="22"/>
        <v>114.625</v>
      </c>
      <c r="I1026" s="4">
        <f t="shared" si="23"/>
        <v>327</v>
      </c>
      <c r="M1026" s="2">
        <v>44522</v>
      </c>
    </row>
    <row r="1027" spans="1:13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  <c r="G1027">
        <f t="shared" si="22"/>
        <v>65.7</v>
      </c>
      <c r="I1027" s="5">
        <f t="shared" si="23"/>
        <v>324</v>
      </c>
      <c r="M1027" s="2">
        <v>44519</v>
      </c>
    </row>
    <row r="1028" spans="1:13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  <c r="G1028">
        <f t="shared" si="22"/>
        <v>77</v>
      </c>
      <c r="I1028" s="5">
        <f t="shared" si="23"/>
        <v>334</v>
      </c>
      <c r="M1028" s="2">
        <v>44529</v>
      </c>
    </row>
    <row r="1029" spans="1:13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  <c r="G1029">
        <f t="shared" si="22"/>
        <v>108.9</v>
      </c>
      <c r="I1029" s="5">
        <f t="shared" si="23"/>
        <v>323</v>
      </c>
      <c r="M1029" s="2">
        <v>44518</v>
      </c>
    </row>
    <row r="1030" spans="1:13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  <c r="G1030">
        <f t="shared" si="22"/>
        <v>87.8</v>
      </c>
      <c r="I1030" s="5">
        <f t="shared" si="23"/>
        <v>327</v>
      </c>
      <c r="M1030" s="2">
        <v>44522</v>
      </c>
    </row>
    <row r="1031" spans="1:13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  <c r="G1031">
        <f t="shared" si="22"/>
        <v>92</v>
      </c>
      <c r="I1031" s="5">
        <f t="shared" si="23"/>
        <v>323</v>
      </c>
      <c r="M1031" s="2">
        <v>44518</v>
      </c>
    </row>
    <row r="1032" spans="1:13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  <c r="G1032">
        <f t="shared" si="22"/>
        <v>100</v>
      </c>
      <c r="I1032" s="5">
        <f t="shared" si="23"/>
        <v>323</v>
      </c>
      <c r="M1032" s="2">
        <v>44518</v>
      </c>
    </row>
    <row r="1033" spans="1:13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  <c r="G1033">
        <f t="shared" si="22"/>
        <v>102.7</v>
      </c>
      <c r="I1033" s="5">
        <f t="shared" si="23"/>
        <v>324</v>
      </c>
      <c r="M1033" s="2">
        <v>44519</v>
      </c>
    </row>
    <row r="1034" spans="1:13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  <c r="G1034">
        <f t="shared" si="22"/>
        <v>102.5</v>
      </c>
      <c r="I1034" s="5">
        <f t="shared" si="23"/>
        <v>334</v>
      </c>
      <c r="M1034" s="2">
        <v>44529</v>
      </c>
    </row>
    <row r="1035" spans="1:13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  <c r="G1035">
        <f t="shared" si="22"/>
        <v>105.9</v>
      </c>
      <c r="I1035" s="5">
        <f t="shared" si="23"/>
        <v>323</v>
      </c>
      <c r="M1035" s="2">
        <v>44518</v>
      </c>
    </row>
    <row r="1036" spans="1:13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  <c r="G1036">
        <f t="shared" si="22"/>
        <v>110.1</v>
      </c>
      <c r="I1036" s="5">
        <f t="shared" si="23"/>
        <v>327</v>
      </c>
      <c r="M1036" s="2">
        <v>44522</v>
      </c>
    </row>
    <row r="1037" spans="1:13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  <c r="G1037">
        <f t="shared" si="22"/>
        <v>108.5</v>
      </c>
      <c r="I1037" s="5">
        <f t="shared" si="23"/>
        <v>323</v>
      </c>
      <c r="M1037" s="2">
        <v>44518</v>
      </c>
    </row>
    <row r="1038" spans="1:13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  <c r="G1038">
        <f t="shared" si="22"/>
        <v>82.8</v>
      </c>
      <c r="I1038" s="5">
        <f t="shared" si="23"/>
        <v>324</v>
      </c>
      <c r="M1038" s="2">
        <v>44519</v>
      </c>
    </row>
    <row r="1039" spans="1:13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  <c r="G1039">
        <f t="shared" si="22"/>
        <v>96.5</v>
      </c>
      <c r="I1039" s="5">
        <f t="shared" si="23"/>
        <v>334</v>
      </c>
      <c r="M1039" s="2">
        <v>44529</v>
      </c>
    </row>
    <row r="1040" spans="1:13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  <c r="G1040">
        <f t="shared" si="22"/>
        <v>109</v>
      </c>
      <c r="I1040" s="5">
        <f t="shared" si="23"/>
        <v>323</v>
      </c>
      <c r="M1040" s="2">
        <v>44518</v>
      </c>
    </row>
    <row r="1041" spans="1:13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  <c r="G1041">
        <f t="shared" si="22"/>
        <v>118.6</v>
      </c>
      <c r="I1041" s="5">
        <f t="shared" si="23"/>
        <v>327</v>
      </c>
      <c r="M1041" s="2">
        <v>44522</v>
      </c>
    </row>
    <row r="1042" spans="1:13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  <c r="G1042">
        <f t="shared" si="22"/>
        <v>122</v>
      </c>
      <c r="I1042" s="5">
        <f t="shared" si="23"/>
        <v>323</v>
      </c>
      <c r="M1042" s="2">
        <v>44518</v>
      </c>
    </row>
    <row r="1043" spans="1:13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  <c r="G1043">
        <f t="shared" si="22"/>
        <v>130.69999999999999</v>
      </c>
      <c r="I1043" s="5">
        <f t="shared" si="23"/>
        <v>324</v>
      </c>
      <c r="M1043" s="2">
        <v>44519</v>
      </c>
    </row>
    <row r="1044" spans="1:13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  <c r="G1044">
        <f t="shared" si="22"/>
        <v>130.80000000000001</v>
      </c>
      <c r="I1044" s="5">
        <f t="shared" si="23"/>
        <v>334</v>
      </c>
      <c r="M1044" s="2">
        <v>44529</v>
      </c>
    </row>
    <row r="1045" spans="1:13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  <c r="G1045">
        <f t="shared" si="22"/>
        <v>131.6</v>
      </c>
      <c r="I1045" s="5">
        <f t="shared" si="23"/>
        <v>323</v>
      </c>
      <c r="M1045" s="2">
        <v>44518</v>
      </c>
    </row>
    <row r="1046" spans="1:13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  <c r="G1046">
        <f t="shared" si="22"/>
        <v>134.6</v>
      </c>
      <c r="H1046" t="s">
        <v>27</v>
      </c>
      <c r="I1046" s="5">
        <f t="shared" si="23"/>
        <v>327</v>
      </c>
      <c r="M1046" s="2">
        <v>44522</v>
      </c>
    </row>
    <row r="1047" spans="1:13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  <c r="G1047">
        <f t="shared" si="22"/>
        <v>134.80000000000001</v>
      </c>
      <c r="I1047" s="5">
        <f t="shared" si="23"/>
        <v>323</v>
      </c>
      <c r="M1047" s="2">
        <v>44518</v>
      </c>
    </row>
    <row r="1048" spans="1:13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  <c r="G1048">
        <f t="shared" si="22"/>
        <v>134.30000000000001</v>
      </c>
      <c r="I1048" s="5">
        <f t="shared" si="23"/>
        <v>324</v>
      </c>
      <c r="M1048" s="2">
        <v>44519</v>
      </c>
    </row>
    <row r="1049" spans="1:13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  <c r="G1049">
        <f t="shared" si="22"/>
        <v>73.099999999999994</v>
      </c>
      <c r="I1049" s="5">
        <f t="shared" si="23"/>
        <v>334</v>
      </c>
      <c r="M1049" s="2">
        <v>44529</v>
      </c>
    </row>
    <row r="1050" spans="1:13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  <c r="G1050">
        <f t="shared" si="22"/>
        <v>85.9</v>
      </c>
      <c r="I1050" s="5">
        <f t="shared" si="23"/>
        <v>323</v>
      </c>
      <c r="M1050" s="2">
        <v>44518</v>
      </c>
    </row>
    <row r="1051" spans="1:13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  <c r="G1051">
        <f t="shared" si="22"/>
        <v>91</v>
      </c>
      <c r="I1051" s="5">
        <f t="shared" si="23"/>
        <v>327</v>
      </c>
      <c r="M1051" s="2">
        <v>44522</v>
      </c>
    </row>
    <row r="1052" spans="1:13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  <c r="G1052">
        <f t="shared" si="22"/>
        <v>102.2</v>
      </c>
      <c r="I1052" s="5">
        <f t="shared" si="23"/>
        <v>323</v>
      </c>
      <c r="M1052" s="2">
        <v>44518</v>
      </c>
    </row>
    <row r="1053" spans="1:13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  <c r="G1053">
        <f t="shared" si="22"/>
        <v>107.1</v>
      </c>
      <c r="I1053" s="5">
        <f t="shared" si="23"/>
        <v>324</v>
      </c>
      <c r="M1053" s="2">
        <v>44519</v>
      </c>
    </row>
    <row r="1054" spans="1:13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  <c r="G1054">
        <f t="shared" si="22"/>
        <v>113.7</v>
      </c>
      <c r="I1054" s="5">
        <f t="shared" si="23"/>
        <v>334</v>
      </c>
      <c r="M1054" s="2">
        <v>44529</v>
      </c>
    </row>
    <row r="1055" spans="1:13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  <c r="G1055">
        <f t="shared" si="22"/>
        <v>111.4</v>
      </c>
      <c r="I1055" s="5">
        <f t="shared" si="23"/>
        <v>323</v>
      </c>
      <c r="M1055" s="2">
        <v>44518</v>
      </c>
    </row>
    <row r="1056" spans="1:13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  <c r="G1056">
        <f t="shared" si="22"/>
        <v>118.6</v>
      </c>
      <c r="H1056" t="s">
        <v>27</v>
      </c>
      <c r="I1056" s="5">
        <f t="shared" si="23"/>
        <v>327</v>
      </c>
      <c r="M1056" s="2">
        <v>44522</v>
      </c>
    </row>
    <row r="1057" spans="1:13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  <c r="G1057">
        <f t="shared" si="22"/>
        <v>120.7</v>
      </c>
      <c r="H1057" t="s">
        <v>27</v>
      </c>
      <c r="I1057" s="5">
        <f t="shared" si="23"/>
        <v>323</v>
      </c>
      <c r="M1057" s="2">
        <v>44518</v>
      </c>
    </row>
    <row r="1058" spans="1:13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  <c r="G1058">
        <f t="shared" si="22"/>
        <v>127</v>
      </c>
      <c r="I1058" s="5">
        <f t="shared" si="23"/>
        <v>324</v>
      </c>
      <c r="M1058" s="2">
        <v>44519</v>
      </c>
    </row>
    <row r="1059" spans="1:13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  <c r="G1059">
        <f t="shared" si="22"/>
        <v>126.8</v>
      </c>
      <c r="I1059" s="5">
        <f t="shared" si="23"/>
        <v>334</v>
      </c>
      <c r="M1059" s="2">
        <v>44529</v>
      </c>
    </row>
    <row r="1060" spans="1:13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  <c r="G1060">
        <f t="shared" si="22"/>
        <v>69.599999999999994</v>
      </c>
      <c r="I1060" s="5">
        <f t="shared" si="23"/>
        <v>323</v>
      </c>
      <c r="M1060" s="2">
        <v>44518</v>
      </c>
    </row>
    <row r="1061" spans="1:13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  <c r="G1061">
        <f t="shared" si="22"/>
        <v>80.2</v>
      </c>
      <c r="I1061" s="5">
        <f t="shared" si="23"/>
        <v>327</v>
      </c>
      <c r="M1061" s="2">
        <v>44522</v>
      </c>
    </row>
    <row r="1062" spans="1:13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  <c r="G1062">
        <f t="shared" si="22"/>
        <v>85.8</v>
      </c>
      <c r="I1062" s="5">
        <f t="shared" si="23"/>
        <v>323</v>
      </c>
      <c r="M1062" s="2">
        <v>44518</v>
      </c>
    </row>
    <row r="1063" spans="1:13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  <c r="G1063">
        <f t="shared" ref="G1063:G1126" si="24">F1063</f>
        <v>96.4</v>
      </c>
      <c r="I1063" s="5">
        <f t="shared" si="23"/>
        <v>324</v>
      </c>
      <c r="M1063" s="2">
        <v>44519</v>
      </c>
    </row>
    <row r="1064" spans="1:13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  <c r="G1064">
        <f t="shared" si="24"/>
        <v>106.7</v>
      </c>
      <c r="I1064" s="5">
        <f t="shared" si="23"/>
        <v>334</v>
      </c>
      <c r="M1064" s="2">
        <v>44529</v>
      </c>
    </row>
    <row r="1065" spans="1:13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  <c r="G1065">
        <f t="shared" si="24"/>
        <v>114</v>
      </c>
      <c r="I1065" s="5">
        <f t="shared" si="23"/>
        <v>323</v>
      </c>
      <c r="M1065" s="2">
        <v>44518</v>
      </c>
    </row>
    <row r="1066" spans="1:13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  <c r="G1066">
        <f t="shared" si="24"/>
        <v>111.3</v>
      </c>
      <c r="I1066" s="5">
        <f t="shared" si="23"/>
        <v>327</v>
      </c>
      <c r="M1066" s="2">
        <v>44522</v>
      </c>
    </row>
    <row r="1067" spans="1:13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  <c r="G1067">
        <f t="shared" si="24"/>
        <v>109.8</v>
      </c>
      <c r="H1067" t="s">
        <v>27</v>
      </c>
      <c r="I1067" s="5">
        <f t="shared" si="23"/>
        <v>323</v>
      </c>
      <c r="M1067" s="2">
        <v>44518</v>
      </c>
    </row>
    <row r="1068" spans="1:13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  <c r="G1068">
        <f t="shared" si="24"/>
        <v>112.7</v>
      </c>
      <c r="H1068" t="s">
        <v>27</v>
      </c>
      <c r="I1068" s="5">
        <f t="shared" si="23"/>
        <v>324</v>
      </c>
      <c r="M1068" s="2">
        <v>44519</v>
      </c>
    </row>
    <row r="1069" spans="1:13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  <c r="G1069">
        <f t="shared" si="24"/>
        <v>115.6</v>
      </c>
      <c r="I1069" s="5">
        <f t="shared" si="23"/>
        <v>334</v>
      </c>
      <c r="M1069" s="2">
        <v>44529</v>
      </c>
    </row>
    <row r="1070" spans="1:13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  <c r="G1070">
        <f t="shared" si="24"/>
        <v>117.9</v>
      </c>
      <c r="I1070" s="5">
        <f t="shared" si="23"/>
        <v>323</v>
      </c>
      <c r="M1070" s="2">
        <v>44518</v>
      </c>
    </row>
    <row r="1071" spans="1:13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  <c r="G1071">
        <f t="shared" si="24"/>
        <v>83.4</v>
      </c>
      <c r="I1071" s="5">
        <f t="shared" si="23"/>
        <v>327</v>
      </c>
      <c r="M1071" s="2">
        <v>44522</v>
      </c>
    </row>
    <row r="1072" spans="1:13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  <c r="G1072">
        <f t="shared" si="24"/>
        <v>94.3</v>
      </c>
      <c r="I1072" s="5">
        <f t="shared" si="23"/>
        <v>323</v>
      </c>
      <c r="M1072" s="2">
        <v>44518</v>
      </c>
    </row>
    <row r="1073" spans="1:13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  <c r="G1073">
        <f t="shared" si="24"/>
        <v>102.9</v>
      </c>
      <c r="I1073" s="5">
        <f t="shared" si="23"/>
        <v>324</v>
      </c>
      <c r="M1073" s="2">
        <v>44519</v>
      </c>
    </row>
    <row r="1074" spans="1:13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  <c r="G1074">
        <f t="shared" si="24"/>
        <v>104</v>
      </c>
      <c r="I1074" s="5">
        <f t="shared" si="23"/>
        <v>334</v>
      </c>
      <c r="M1074" s="2">
        <v>44529</v>
      </c>
    </row>
    <row r="1075" spans="1:13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  <c r="G1075">
        <f t="shared" si="24"/>
        <v>113.4</v>
      </c>
      <c r="I1075" s="5">
        <f t="shared" si="23"/>
        <v>323</v>
      </c>
      <c r="M1075" s="2">
        <v>44518</v>
      </c>
    </row>
    <row r="1076" spans="1:13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  <c r="G1076">
        <f t="shared" si="24"/>
        <v>125.8</v>
      </c>
      <c r="I1076" s="5">
        <f t="shared" si="23"/>
        <v>327</v>
      </c>
      <c r="M1076" s="2">
        <v>44522</v>
      </c>
    </row>
    <row r="1077" spans="1:13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  <c r="G1077">
        <f t="shared" si="24"/>
        <v>132.9</v>
      </c>
      <c r="I1077" s="5">
        <f t="shared" si="23"/>
        <v>323</v>
      </c>
      <c r="M1077" s="2">
        <v>44518</v>
      </c>
    </row>
    <row r="1078" spans="1:13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  <c r="G1078">
        <f t="shared" si="24"/>
        <v>139.80000000000001</v>
      </c>
      <c r="H1078" t="s">
        <v>27</v>
      </c>
      <c r="I1078" s="5">
        <f t="shared" si="23"/>
        <v>324</v>
      </c>
      <c r="M1078" s="2">
        <v>44519</v>
      </c>
    </row>
    <row r="1079" spans="1:13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  <c r="G1079">
        <f t="shared" si="24"/>
        <v>135.1</v>
      </c>
      <c r="H1079" t="s">
        <v>27</v>
      </c>
      <c r="I1079" s="5">
        <f t="shared" si="23"/>
        <v>334</v>
      </c>
      <c r="M1079" s="2">
        <v>44529</v>
      </c>
    </row>
    <row r="1080" spans="1:13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  <c r="G1080">
        <f t="shared" si="24"/>
        <v>138.1</v>
      </c>
      <c r="I1080" s="5">
        <f t="shared" ref="I1080:I1081" si="25" xml:space="preserve"> DATEDIF(DATE(YEAR(M1080),1,0),M1080,"d")+1</f>
        <v>323</v>
      </c>
      <c r="M1080" s="2">
        <v>44518</v>
      </c>
    </row>
    <row r="1081" spans="1:13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  <c r="G1081">
        <f t="shared" si="24"/>
        <v>142</v>
      </c>
      <c r="I1081" s="5">
        <f t="shared" si="25"/>
        <v>327</v>
      </c>
      <c r="M1081" s="2">
        <v>44522</v>
      </c>
    </row>
    <row r="1082" spans="1:13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  <c r="G1082">
        <f t="shared" si="24"/>
        <v>66.400000000000006</v>
      </c>
      <c r="I1082" s="4">
        <f t="shared" ref="I1082:I1145" si="26" xml:space="preserve"> DATEDIF(DATE(YEAR(M1082),1,0),M1082,"d")+1</f>
        <v>326</v>
      </c>
      <c r="M1082" s="2">
        <v>44886</v>
      </c>
    </row>
    <row r="1083" spans="1:13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  <c r="G1083">
        <f t="shared" si="24"/>
        <v>76.599999999999994</v>
      </c>
      <c r="I1083" s="4">
        <f t="shared" si="26"/>
        <v>327</v>
      </c>
      <c r="M1083" s="2">
        <v>44887</v>
      </c>
    </row>
    <row r="1084" spans="1:13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  <c r="G1084">
        <f t="shared" si="24"/>
        <v>82.4</v>
      </c>
      <c r="I1084" s="4">
        <f t="shared" si="26"/>
        <v>333</v>
      </c>
      <c r="M1084" s="2">
        <v>44893</v>
      </c>
    </row>
    <row r="1085" spans="1:13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  <c r="G1085">
        <f t="shared" si="24"/>
        <v>99.9</v>
      </c>
      <c r="I1085" s="4">
        <f t="shared" si="26"/>
        <v>326</v>
      </c>
      <c r="M1085" s="2">
        <v>44886</v>
      </c>
    </row>
    <row r="1086" spans="1:13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  <c r="G1086">
        <f t="shared" si="24"/>
        <v>91.4</v>
      </c>
      <c r="I1086" s="4">
        <f t="shared" si="26"/>
        <v>330</v>
      </c>
      <c r="M1086" s="2">
        <v>44890</v>
      </c>
    </row>
    <row r="1087" spans="1:13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  <c r="G1087">
        <f t="shared" si="24"/>
        <v>103.4</v>
      </c>
      <c r="I1087" s="4">
        <f t="shared" si="26"/>
        <v>326</v>
      </c>
      <c r="M1087" s="2">
        <v>44886</v>
      </c>
    </row>
    <row r="1088" spans="1:13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  <c r="G1088">
        <f t="shared" si="24"/>
        <v>107.5</v>
      </c>
      <c r="I1088" s="4">
        <f t="shared" si="26"/>
        <v>327</v>
      </c>
      <c r="M1088" s="2">
        <v>44887</v>
      </c>
    </row>
    <row r="1089" spans="1:13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  <c r="G1089">
        <f t="shared" si="24"/>
        <v>110</v>
      </c>
      <c r="I1089" s="4">
        <f t="shared" si="26"/>
        <v>333</v>
      </c>
      <c r="M1089" s="2">
        <v>44893</v>
      </c>
    </row>
    <row r="1090" spans="1:13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  <c r="G1090">
        <f t="shared" si="24"/>
        <v>111.3</v>
      </c>
      <c r="I1090" s="4">
        <f t="shared" si="26"/>
        <v>326</v>
      </c>
      <c r="M1090" s="2">
        <v>44886</v>
      </c>
    </row>
    <row r="1091" spans="1:13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  <c r="G1091">
        <f t="shared" si="24"/>
        <v>115.8</v>
      </c>
      <c r="H1091" t="s">
        <v>27</v>
      </c>
      <c r="I1091" s="4">
        <f t="shared" si="26"/>
        <v>330</v>
      </c>
      <c r="M1091" s="2">
        <v>44890</v>
      </c>
    </row>
    <row r="1092" spans="1:13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  <c r="G1092">
        <f t="shared" si="24"/>
        <v>115.8</v>
      </c>
      <c r="I1092" s="4">
        <f t="shared" si="26"/>
        <v>326</v>
      </c>
      <c r="M1092" s="2">
        <v>44886</v>
      </c>
    </row>
    <row r="1093" spans="1:13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  <c r="G1093">
        <f t="shared" si="24"/>
        <v>67.400000000000006</v>
      </c>
      <c r="I1093" s="5">
        <f t="shared" si="26"/>
        <v>330</v>
      </c>
      <c r="M1093" s="2">
        <v>44890</v>
      </c>
    </row>
    <row r="1094" spans="1:13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  <c r="G1094">
        <f t="shared" si="24"/>
        <v>75.3</v>
      </c>
      <c r="I1094" s="5">
        <f t="shared" si="26"/>
        <v>326</v>
      </c>
      <c r="M1094" s="2">
        <v>44886</v>
      </c>
    </row>
    <row r="1095" spans="1:13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  <c r="G1095">
        <f t="shared" si="24"/>
        <v>83.9</v>
      </c>
      <c r="I1095" s="5">
        <f t="shared" si="26"/>
        <v>327</v>
      </c>
      <c r="M1095" s="2">
        <v>44887</v>
      </c>
    </row>
    <row r="1096" spans="1:13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  <c r="G1096">
        <f t="shared" si="24"/>
        <v>94.4</v>
      </c>
      <c r="I1096" s="5">
        <f t="shared" si="26"/>
        <v>333</v>
      </c>
      <c r="M1096" s="2">
        <v>44893</v>
      </c>
    </row>
    <row r="1097" spans="1:13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  <c r="G1097">
        <f t="shared" si="24"/>
        <v>100.6</v>
      </c>
      <c r="I1097" s="5">
        <f t="shared" si="26"/>
        <v>326</v>
      </c>
      <c r="M1097" s="2">
        <v>44886</v>
      </c>
    </row>
    <row r="1098" spans="1:13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  <c r="G1098">
        <f t="shared" si="24"/>
        <v>103</v>
      </c>
      <c r="I1098" s="5">
        <f t="shared" si="26"/>
        <v>326</v>
      </c>
      <c r="M1098" s="2">
        <v>44886</v>
      </c>
    </row>
    <row r="1099" spans="1:13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  <c r="G1099">
        <f t="shared" si="24"/>
        <v>110.6</v>
      </c>
      <c r="I1099" s="5">
        <f t="shared" si="26"/>
        <v>326</v>
      </c>
      <c r="M1099" s="2">
        <v>44886</v>
      </c>
    </row>
    <row r="1100" spans="1:13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  <c r="G1100">
        <f t="shared" si="24"/>
        <v>114.6</v>
      </c>
      <c r="H1100" t="s">
        <v>27</v>
      </c>
      <c r="I1100" s="5">
        <f t="shared" si="26"/>
        <v>327</v>
      </c>
      <c r="M1100" s="2">
        <v>44887</v>
      </c>
    </row>
    <row r="1101" spans="1:13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  <c r="G1101">
        <f t="shared" si="24"/>
        <v>116.7</v>
      </c>
      <c r="H1101" t="s">
        <v>27</v>
      </c>
      <c r="I1101" s="5">
        <f t="shared" si="26"/>
        <v>333</v>
      </c>
      <c r="M1101" s="2">
        <v>44893</v>
      </c>
    </row>
    <row r="1102" spans="1:13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  <c r="G1102">
        <f t="shared" si="24"/>
        <v>118.8</v>
      </c>
      <c r="I1102" s="5">
        <f t="shared" si="26"/>
        <v>330</v>
      </c>
      <c r="M1102" s="2">
        <v>44890</v>
      </c>
    </row>
    <row r="1103" spans="1:13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  <c r="G1103">
        <f t="shared" si="24"/>
        <v>114.3</v>
      </c>
      <c r="I1103" s="5">
        <f t="shared" si="26"/>
        <v>326</v>
      </c>
      <c r="M1103" s="2">
        <v>44886</v>
      </c>
    </row>
    <row r="1104" spans="1:13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  <c r="G1104">
        <f t="shared" si="24"/>
        <v>80</v>
      </c>
      <c r="I1104" s="5">
        <f t="shared" si="26"/>
        <v>327</v>
      </c>
      <c r="M1104" s="2">
        <v>44887</v>
      </c>
    </row>
    <row r="1105" spans="1:13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  <c r="G1105">
        <f t="shared" si="24"/>
        <v>90.7</v>
      </c>
      <c r="I1105" s="5">
        <f t="shared" si="26"/>
        <v>333</v>
      </c>
      <c r="M1105" s="2">
        <v>44893</v>
      </c>
    </row>
    <row r="1106" spans="1:13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  <c r="G1106">
        <f t="shared" si="24"/>
        <v>104.6</v>
      </c>
      <c r="I1106" s="5">
        <f t="shared" si="26"/>
        <v>326</v>
      </c>
      <c r="M1106" s="2">
        <v>44886</v>
      </c>
    </row>
    <row r="1107" spans="1:13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  <c r="G1107">
        <f t="shared" si="24"/>
        <v>119.5</v>
      </c>
      <c r="I1107" s="5">
        <f t="shared" si="26"/>
        <v>330</v>
      </c>
      <c r="M1107" s="2">
        <v>44890</v>
      </c>
    </row>
    <row r="1108" spans="1:13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  <c r="G1108">
        <f t="shared" si="24"/>
        <v>129.5</v>
      </c>
      <c r="I1108" s="5">
        <f t="shared" si="26"/>
        <v>326</v>
      </c>
      <c r="M1108" s="2">
        <v>44886</v>
      </c>
    </row>
    <row r="1109" spans="1:13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  <c r="G1109">
        <f t="shared" si="24"/>
        <v>136.80000000000001</v>
      </c>
      <c r="I1109" s="5">
        <f t="shared" si="26"/>
        <v>327</v>
      </c>
      <c r="M1109" s="2">
        <v>44887</v>
      </c>
    </row>
    <row r="1110" spans="1:13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  <c r="G1110">
        <f t="shared" si="24"/>
        <v>135.19999999999999</v>
      </c>
      <c r="I1110" s="5">
        <f t="shared" si="26"/>
        <v>333</v>
      </c>
      <c r="M1110" s="2">
        <v>44893</v>
      </c>
    </row>
    <row r="1111" spans="1:13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  <c r="G1111">
        <f t="shared" si="24"/>
        <v>141.4</v>
      </c>
      <c r="H1111" t="s">
        <v>27</v>
      </c>
      <c r="I1111" s="5">
        <f t="shared" si="26"/>
        <v>326</v>
      </c>
      <c r="M1111" s="2">
        <v>44886</v>
      </c>
    </row>
    <row r="1112" spans="1:13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  <c r="G1112">
        <f t="shared" si="24"/>
        <v>140.5</v>
      </c>
      <c r="H1112" t="s">
        <v>27</v>
      </c>
      <c r="I1112" s="5">
        <f t="shared" si="26"/>
        <v>330</v>
      </c>
      <c r="M1112" s="2">
        <v>44890</v>
      </c>
    </row>
    <row r="1113" spans="1:13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  <c r="G1113">
        <f t="shared" si="24"/>
        <v>142.80000000000001</v>
      </c>
      <c r="I1113" s="5">
        <f t="shared" si="26"/>
        <v>326</v>
      </c>
      <c r="M1113" s="2">
        <v>44886</v>
      </c>
    </row>
    <row r="1114" spans="1:13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  <c r="G1114">
        <f t="shared" si="24"/>
        <v>131</v>
      </c>
      <c r="I1114" s="5">
        <f t="shared" si="26"/>
        <v>330</v>
      </c>
      <c r="M1114" s="2">
        <v>44890</v>
      </c>
    </row>
    <row r="1115" spans="1:13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  <c r="G1115">
        <f t="shared" si="24"/>
        <v>75.400000000000006</v>
      </c>
      <c r="I1115" s="5">
        <f t="shared" si="26"/>
        <v>326</v>
      </c>
      <c r="M1115" s="2">
        <v>44886</v>
      </c>
    </row>
    <row r="1116" spans="1:13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  <c r="G1116">
        <f t="shared" si="24"/>
        <v>86.8</v>
      </c>
      <c r="I1116" s="5">
        <f t="shared" si="26"/>
        <v>327</v>
      </c>
      <c r="M1116" s="2">
        <v>44887</v>
      </c>
    </row>
    <row r="1117" spans="1:13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  <c r="G1117">
        <f t="shared" si="24"/>
        <v>93.7</v>
      </c>
      <c r="I1117" s="5">
        <f t="shared" si="26"/>
        <v>333</v>
      </c>
      <c r="M1117" s="2">
        <v>44893</v>
      </c>
    </row>
    <row r="1118" spans="1:13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  <c r="G1118">
        <f t="shared" si="24"/>
        <v>104.6</v>
      </c>
      <c r="I1118" s="5">
        <f t="shared" si="26"/>
        <v>326</v>
      </c>
      <c r="M1118" s="2">
        <v>44886</v>
      </c>
    </row>
    <row r="1119" spans="1:13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  <c r="G1119">
        <f t="shared" si="24"/>
        <v>114.6</v>
      </c>
      <c r="I1119" s="5">
        <f t="shared" si="26"/>
        <v>327</v>
      </c>
      <c r="M1119" s="2">
        <v>44887</v>
      </c>
    </row>
    <row r="1120" spans="1:13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  <c r="G1120">
        <f t="shared" si="24"/>
        <v>128.6</v>
      </c>
      <c r="I1120" s="5">
        <f t="shared" si="26"/>
        <v>333</v>
      </c>
      <c r="M1120" s="2">
        <v>44893</v>
      </c>
    </row>
    <row r="1121" spans="1:13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  <c r="G1121">
        <f t="shared" si="24"/>
        <v>129.6</v>
      </c>
      <c r="I1121" s="5">
        <f t="shared" si="26"/>
        <v>326</v>
      </c>
      <c r="M1121" s="2">
        <v>44886</v>
      </c>
    </row>
    <row r="1122" spans="1:13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  <c r="G1122">
        <f t="shared" si="24"/>
        <v>138.69999999999999</v>
      </c>
      <c r="H1122" t="s">
        <v>27</v>
      </c>
      <c r="I1122" s="5">
        <f t="shared" si="26"/>
        <v>330</v>
      </c>
      <c r="M1122" s="2">
        <v>44890</v>
      </c>
    </row>
    <row r="1123" spans="1:13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  <c r="G1123">
        <f t="shared" si="24"/>
        <v>136.9</v>
      </c>
      <c r="H1123" t="s">
        <v>27</v>
      </c>
      <c r="I1123" s="5">
        <f t="shared" si="26"/>
        <v>326</v>
      </c>
      <c r="M1123" s="2">
        <v>44886</v>
      </c>
    </row>
    <row r="1124" spans="1:13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  <c r="G1124">
        <f t="shared" si="24"/>
        <v>131.5</v>
      </c>
      <c r="I1124" s="5">
        <f t="shared" si="26"/>
        <v>327</v>
      </c>
      <c r="M1124" s="2">
        <v>44887</v>
      </c>
    </row>
    <row r="1125" spans="1:13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  <c r="G1125">
        <f t="shared" si="24"/>
        <v>133</v>
      </c>
      <c r="I1125" s="5">
        <f t="shared" si="26"/>
        <v>333</v>
      </c>
      <c r="M1125" s="2">
        <v>44893</v>
      </c>
    </row>
    <row r="1126" spans="1:13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  <c r="G1126">
        <f t="shared" si="24"/>
        <v>63.7</v>
      </c>
      <c r="I1126" s="5">
        <f t="shared" si="26"/>
        <v>326</v>
      </c>
      <c r="M1126" s="2">
        <v>44886</v>
      </c>
    </row>
    <row r="1127" spans="1:13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  <c r="G1127">
        <f t="shared" ref="G1127:G1190" si="27">F1127</f>
        <v>72.7</v>
      </c>
      <c r="I1127" s="5">
        <f t="shared" si="26"/>
        <v>330</v>
      </c>
      <c r="M1127" s="2">
        <v>44890</v>
      </c>
    </row>
    <row r="1128" spans="1:13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  <c r="G1128">
        <f t="shared" si="27"/>
        <v>78.599999999999994</v>
      </c>
      <c r="I1128" s="5">
        <f t="shared" si="26"/>
        <v>326</v>
      </c>
      <c r="M1128" s="2">
        <v>44886</v>
      </c>
    </row>
    <row r="1129" spans="1:13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  <c r="G1129">
        <f t="shared" si="27"/>
        <v>86.5</v>
      </c>
      <c r="I1129" s="5">
        <f t="shared" si="26"/>
        <v>327</v>
      </c>
      <c r="M1129" s="2">
        <v>44887</v>
      </c>
    </row>
    <row r="1130" spans="1:13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  <c r="G1130">
        <f t="shared" si="27"/>
        <v>95.4</v>
      </c>
      <c r="I1130" s="5">
        <f t="shared" si="26"/>
        <v>333</v>
      </c>
      <c r="M1130" s="2">
        <v>44893</v>
      </c>
    </row>
    <row r="1131" spans="1:13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  <c r="G1131">
        <f t="shared" si="27"/>
        <v>101.4</v>
      </c>
      <c r="I1131" s="5">
        <f t="shared" si="26"/>
        <v>326</v>
      </c>
      <c r="M1131" s="2">
        <v>44886</v>
      </c>
    </row>
    <row r="1132" spans="1:13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  <c r="G1132">
        <f t="shared" si="27"/>
        <v>108</v>
      </c>
      <c r="I1132" s="5">
        <f t="shared" si="26"/>
        <v>330</v>
      </c>
      <c r="M1132" s="2">
        <v>44890</v>
      </c>
    </row>
    <row r="1133" spans="1:13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  <c r="G1133">
        <f t="shared" si="27"/>
        <v>112.4</v>
      </c>
      <c r="H1133" t="s">
        <v>27</v>
      </c>
      <c r="I1133" s="5">
        <f t="shared" si="26"/>
        <v>326</v>
      </c>
      <c r="M1133" s="2">
        <v>44886</v>
      </c>
    </row>
    <row r="1134" spans="1:13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  <c r="G1134">
        <f t="shared" si="27"/>
        <v>117.5</v>
      </c>
      <c r="H1134" t="s">
        <v>27</v>
      </c>
      <c r="I1134" s="5">
        <f t="shared" si="26"/>
        <v>327</v>
      </c>
      <c r="M1134" s="2">
        <v>44887</v>
      </c>
    </row>
    <row r="1135" spans="1:13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  <c r="G1135">
        <f t="shared" si="27"/>
        <v>116.8</v>
      </c>
      <c r="I1135" s="5">
        <f t="shared" si="26"/>
        <v>333</v>
      </c>
      <c r="M1135" s="2">
        <v>44893</v>
      </c>
    </row>
    <row r="1136" spans="1:13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  <c r="G1136">
        <f t="shared" si="27"/>
        <v>113.2</v>
      </c>
      <c r="I1136" s="5">
        <f t="shared" si="26"/>
        <v>326</v>
      </c>
      <c r="M1136" s="2">
        <v>44886</v>
      </c>
    </row>
    <row r="1137" spans="1:13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  <c r="G1137">
        <f t="shared" si="27"/>
        <v>61.4</v>
      </c>
      <c r="I1137" s="5">
        <f t="shared" si="26"/>
        <v>330</v>
      </c>
      <c r="M1137" s="2">
        <v>44890</v>
      </c>
    </row>
    <row r="1138" spans="1:13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  <c r="G1138">
        <f t="shared" si="27"/>
        <v>67.8</v>
      </c>
      <c r="I1138" s="5">
        <f t="shared" si="26"/>
        <v>326</v>
      </c>
      <c r="M1138" s="2">
        <v>44886</v>
      </c>
    </row>
    <row r="1139" spans="1:13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  <c r="G1139">
        <f t="shared" si="27"/>
        <v>73.099999999999994</v>
      </c>
      <c r="I1139" s="5">
        <f t="shared" si="26"/>
        <v>333</v>
      </c>
      <c r="M1139" s="2">
        <v>44893</v>
      </c>
    </row>
    <row r="1140" spans="1:13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  <c r="G1140">
        <f t="shared" si="27"/>
        <v>78.099999999999994</v>
      </c>
      <c r="I1140" s="5">
        <f t="shared" si="26"/>
        <v>326</v>
      </c>
      <c r="M1140" s="2">
        <v>44886</v>
      </c>
    </row>
    <row r="1141" spans="1:13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  <c r="G1141">
        <f t="shared" si="27"/>
        <v>84.1</v>
      </c>
      <c r="I1141" s="5">
        <f t="shared" si="26"/>
        <v>327</v>
      </c>
      <c r="M1141" s="2">
        <v>44887</v>
      </c>
    </row>
    <row r="1142" spans="1:13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  <c r="G1142">
        <f t="shared" si="27"/>
        <v>89.9</v>
      </c>
      <c r="I1142" s="5">
        <f t="shared" si="26"/>
        <v>330</v>
      </c>
      <c r="M1142" s="2">
        <v>44890</v>
      </c>
    </row>
    <row r="1143" spans="1:13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  <c r="G1143">
        <f t="shared" si="27"/>
        <v>95.9</v>
      </c>
      <c r="I1143" s="5">
        <f t="shared" si="26"/>
        <v>326</v>
      </c>
      <c r="M1143" s="2">
        <v>44886</v>
      </c>
    </row>
    <row r="1144" spans="1:13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  <c r="G1144">
        <f t="shared" si="27"/>
        <v>97.4</v>
      </c>
      <c r="H1144" t="s">
        <v>27</v>
      </c>
      <c r="I1144" s="5">
        <f t="shared" si="26"/>
        <v>327</v>
      </c>
      <c r="M1144" s="2">
        <v>44887</v>
      </c>
    </row>
    <row r="1145" spans="1:13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  <c r="G1145">
        <f t="shared" si="27"/>
        <v>97.8</v>
      </c>
      <c r="H1145" t="s">
        <v>27</v>
      </c>
      <c r="I1145" s="5">
        <f t="shared" si="26"/>
        <v>333</v>
      </c>
      <c r="M1145" s="2">
        <v>44893</v>
      </c>
    </row>
    <row r="1146" spans="1:13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  <c r="G1146">
        <f t="shared" si="27"/>
        <v>99.8</v>
      </c>
      <c r="I1146" s="5">
        <f t="shared" ref="I1146:I1147" si="28" xml:space="preserve"> DATEDIF(DATE(YEAR(M1146),1,0),M1146,"d")+1</f>
        <v>326</v>
      </c>
      <c r="M1146" s="2">
        <v>44886</v>
      </c>
    </row>
    <row r="1147" spans="1:13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  <c r="G1147">
        <f t="shared" si="27"/>
        <v>109.6</v>
      </c>
      <c r="I1147" s="5">
        <f t="shared" si="28"/>
        <v>330</v>
      </c>
      <c r="M1147" s="2">
        <v>44890</v>
      </c>
    </row>
    <row r="1148" spans="1:13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  <c r="G1148">
        <f t="shared" si="27"/>
        <v>73.099999999999994</v>
      </c>
      <c r="I1148" s="4">
        <f t="shared" ref="I1148:I1211" si="29" xml:space="preserve"> DATEDIF(DATE(YEAR(M1148),1,0),M1148,"d")+1</f>
        <v>334</v>
      </c>
      <c r="M1148" s="2">
        <v>45259</v>
      </c>
    </row>
    <row r="1149" spans="1:13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  <c r="G1149">
        <f t="shared" si="27"/>
        <v>87.7</v>
      </c>
      <c r="I1149" s="4">
        <f t="shared" si="29"/>
        <v>328</v>
      </c>
      <c r="M1149" s="2">
        <v>45253</v>
      </c>
    </row>
    <row r="1150" spans="1:13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  <c r="G1150">
        <f t="shared" si="27"/>
        <v>103</v>
      </c>
      <c r="I1150" s="4">
        <f t="shared" si="29"/>
        <v>326</v>
      </c>
      <c r="M1150" s="2">
        <v>45251</v>
      </c>
    </row>
    <row r="1151" spans="1:13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  <c r="G1151">
        <f t="shared" si="27"/>
        <v>104.4</v>
      </c>
      <c r="I1151" s="4">
        <f t="shared" si="29"/>
        <v>333</v>
      </c>
      <c r="M1151" s="2">
        <v>45258</v>
      </c>
    </row>
    <row r="1152" spans="1:13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  <c r="G1152">
        <f t="shared" si="27"/>
        <v>120.2</v>
      </c>
      <c r="I1152" s="4">
        <f t="shared" si="29"/>
        <v>327</v>
      </c>
      <c r="M1152" s="2">
        <v>45252</v>
      </c>
    </row>
    <row r="1153" spans="1:13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  <c r="G1153">
        <f t="shared" si="27"/>
        <v>122.5</v>
      </c>
      <c r="I1153" s="4">
        <f t="shared" si="29"/>
        <v>328</v>
      </c>
      <c r="M1153" s="2">
        <v>45253</v>
      </c>
    </row>
    <row r="1154" spans="1:13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  <c r="G1154">
        <f t="shared" si="27"/>
        <v>126.6</v>
      </c>
      <c r="I1154" s="4">
        <f t="shared" si="29"/>
        <v>333</v>
      </c>
      <c r="M1154" s="2">
        <v>45258</v>
      </c>
    </row>
    <row r="1155" spans="1:13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  <c r="G1155">
        <f t="shared" si="27"/>
        <v>126.7</v>
      </c>
      <c r="I1155" s="4">
        <f t="shared" si="29"/>
        <v>334</v>
      </c>
      <c r="M1155" s="2">
        <v>45259</v>
      </c>
    </row>
    <row r="1156" spans="1:13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  <c r="G1156">
        <f t="shared" si="27"/>
        <v>129</v>
      </c>
      <c r="H1156" t="s">
        <v>27</v>
      </c>
      <c r="I1156" s="4">
        <f t="shared" si="29"/>
        <v>326</v>
      </c>
      <c r="M1156" s="2">
        <v>45251</v>
      </c>
    </row>
    <row r="1157" spans="1:13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  <c r="G1157">
        <f t="shared" si="27"/>
        <v>129.19999999999999</v>
      </c>
      <c r="I1157" s="4">
        <f t="shared" si="29"/>
        <v>327</v>
      </c>
      <c r="M1157" s="2">
        <v>45252</v>
      </c>
    </row>
    <row r="1158" spans="1:13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  <c r="G1158">
        <f t="shared" si="27"/>
        <v>126.5</v>
      </c>
      <c r="I1158" s="4">
        <f t="shared" si="29"/>
        <v>334</v>
      </c>
      <c r="M1158" s="2">
        <v>45259</v>
      </c>
    </row>
    <row r="1159" spans="1:13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  <c r="G1159">
        <f t="shared" si="27"/>
        <v>58</v>
      </c>
      <c r="I1159" s="5">
        <f t="shared" si="29"/>
        <v>326</v>
      </c>
      <c r="M1159" s="2">
        <v>45251</v>
      </c>
    </row>
    <row r="1160" spans="1:13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  <c r="G1160">
        <f t="shared" si="27"/>
        <v>70.2</v>
      </c>
      <c r="I1160" s="5">
        <f t="shared" si="29"/>
        <v>333</v>
      </c>
      <c r="M1160" s="2">
        <v>45258</v>
      </c>
    </row>
    <row r="1161" spans="1:13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  <c r="G1161">
        <f t="shared" si="27"/>
        <v>77.8</v>
      </c>
      <c r="I1161" s="5">
        <f t="shared" si="29"/>
        <v>327</v>
      </c>
      <c r="M1161" s="2">
        <v>45252</v>
      </c>
    </row>
    <row r="1162" spans="1:13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  <c r="G1162">
        <f t="shared" si="27"/>
        <v>83.2</v>
      </c>
      <c r="I1162" s="5">
        <f t="shared" si="29"/>
        <v>334</v>
      </c>
      <c r="M1162" s="2">
        <v>45259</v>
      </c>
    </row>
    <row r="1163" spans="1:13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  <c r="G1163">
        <f t="shared" si="27"/>
        <v>87</v>
      </c>
      <c r="I1163" s="5">
        <f t="shared" si="29"/>
        <v>328</v>
      </c>
      <c r="M1163" s="2">
        <v>45253</v>
      </c>
    </row>
    <row r="1164" spans="1:13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  <c r="G1164">
        <f t="shared" si="27"/>
        <v>83.7</v>
      </c>
      <c r="H1164" t="s">
        <v>27</v>
      </c>
      <c r="I1164" s="5">
        <f t="shared" si="29"/>
        <v>333</v>
      </c>
      <c r="M1164" s="2">
        <v>45258</v>
      </c>
    </row>
    <row r="1165" spans="1:13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  <c r="G1165">
        <f t="shared" si="27"/>
        <v>87</v>
      </c>
      <c r="H1165" t="s">
        <v>27</v>
      </c>
      <c r="I1165" s="5">
        <f t="shared" si="29"/>
        <v>327</v>
      </c>
      <c r="M1165" s="2">
        <v>45252</v>
      </c>
    </row>
    <row r="1166" spans="1:13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  <c r="G1166">
        <f t="shared" si="27"/>
        <v>93</v>
      </c>
      <c r="I1166" s="5">
        <f t="shared" si="29"/>
        <v>334</v>
      </c>
      <c r="M1166" s="2">
        <v>45259</v>
      </c>
    </row>
    <row r="1167" spans="1:13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  <c r="G1167">
        <f t="shared" si="27"/>
        <v>91</v>
      </c>
      <c r="I1167" s="5">
        <f t="shared" si="29"/>
        <v>328</v>
      </c>
      <c r="M1167" s="2">
        <v>45253</v>
      </c>
    </row>
    <row r="1168" spans="1:13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  <c r="G1168">
        <f t="shared" si="27"/>
        <v>98.4</v>
      </c>
      <c r="I1168" s="5">
        <f t="shared" si="29"/>
        <v>326</v>
      </c>
      <c r="M1168" s="2">
        <v>45251</v>
      </c>
    </row>
    <row r="1169" spans="1:13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  <c r="G1169">
        <f t="shared" si="27"/>
        <v>84.8</v>
      </c>
      <c r="I1169" s="5">
        <f t="shared" si="29"/>
        <v>326</v>
      </c>
      <c r="M1169" s="2">
        <v>45251</v>
      </c>
    </row>
    <row r="1170" spans="1:13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  <c r="G1170">
        <f t="shared" si="27"/>
        <v>65.2</v>
      </c>
      <c r="I1170" s="5">
        <f t="shared" si="29"/>
        <v>333</v>
      </c>
      <c r="M1170" s="2">
        <v>45258</v>
      </c>
    </row>
    <row r="1171" spans="1:13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  <c r="G1171">
        <f t="shared" si="27"/>
        <v>83.2</v>
      </c>
      <c r="I1171" s="5">
        <f t="shared" si="29"/>
        <v>327</v>
      </c>
      <c r="M1171" s="2">
        <v>45252</v>
      </c>
    </row>
    <row r="1172" spans="1:13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  <c r="G1172">
        <f t="shared" si="27"/>
        <v>84.1</v>
      </c>
      <c r="I1172" s="5">
        <f t="shared" si="29"/>
        <v>334</v>
      </c>
      <c r="M1172" s="2">
        <v>45259</v>
      </c>
    </row>
    <row r="1173" spans="1:13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  <c r="G1173">
        <f t="shared" si="27"/>
        <v>93.8</v>
      </c>
      <c r="I1173" s="5">
        <f t="shared" si="29"/>
        <v>328</v>
      </c>
      <c r="M1173" s="2">
        <v>45253</v>
      </c>
    </row>
    <row r="1174" spans="1:13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  <c r="G1174">
        <f t="shared" si="27"/>
        <v>99.2</v>
      </c>
      <c r="I1174" s="5">
        <f t="shared" si="29"/>
        <v>327</v>
      </c>
      <c r="M1174" s="2">
        <v>45252</v>
      </c>
    </row>
    <row r="1175" spans="1:13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  <c r="G1175">
        <f t="shared" si="27"/>
        <v>103.7</v>
      </c>
      <c r="H1175" t="s">
        <v>27</v>
      </c>
      <c r="I1175" s="5">
        <f t="shared" si="29"/>
        <v>334</v>
      </c>
      <c r="M1175" s="2">
        <v>45259</v>
      </c>
    </row>
    <row r="1176" spans="1:13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  <c r="G1176">
        <f t="shared" si="27"/>
        <v>108.9</v>
      </c>
      <c r="H1176" t="s">
        <v>27</v>
      </c>
      <c r="I1176" s="5">
        <f t="shared" si="29"/>
        <v>328</v>
      </c>
      <c r="M1176" s="2">
        <v>45253</v>
      </c>
    </row>
    <row r="1177" spans="1:13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  <c r="G1177">
        <f t="shared" si="27"/>
        <v>117.1</v>
      </c>
      <c r="I1177" s="5">
        <f t="shared" si="29"/>
        <v>326</v>
      </c>
      <c r="M1177" s="2">
        <v>45251</v>
      </c>
    </row>
    <row r="1178" spans="1:13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  <c r="G1178">
        <f t="shared" si="27"/>
        <v>113.1</v>
      </c>
      <c r="I1178" s="5">
        <f t="shared" si="29"/>
        <v>333</v>
      </c>
      <c r="M1178" s="2">
        <v>45258</v>
      </c>
    </row>
    <row r="1179" spans="1:13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  <c r="G1179">
        <f t="shared" si="27"/>
        <v>115.1</v>
      </c>
      <c r="I1179" s="5">
        <f t="shared" si="29"/>
        <v>327</v>
      </c>
      <c r="M1179" s="2">
        <v>45252</v>
      </c>
    </row>
    <row r="1180" spans="1:13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  <c r="G1180">
        <f t="shared" si="27"/>
        <v>114.5</v>
      </c>
      <c r="I1180" s="5">
        <f t="shared" si="29"/>
        <v>334</v>
      </c>
      <c r="M1180" s="2">
        <v>45259</v>
      </c>
    </row>
    <row r="1181" spans="1:13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  <c r="G1181">
        <f t="shared" si="27"/>
        <v>59.9</v>
      </c>
      <c r="I1181" s="5">
        <f t="shared" si="29"/>
        <v>328</v>
      </c>
      <c r="M1181" s="2">
        <v>45253</v>
      </c>
    </row>
    <row r="1182" spans="1:13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  <c r="G1182">
        <f t="shared" si="27"/>
        <v>66.7</v>
      </c>
      <c r="I1182" s="5">
        <f t="shared" si="29"/>
        <v>326</v>
      </c>
      <c r="M1182" s="2">
        <v>45251</v>
      </c>
    </row>
    <row r="1183" spans="1:13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  <c r="G1183">
        <f t="shared" si="27"/>
        <v>74.900000000000006</v>
      </c>
      <c r="I1183" s="5">
        <f t="shared" si="29"/>
        <v>333</v>
      </c>
      <c r="M1183" s="2">
        <v>45258</v>
      </c>
    </row>
    <row r="1184" spans="1:13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  <c r="G1184">
        <f t="shared" si="27"/>
        <v>85.1</v>
      </c>
      <c r="I1184" s="5">
        <f t="shared" si="29"/>
        <v>327</v>
      </c>
      <c r="M1184" s="2">
        <v>45252</v>
      </c>
    </row>
    <row r="1185" spans="1:13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  <c r="G1185">
        <f t="shared" si="27"/>
        <v>90.7</v>
      </c>
      <c r="I1185" s="5">
        <f t="shared" si="29"/>
        <v>328</v>
      </c>
      <c r="M1185" s="2">
        <v>45253</v>
      </c>
    </row>
    <row r="1186" spans="1:13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  <c r="G1186">
        <f t="shared" si="27"/>
        <v>91.8</v>
      </c>
      <c r="H1186" t="s">
        <v>27</v>
      </c>
      <c r="I1186" s="5">
        <f t="shared" si="29"/>
        <v>333</v>
      </c>
      <c r="M1186" s="2">
        <v>45258</v>
      </c>
    </row>
    <row r="1187" spans="1:13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  <c r="G1187">
        <f t="shared" si="27"/>
        <v>98.2</v>
      </c>
      <c r="H1187" t="s">
        <v>27</v>
      </c>
      <c r="I1187" s="5">
        <f t="shared" si="29"/>
        <v>334</v>
      </c>
      <c r="M1187" s="2">
        <v>45259</v>
      </c>
    </row>
    <row r="1188" spans="1:13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  <c r="G1188">
        <f t="shared" si="27"/>
        <v>101.7</v>
      </c>
      <c r="I1188" s="5">
        <f t="shared" si="29"/>
        <v>326</v>
      </c>
      <c r="M1188" s="2">
        <v>45251</v>
      </c>
    </row>
    <row r="1189" spans="1:13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  <c r="G1189">
        <f t="shared" si="27"/>
        <v>103.3</v>
      </c>
      <c r="I1189" s="5">
        <f t="shared" si="29"/>
        <v>327</v>
      </c>
      <c r="M1189" s="2">
        <v>45252</v>
      </c>
    </row>
    <row r="1190" spans="1:13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  <c r="G1190">
        <f t="shared" si="27"/>
        <v>99.2</v>
      </c>
      <c r="I1190" s="5">
        <f t="shared" si="29"/>
        <v>334</v>
      </c>
      <c r="M1190" s="2">
        <v>45259</v>
      </c>
    </row>
    <row r="1191" spans="1:13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  <c r="G1191">
        <f t="shared" ref="G1191:G1224" si="30">F1191</f>
        <v>99.8</v>
      </c>
      <c r="I1191" s="5">
        <f t="shared" si="29"/>
        <v>333</v>
      </c>
      <c r="M1191" s="2">
        <v>45258</v>
      </c>
    </row>
    <row r="1192" spans="1:13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  <c r="G1192">
        <f t="shared" si="30"/>
        <v>57.1</v>
      </c>
      <c r="I1192" s="5">
        <f t="shared" si="29"/>
        <v>328</v>
      </c>
      <c r="M1192" s="2">
        <v>45253</v>
      </c>
    </row>
    <row r="1193" spans="1:13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  <c r="G1193">
        <f t="shared" si="30"/>
        <v>71.099999999999994</v>
      </c>
      <c r="I1193" s="5">
        <f t="shared" si="29"/>
        <v>326</v>
      </c>
      <c r="M1193" s="2">
        <v>45251</v>
      </c>
    </row>
    <row r="1194" spans="1:13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  <c r="G1194">
        <f t="shared" si="30"/>
        <v>77</v>
      </c>
      <c r="I1194" s="5">
        <f t="shared" si="29"/>
        <v>328</v>
      </c>
      <c r="M1194" s="2">
        <v>45253</v>
      </c>
    </row>
    <row r="1195" spans="1:13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  <c r="G1195">
        <f t="shared" si="30"/>
        <v>83.1</v>
      </c>
      <c r="I1195" s="5">
        <f t="shared" si="29"/>
        <v>333</v>
      </c>
      <c r="M1195" s="2">
        <v>45258</v>
      </c>
    </row>
    <row r="1196" spans="1:13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  <c r="G1196">
        <f t="shared" si="30"/>
        <v>87.3</v>
      </c>
      <c r="I1196" s="5">
        <f t="shared" si="29"/>
        <v>327</v>
      </c>
      <c r="M1196" s="2">
        <v>45252</v>
      </c>
    </row>
    <row r="1197" spans="1:13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  <c r="G1197">
        <f t="shared" si="30"/>
        <v>86.6</v>
      </c>
      <c r="H1197" t="s">
        <v>27</v>
      </c>
      <c r="I1197" s="5">
        <f t="shared" si="29"/>
        <v>334</v>
      </c>
      <c r="M1197" s="2">
        <v>45259</v>
      </c>
    </row>
    <row r="1198" spans="1:13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  <c r="G1198">
        <f t="shared" si="30"/>
        <v>90.1</v>
      </c>
      <c r="H1198" t="s">
        <v>27</v>
      </c>
      <c r="I1198" s="5">
        <f t="shared" si="29"/>
        <v>326</v>
      </c>
      <c r="M1198" s="2">
        <v>45251</v>
      </c>
    </row>
    <row r="1199" spans="1:13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  <c r="G1199">
        <f t="shared" si="30"/>
        <v>99.7</v>
      </c>
      <c r="I1199" s="5">
        <f t="shared" si="29"/>
        <v>327</v>
      </c>
      <c r="M1199" s="2">
        <v>45252</v>
      </c>
    </row>
    <row r="1200" spans="1:13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  <c r="G1200">
        <f t="shared" si="30"/>
        <v>101.1</v>
      </c>
      <c r="I1200" s="5">
        <f t="shared" si="29"/>
        <v>334</v>
      </c>
      <c r="M1200" s="2">
        <v>45259</v>
      </c>
    </row>
    <row r="1201" spans="1:13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  <c r="G1201">
        <f t="shared" si="30"/>
        <v>100.3</v>
      </c>
      <c r="I1201" s="5">
        <f t="shared" si="29"/>
        <v>328</v>
      </c>
      <c r="M1201" s="2">
        <v>45253</v>
      </c>
    </row>
    <row r="1202" spans="1:13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  <c r="G1202">
        <f t="shared" si="30"/>
        <v>97.4</v>
      </c>
      <c r="I1202" s="5">
        <f t="shared" si="29"/>
        <v>326</v>
      </c>
      <c r="M1202" s="2">
        <v>45251</v>
      </c>
    </row>
    <row r="1203" spans="1:13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  <c r="G1203">
        <f t="shared" si="30"/>
        <v>64.400000000000006</v>
      </c>
      <c r="I1203" s="5">
        <f t="shared" si="29"/>
        <v>333</v>
      </c>
      <c r="M1203" s="2">
        <v>45258</v>
      </c>
    </row>
    <row r="1204" spans="1:13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  <c r="G1204">
        <f t="shared" si="30"/>
        <v>68.599999999999994</v>
      </c>
      <c r="I1204" s="5">
        <f t="shared" si="29"/>
        <v>327</v>
      </c>
      <c r="M1204" s="2">
        <v>45252</v>
      </c>
    </row>
    <row r="1205" spans="1:13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  <c r="G1205">
        <f t="shared" si="30"/>
        <v>86.5</v>
      </c>
      <c r="I1205" s="5">
        <f t="shared" si="29"/>
        <v>328</v>
      </c>
      <c r="M1205" s="2">
        <v>45253</v>
      </c>
    </row>
    <row r="1206" spans="1:13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  <c r="G1206">
        <f t="shared" si="30"/>
        <v>90</v>
      </c>
      <c r="I1206" s="5">
        <f t="shared" si="29"/>
        <v>334</v>
      </c>
      <c r="M1206" s="2">
        <v>45259</v>
      </c>
    </row>
    <row r="1207" spans="1:13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  <c r="G1207">
        <f t="shared" si="30"/>
        <v>98.4</v>
      </c>
      <c r="I1207" s="5">
        <f t="shared" si="29"/>
        <v>326</v>
      </c>
      <c r="M1207" s="2">
        <v>45251</v>
      </c>
    </row>
    <row r="1208" spans="1:13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  <c r="G1208">
        <f t="shared" si="30"/>
        <v>102.7</v>
      </c>
      <c r="H1208" t="s">
        <v>27</v>
      </c>
      <c r="I1208" s="5">
        <f t="shared" si="29"/>
        <v>333</v>
      </c>
      <c r="M1208" s="2">
        <v>45258</v>
      </c>
    </row>
    <row r="1209" spans="1:13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  <c r="G1209">
        <f t="shared" si="30"/>
        <v>102.3</v>
      </c>
      <c r="H1209" t="s">
        <v>27</v>
      </c>
      <c r="I1209" s="5">
        <f t="shared" si="29"/>
        <v>334</v>
      </c>
      <c r="M1209" s="2">
        <v>45259</v>
      </c>
    </row>
    <row r="1210" spans="1:13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  <c r="G1210">
        <f t="shared" si="30"/>
        <v>103.9</v>
      </c>
      <c r="I1210" s="5">
        <f t="shared" si="29"/>
        <v>326</v>
      </c>
      <c r="M1210" s="2">
        <v>45251</v>
      </c>
    </row>
    <row r="1211" spans="1:13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  <c r="G1211">
        <f t="shared" si="30"/>
        <v>100.2</v>
      </c>
      <c r="I1211" s="5">
        <f t="shared" si="29"/>
        <v>333</v>
      </c>
      <c r="M1211" s="2">
        <v>45258</v>
      </c>
    </row>
    <row r="1212" spans="1:13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  <c r="G1212">
        <f t="shared" si="30"/>
        <v>103</v>
      </c>
      <c r="I1212" s="5">
        <f t="shared" ref="I1212" si="31" xml:space="preserve"> DATEDIF(DATE(YEAR(M1212),1,0),M1212,"d")+1</f>
        <v>327</v>
      </c>
      <c r="M1212" s="2">
        <v>45252</v>
      </c>
    </row>
    <row r="1213" spans="1:13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  <c r="G1213">
        <f t="shared" si="30"/>
        <v>101.2</v>
      </c>
      <c r="M1213" s="2">
        <v>45253</v>
      </c>
    </row>
    <row r="1214" spans="1:13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  <c r="G1214">
        <f t="shared" si="30"/>
        <v>67.5</v>
      </c>
      <c r="I1214" s="4">
        <f t="shared" ref="I1214:I1224" si="32" xml:space="preserve"> DATEDIF(DATE(YEAR(M1214),1,0),M1214,"d")+1</f>
        <v>327</v>
      </c>
      <c r="M1214" s="2">
        <v>45252</v>
      </c>
    </row>
    <row r="1215" spans="1:13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  <c r="G1215">
        <f t="shared" si="30"/>
        <v>78.2</v>
      </c>
      <c r="I1215" s="4">
        <f t="shared" si="32"/>
        <v>327</v>
      </c>
      <c r="M1215" s="2">
        <v>45252</v>
      </c>
    </row>
    <row r="1216" spans="1:13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  <c r="G1216">
        <f t="shared" si="30"/>
        <v>86.7</v>
      </c>
      <c r="I1216" s="4">
        <f t="shared" si="32"/>
        <v>327</v>
      </c>
      <c r="M1216" s="2">
        <v>45252</v>
      </c>
    </row>
    <row r="1217" spans="1:13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  <c r="G1217">
        <f t="shared" si="30"/>
        <v>92.6</v>
      </c>
      <c r="I1217" s="4">
        <f t="shared" si="32"/>
        <v>327</v>
      </c>
      <c r="M1217" s="2">
        <v>45252</v>
      </c>
    </row>
    <row r="1218" spans="1:13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  <c r="G1218">
        <f t="shared" si="30"/>
        <v>99.8</v>
      </c>
      <c r="I1218" s="4">
        <f t="shared" si="32"/>
        <v>327</v>
      </c>
      <c r="M1218" s="2">
        <v>45252</v>
      </c>
    </row>
    <row r="1219" spans="1:13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  <c r="G1219">
        <f t="shared" si="30"/>
        <v>103.5</v>
      </c>
      <c r="I1219" s="4">
        <f t="shared" si="32"/>
        <v>327</v>
      </c>
      <c r="M1219" s="2">
        <v>45252</v>
      </c>
    </row>
    <row r="1220" spans="1:13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  <c r="G1220">
        <f t="shared" si="30"/>
        <v>113.8</v>
      </c>
      <c r="H1220" t="s">
        <v>27</v>
      </c>
      <c r="I1220" s="4">
        <f t="shared" si="32"/>
        <v>327</v>
      </c>
      <c r="M1220" s="2">
        <v>45252</v>
      </c>
    </row>
    <row r="1221" spans="1:13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  <c r="G1221">
        <f t="shared" si="30"/>
        <v>87.9</v>
      </c>
      <c r="H1221" t="s">
        <v>27</v>
      </c>
      <c r="I1221" s="4">
        <f t="shared" si="32"/>
        <v>327</v>
      </c>
      <c r="M1221" s="2">
        <v>45252</v>
      </c>
    </row>
    <row r="1222" spans="1:13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  <c r="G1222">
        <f t="shared" si="30"/>
        <v>105.6</v>
      </c>
      <c r="I1222" s="4">
        <f t="shared" si="32"/>
        <v>327</v>
      </c>
      <c r="M1222" s="2">
        <v>45252</v>
      </c>
    </row>
    <row r="1223" spans="1:13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  <c r="G1223">
        <f t="shared" si="30"/>
        <v>99.6</v>
      </c>
      <c r="I1223" s="4">
        <f t="shared" si="32"/>
        <v>327</v>
      </c>
      <c r="M1223" s="2">
        <v>45252</v>
      </c>
    </row>
    <row r="1224" spans="1:13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  <c r="G1224">
        <f t="shared" si="30"/>
        <v>104.6</v>
      </c>
      <c r="I1224" s="4">
        <f t="shared" si="32"/>
        <v>327</v>
      </c>
      <c r="M1224" s="2">
        <v>45252</v>
      </c>
    </row>
  </sheetData>
  <autoFilter ref="A1:A1224" xr:uid="{00000000-0001-0000-0000-000000000000}">
    <filterColumn colId="0">
      <filters>
        <filter val="TPHW2016"/>
        <filter val="TPHW2017"/>
        <filter val="TPHW2018"/>
        <filter val="TPHW2019"/>
        <filter val="TPHW2020"/>
        <filter val="TPHW2021"/>
        <filter val="TPHW2022"/>
        <filter val="TPHW2023"/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H1224"/>
  <sheetViews>
    <sheetView tabSelected="1" zoomScale="60" zoomScaleNormal="60" workbookViewId="0">
      <pane ySplit="1" topLeftCell="A1093" activePane="bottomLeft" state="frozen"/>
      <selection pane="bottomLeft" activeCell="K1188" sqref="K1188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42.140625" customWidth="1"/>
    <col min="7" max="7" width="46.28515625" customWidth="1"/>
    <col min="8" max="8" width="59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8">YEAR(B570)</f>
        <v>2021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18.723399999999998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16.594899999999999</v>
      </c>
      <c r="G630">
        <v>18.399999999999999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13.636800000000001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15.061199999999999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17.472000000000001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17.167999999999999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18.612000000000002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18.392800000000001</v>
      </c>
    </row>
    <row r="646" spans="1:6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19.4208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20.248800000000003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20.370199999999997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21.318899999999999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5.0204000000000004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4.4855999999999998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4.4676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4.758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12.196100000000001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11.2395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19.400500000000001</v>
      </c>
      <c r="G713">
        <v>20.260000000000002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18.645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20.050700000000003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19.302800000000001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5.1040000000000001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11.519600000000001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15.008799999999999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17.391000000000002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19.684200000000001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20.144000000000002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21.559699999999999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22.3249</v>
      </c>
    </row>
    <row r="731" spans="1:6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22.423000000000002</v>
      </c>
    </row>
    <row r="732" spans="1:6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23.824199999999998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23.8596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23.692900000000005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22.8583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20.462399999999999</v>
      </c>
      <c r="G802">
        <v>19.440000000000001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19.771000000000001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19.929600000000001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20.310400000000001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4.2911999999999999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5.2806000000000006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4.6694000000000004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5.0616000000000012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9.9429999999999996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10.384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8.9551999999999996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10.104000000000001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12.623800000000001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13.277000000000001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11.276800000000001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13.3527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14.0128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16.7501</v>
      </c>
      <c r="G870">
        <v>16.809999999999999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18.1996</v>
      </c>
    </row>
    <row r="881" spans="1:6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16.344999999999999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20.093399999999999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4.6560000000000006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4.2772000000000006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4.8944000000000001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3.9389999999999996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10.8528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10.956800000000001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11.326199999999998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9.9293999999999993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13.165999999999999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10.804500000000001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12.7376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15.515600000000001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12.581800000000001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20.304000000000002</v>
      </c>
      <c r="G932">
        <v>20.09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13.488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17.408000000000001</v>
      </c>
    </row>
    <row r="946" spans="1:8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15.384600000000001</v>
      </c>
    </row>
    <row r="947" spans="1:8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17.500999999999998</v>
      </c>
    </row>
    <row r="948" spans="1:8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22.477499999999999</v>
      </c>
    </row>
    <row r="949" spans="1:8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19.583600000000001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23.190299999999997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18.668399999999998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21.14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17.422999999999998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21.057399999999998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6.0801999999999996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12.821400000000001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14.503500000000001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15.633099999999999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18.143800000000002</v>
      </c>
      <c r="G959">
        <f t="shared" ref="G959" si="9">F959</f>
        <v>18.143800000000002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17.673615128971232</v>
      </c>
      <c r="G968">
        <v>18.37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17.405492056011052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18.476749288753865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18.760523213785294</v>
      </c>
    </row>
    <row r="979" spans="1:6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19.48157763281246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17.781141937861513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20.557990280205107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19.39898301327348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6.9315123712321158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5.4313511084294808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5.7144543386675126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8.8291548744930903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8.3138487145662179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8.0472565935445601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11.28362013570101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12.996873220121543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11.020121811353031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18.060959017147049</v>
      </c>
      <c r="G1024">
        <f t="shared" ref="G1024:G1057" si="10">F1024</f>
        <v>18.060959017147049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16.502500000000001</v>
      </c>
      <c r="G1034">
        <v>20.85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14.497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17.078399999999998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20.495999999999999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22.349699999999999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23.020800000000005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23.687999999999999</v>
      </c>
    </row>
    <row r="1046" spans="1:6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24.631799999999998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25.207600000000003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24.039699999999996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7.4561999999999991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11.081100000000001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12.922000000000001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16.5564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17.243100000000002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18.874200000000002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19.495000000000001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20.844000000000001</v>
      </c>
      <c r="G1091">
        <v>21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18.7944</v>
      </c>
      <c r="G1100">
        <v>20.87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22.633600000000001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24.105599999999999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25.936899999999994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24.915800000000001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24.590499999999999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25.136999999999997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5.7330000000000005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8.2151000000000014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10.610999999999999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13.234500000000001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15.264000000000001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16.933800000000002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18.791999999999998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19.670000000000002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20.914999999999999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20.790399999999998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24.252000000000002</v>
      </c>
      <c r="G1156">
        <f t="shared" ref="G1156:G1175" si="11">F1156</f>
        <v>24.252000000000002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24.414500000000004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v>5.22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v>8.4240000000000013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v>10.503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v>12.1472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v>13.311000000000002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v>12.973500000000001</v>
      </c>
      <c r="G1164">
        <v>15.73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v>14.267999999999999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v>15.624000000000001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v>15.652000000000001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v>14.858400000000001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v>14.500800000000002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v>5.7376000000000014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v>10.566399999999998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v>11.4376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v>14.351400000000002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v>16.467200000000002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v>17.629000000000001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v>18.948599999999999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v>20.6096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v>20.810399999999994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v>20.833099999999998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v>20.495499999999996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v>4.9717000000000002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v>7.9373000000000005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v>10.111500000000001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v>12.935199999999998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v>14.8748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v>15.4224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v>16.8904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v>18.000899999999998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v>19.007199999999997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v>17.756799999999998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v>17.963999999999999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v>4.739300000000001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v>8.3186999999999998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v>10.472000000000001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v>12.465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v>13.880699999999999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v>14.1158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v>14.5962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v>17.0487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v>17.490300000000001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v>17.7531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v>17.337200000000003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v>5.6027999999999993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v>8.3005999999999993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v>11.6775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v>13.23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v>15.4488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v>16.945499999999999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v>16.8795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v>17.455200000000001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v>17.835600000000003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v>15.45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12.918300000000002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14.815999999999999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16.666599999999999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17.594999999999999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19.6874</v>
      </c>
      <c r="G1220">
        <v>17.62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15.558299999999999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18.902399999999997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17.7288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18.723399999999998</v>
      </c>
    </row>
  </sheetData>
  <autoFilter ref="A1:A1224" xr:uid="{3C95387D-0458-4499-B052-84055CDD2D26}">
    <filterColumn colId="0">
      <filters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H1228"/>
  <sheetViews>
    <sheetView zoomScale="60" zoomScaleNormal="60" workbookViewId="0">
      <selection activeCell="C637" sqref="C637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7" width="41.42578125" customWidth="1"/>
    <col min="8" max="8" width="57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3" spans="1:6" hidden="1" x14ac:dyDescent="0.25"/>
    <row r="614" spans="1:6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8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8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8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8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8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8" x14ac:dyDescent="0.25">
      <c r="A630" t="s">
        <v>10</v>
      </c>
      <c r="B630" s="2">
        <v>42493</v>
      </c>
      <c r="C630">
        <v>2016</v>
      </c>
      <c r="E630" t="s">
        <v>6</v>
      </c>
      <c r="F630">
        <f>(SingleBerryDW!F630/SingleBerryFW!F630)*100</f>
        <v>15.7</v>
      </c>
      <c r="G630">
        <f>F630</f>
        <v>15.7</v>
      </c>
      <c r="H630" t="s">
        <v>27</v>
      </c>
    </row>
    <row r="631" spans="1:8" x14ac:dyDescent="0.25">
      <c r="A631" t="s">
        <v>10</v>
      </c>
      <c r="B631" s="2">
        <v>42493</v>
      </c>
      <c r="C631">
        <v>2016</v>
      </c>
      <c r="E631" t="s">
        <v>6</v>
      </c>
      <c r="F631">
        <f>(SingleBerryDW!F631/SingleBerryFW!F631)*100</f>
        <v>16.5</v>
      </c>
      <c r="G631">
        <f>F631</f>
        <v>16.5</v>
      </c>
      <c r="H631" t="s">
        <v>27</v>
      </c>
    </row>
    <row r="632" spans="1:8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8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8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8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8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8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8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8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8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8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8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8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8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8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8" x14ac:dyDescent="0.25">
      <c r="A646" t="s">
        <v>10</v>
      </c>
      <c r="B646" s="2">
        <v>42496</v>
      </c>
      <c r="C646">
        <v>2016</v>
      </c>
      <c r="E646" t="s">
        <v>6</v>
      </c>
      <c r="F646">
        <f>(SingleBerryDW!F646/SingleBerryFW!F646)*100</f>
        <v>16.8</v>
      </c>
      <c r="G646">
        <f>F646</f>
        <v>16.8</v>
      </c>
      <c r="H646" t="s">
        <v>27</v>
      </c>
    </row>
    <row r="647" spans="1:8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8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8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8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8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8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8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8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8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8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8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8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8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8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8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8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8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8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8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8" x14ac:dyDescent="0.25">
      <c r="A682" t="s">
        <v>10</v>
      </c>
      <c r="B682" s="2">
        <v>42494</v>
      </c>
      <c r="C682">
        <v>2016</v>
      </c>
      <c r="E682" t="s">
        <v>6</v>
      </c>
      <c r="F682">
        <f>(SingleBerryDW!F682/SingleBerryFW!F682)*100</f>
        <v>16.100000000000001</v>
      </c>
      <c r="G682">
        <f>F682</f>
        <v>16.100000000000001</v>
      </c>
      <c r="H682" t="s">
        <v>27</v>
      </c>
    </row>
    <row r="683" spans="1:8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8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8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8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8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8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8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8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8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8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8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8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8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8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8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  <c r="G713">
        <f>F713</f>
        <v>16.100000000000001</v>
      </c>
      <c r="H713" t="s">
        <v>27</v>
      </c>
    </row>
    <row r="714" spans="1:8" x14ac:dyDescent="0.25">
      <c r="A714" t="s">
        <v>11</v>
      </c>
      <c r="B714" s="2">
        <v>42858</v>
      </c>
      <c r="C714">
        <v>2017</v>
      </c>
      <c r="E714" t="s">
        <v>6</v>
      </c>
      <c r="F714">
        <f>(SingleBerryDW!F714/SingleBerryFW!F714)*100</f>
        <v>15</v>
      </c>
      <c r="G714">
        <f>F714</f>
        <v>15</v>
      </c>
      <c r="H714" t="s">
        <v>27</v>
      </c>
    </row>
    <row r="715" spans="1:8" x14ac:dyDescent="0.25">
      <c r="A715" t="s">
        <v>11</v>
      </c>
      <c r="B715" s="2">
        <v>42871</v>
      </c>
      <c r="C715">
        <v>2017</v>
      </c>
      <c r="E715" t="s">
        <v>6</v>
      </c>
      <c r="F715">
        <f>(SingleBerryDW!F715/SingleBerryFW!F715)*100</f>
        <v>16.8</v>
      </c>
    </row>
    <row r="716" spans="1:8" x14ac:dyDescent="0.25">
      <c r="A716" t="s">
        <v>11</v>
      </c>
      <c r="B716" s="2">
        <v>42871</v>
      </c>
      <c r="C716">
        <v>2017</v>
      </c>
      <c r="E716" t="s">
        <v>6</v>
      </c>
      <c r="F716">
        <f>(SingleBerryDW!F716/SingleBerryFW!F716)*100</f>
        <v>16.2</v>
      </c>
    </row>
    <row r="717" spans="1:8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8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8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8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8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8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8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8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8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8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8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8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8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8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8" x14ac:dyDescent="0.25">
      <c r="A731" t="s">
        <v>11</v>
      </c>
      <c r="B731" s="2">
        <v>42859</v>
      </c>
      <c r="C731">
        <v>2017</v>
      </c>
      <c r="E731" t="s">
        <v>6</v>
      </c>
      <c r="F731">
        <f>(SingleBerryDW!F731/SingleBerryFW!F731)*100</f>
        <v>17</v>
      </c>
      <c r="G731">
        <f>F731</f>
        <v>17</v>
      </c>
      <c r="H731" t="s">
        <v>27</v>
      </c>
    </row>
    <row r="732" spans="1:8" x14ac:dyDescent="0.25">
      <c r="A732" t="s">
        <v>11</v>
      </c>
      <c r="B732" s="2">
        <v>42873</v>
      </c>
      <c r="C732">
        <v>2017</v>
      </c>
      <c r="E732" t="s">
        <v>6</v>
      </c>
      <c r="F732">
        <f>(SingleBerryDW!F732/SingleBerryFW!F732)*100</f>
        <v>17.7</v>
      </c>
    </row>
    <row r="733" spans="1:8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8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8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8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8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8" x14ac:dyDescent="0.25">
      <c r="A770" t="s">
        <v>11</v>
      </c>
      <c r="B770" s="2">
        <v>42860</v>
      </c>
      <c r="C770">
        <v>2017</v>
      </c>
      <c r="E770" t="s">
        <v>6</v>
      </c>
      <c r="F770">
        <f>(SingleBerryDW!F770/SingleBerryFW!F770)*100</f>
        <v>16.800000000000004</v>
      </c>
      <c r="G770">
        <f>F770</f>
        <v>16.800000000000004</v>
      </c>
      <c r="H770" t="s">
        <v>27</v>
      </c>
    </row>
    <row r="771" spans="1:8" x14ac:dyDescent="0.25">
      <c r="A771" t="s">
        <v>11</v>
      </c>
      <c r="B771" s="2">
        <v>42860</v>
      </c>
      <c r="C771">
        <v>2017</v>
      </c>
      <c r="E771" t="s">
        <v>6</v>
      </c>
      <c r="F771">
        <f>(SingleBerryDW!F771/SingleBerryFW!F771)*100</f>
        <v>17.199999999999996</v>
      </c>
      <c r="G771">
        <f>F771</f>
        <v>17.199999999999996</v>
      </c>
      <c r="H771" t="s">
        <v>27</v>
      </c>
    </row>
    <row r="772" spans="1:8" x14ac:dyDescent="0.25">
      <c r="A772" t="s">
        <v>11</v>
      </c>
      <c r="B772" s="2">
        <v>42872</v>
      </c>
      <c r="C772">
        <v>2017</v>
      </c>
      <c r="E772" t="s">
        <v>6</v>
      </c>
      <c r="F772">
        <f>(SingleBerryDW!F772/SingleBerryFW!F772)*100</f>
        <v>17.699999999999996</v>
      </c>
    </row>
    <row r="773" spans="1:8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8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8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8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8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8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8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8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8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8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8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8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8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8" x14ac:dyDescent="0.25">
      <c r="A802" t="s">
        <v>12</v>
      </c>
      <c r="B802" s="2">
        <v>43221</v>
      </c>
      <c r="C802">
        <v>2018</v>
      </c>
      <c r="E802" t="s">
        <v>6</v>
      </c>
      <c r="F802">
        <f>(SingleBerryDW!F802/SingleBerryFW!F802)*100</f>
        <v>17.399999999999999</v>
      </c>
      <c r="G802">
        <f>F802</f>
        <v>17.399999999999999</v>
      </c>
      <c r="H802" t="s">
        <v>27</v>
      </c>
    </row>
    <row r="803" spans="1:8" x14ac:dyDescent="0.25">
      <c r="A803" t="s">
        <v>12</v>
      </c>
      <c r="B803" s="2">
        <v>43221</v>
      </c>
      <c r="C803">
        <v>2018</v>
      </c>
      <c r="E803" t="s">
        <v>6</v>
      </c>
      <c r="F803">
        <f>(SingleBerryDW!F803/SingleBerryFW!F803)*100</f>
        <v>16.600000000000001</v>
      </c>
      <c r="G803">
        <f>F803</f>
        <v>16.600000000000001</v>
      </c>
      <c r="H803" t="s">
        <v>27</v>
      </c>
    </row>
    <row r="804" spans="1:8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8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8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8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8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8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8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8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8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8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8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8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8" x14ac:dyDescent="0.25">
      <c r="A816" t="s">
        <v>12</v>
      </c>
      <c r="B816" s="2">
        <v>43221</v>
      </c>
      <c r="C816">
        <v>2018</v>
      </c>
      <c r="E816" t="s">
        <v>6</v>
      </c>
      <c r="F816">
        <f>(SingleBerryDW!F816/SingleBerryFW!F816)*100</f>
        <v>17</v>
      </c>
      <c r="G816">
        <f>F816</f>
        <v>17</v>
      </c>
      <c r="H816" t="s">
        <v>27</v>
      </c>
    </row>
    <row r="817" spans="1:6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8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8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8" x14ac:dyDescent="0.25">
      <c r="A851" t="s">
        <v>12</v>
      </c>
      <c r="B851" s="2">
        <v>43221</v>
      </c>
      <c r="C851">
        <v>2018</v>
      </c>
      <c r="E851" t="s">
        <v>6</v>
      </c>
      <c r="F851">
        <f>(SingleBerryDW!F851/SingleBerryFW!F851)*100</f>
        <v>15.7</v>
      </c>
      <c r="G851">
        <f>F851</f>
        <v>15.7</v>
      </c>
      <c r="H851" t="s">
        <v>27</v>
      </c>
    </row>
    <row r="852" spans="1:8" x14ac:dyDescent="0.25">
      <c r="A852" t="s">
        <v>12</v>
      </c>
      <c r="B852" s="2">
        <v>43221</v>
      </c>
      <c r="C852">
        <v>2018</v>
      </c>
      <c r="E852" t="s">
        <v>6</v>
      </c>
      <c r="F852">
        <f>(SingleBerryDW!F852/SingleBerryFW!F852)*100</f>
        <v>16.600000000000001</v>
      </c>
      <c r="G852">
        <f>F852</f>
        <v>16.600000000000001</v>
      </c>
      <c r="H852" t="s">
        <v>27</v>
      </c>
    </row>
    <row r="853" spans="1:8" x14ac:dyDescent="0.25">
      <c r="A853" t="s">
        <v>12</v>
      </c>
      <c r="B853" s="2">
        <v>43221</v>
      </c>
      <c r="C853">
        <v>2018</v>
      </c>
      <c r="E853" t="s">
        <v>6</v>
      </c>
      <c r="F853">
        <f>(SingleBerryDW!F853/SingleBerryFW!F853)*100</f>
        <v>17</v>
      </c>
      <c r="G853">
        <f>F853</f>
        <v>17</v>
      </c>
      <c r="H853" t="s">
        <v>27</v>
      </c>
    </row>
    <row r="854" spans="1:8" x14ac:dyDescent="0.25">
      <c r="A854" t="s">
        <v>12</v>
      </c>
      <c r="B854" s="2">
        <v>43221</v>
      </c>
      <c r="C854">
        <v>2018</v>
      </c>
      <c r="E854" t="s">
        <v>6</v>
      </c>
      <c r="F854">
        <f>(SingleBerryDW!F854/SingleBerryFW!F854)*100</f>
        <v>17.2</v>
      </c>
      <c r="G854">
        <f>F854</f>
        <v>17.2</v>
      </c>
      <c r="H854" t="s">
        <v>27</v>
      </c>
    </row>
    <row r="855" spans="1:8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8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8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8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8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8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8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8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8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8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8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8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8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8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8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8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  <c r="G870">
        <f>F870</f>
        <v>16.7</v>
      </c>
      <c r="H870" t="s">
        <v>27</v>
      </c>
    </row>
    <row r="871" spans="1:8" x14ac:dyDescent="0.25">
      <c r="A871" t="s">
        <v>13</v>
      </c>
      <c r="B871" s="2">
        <v>43584</v>
      </c>
      <c r="C871">
        <v>2019</v>
      </c>
      <c r="E871" t="s">
        <v>6</v>
      </c>
      <c r="F871">
        <f>(SingleBerryDW!F871/SingleBerryFW!F871)*100</f>
        <v>17.100000000000001</v>
      </c>
      <c r="G871">
        <f>F871</f>
        <v>17.100000000000001</v>
      </c>
      <c r="H871" t="s">
        <v>27</v>
      </c>
    </row>
    <row r="872" spans="1:8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8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8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8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8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8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8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8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8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  <c r="G880">
        <f>F880</f>
        <v>17.299999999999997</v>
      </c>
      <c r="H880" t="s">
        <v>27</v>
      </c>
    </row>
    <row r="881" spans="1:8" x14ac:dyDescent="0.25">
      <c r="A881" t="s">
        <v>13</v>
      </c>
      <c r="B881" s="2">
        <v>43584</v>
      </c>
      <c r="C881">
        <v>2019</v>
      </c>
      <c r="E881" t="s">
        <v>6</v>
      </c>
      <c r="F881">
        <f>(SingleBerryDW!F881/SingleBerryFW!F881)*100</f>
        <v>17.5</v>
      </c>
      <c r="G881">
        <f>F881</f>
        <v>17.5</v>
      </c>
      <c r="H881" t="s">
        <v>27</v>
      </c>
    </row>
    <row r="882" spans="1:8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8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8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8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8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8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8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8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8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8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8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8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8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8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8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8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8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8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8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8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8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8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8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8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8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8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8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8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  <c r="G909">
        <f>F909</f>
        <v>16.400000000000002</v>
      </c>
      <c r="H909" t="s">
        <v>27</v>
      </c>
    </row>
    <row r="910" spans="1:8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  <c r="G910">
        <f t="shared" ref="G910:G916" si="9">F910</f>
        <v>16.8</v>
      </c>
      <c r="H910" t="s">
        <v>27</v>
      </c>
    </row>
    <row r="911" spans="1:8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  <c r="G911">
        <f t="shared" si="9"/>
        <v>17.399999999999999</v>
      </c>
      <c r="H911" t="s">
        <v>27</v>
      </c>
    </row>
    <row r="912" spans="1:8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  <c r="G912">
        <f t="shared" si="9"/>
        <v>16.3</v>
      </c>
      <c r="H912" t="s">
        <v>27</v>
      </c>
    </row>
    <row r="913" spans="1:8" x14ac:dyDescent="0.25">
      <c r="A913" t="s">
        <v>13</v>
      </c>
      <c r="B913" s="2">
        <v>43584</v>
      </c>
      <c r="C913">
        <v>2019</v>
      </c>
      <c r="E913" t="s">
        <v>6</v>
      </c>
      <c r="F913">
        <f>(SingleBerryDW!F913/SingleBerryFW!F913)*100</f>
        <v>16.7</v>
      </c>
      <c r="G913">
        <f t="shared" si="9"/>
        <v>16.7</v>
      </c>
      <c r="H913" t="s">
        <v>27</v>
      </c>
    </row>
    <row r="914" spans="1:8" x14ac:dyDescent="0.25">
      <c r="A914" t="s">
        <v>13</v>
      </c>
      <c r="B914" s="2">
        <v>43584</v>
      </c>
      <c r="C914">
        <v>2019</v>
      </c>
      <c r="E914" t="s">
        <v>6</v>
      </c>
      <c r="F914">
        <f>(SingleBerryDW!F914/SingleBerryFW!F914)*100</f>
        <v>16.899999999999999</v>
      </c>
      <c r="G914">
        <f t="shared" si="9"/>
        <v>16.899999999999999</v>
      </c>
      <c r="H914" t="s">
        <v>27</v>
      </c>
    </row>
    <row r="915" spans="1:8" x14ac:dyDescent="0.25">
      <c r="A915" t="s">
        <v>13</v>
      </c>
      <c r="B915" s="2">
        <v>43584</v>
      </c>
      <c r="C915">
        <v>2019</v>
      </c>
      <c r="E915" t="s">
        <v>6</v>
      </c>
      <c r="F915">
        <f>(SingleBerryDW!F915/SingleBerryFW!F915)*100</f>
        <v>17.599999999999998</v>
      </c>
      <c r="G915">
        <f t="shared" si="9"/>
        <v>17.599999999999998</v>
      </c>
      <c r="H915" t="s">
        <v>27</v>
      </c>
    </row>
    <row r="916" spans="1:8" x14ac:dyDescent="0.25">
      <c r="A916" t="s">
        <v>13</v>
      </c>
      <c r="B916" s="2">
        <v>43584</v>
      </c>
      <c r="C916">
        <v>2019</v>
      </c>
      <c r="E916" t="s">
        <v>6</v>
      </c>
      <c r="F916">
        <f>(SingleBerryDW!F916/SingleBerryFW!F916)*100</f>
        <v>16.600000000000001</v>
      </c>
      <c r="G916">
        <f t="shared" si="9"/>
        <v>16.600000000000001</v>
      </c>
      <c r="H916" t="s">
        <v>27</v>
      </c>
    </row>
    <row r="917" spans="1:8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8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8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8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8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8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8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8" x14ac:dyDescent="0.25">
      <c r="A924" t="s">
        <v>14</v>
      </c>
      <c r="B924" s="2">
        <v>43906</v>
      </c>
      <c r="C924">
        <v>2020</v>
      </c>
      <c r="E924" t="s">
        <v>6</v>
      </c>
      <c r="F924">
        <f>(SingleBerryDW!F924/SingleBerryFW!F924)*100</f>
        <v>15.5</v>
      </c>
    </row>
    <row r="925" spans="1:8" x14ac:dyDescent="0.25">
      <c r="A925" t="s">
        <v>14</v>
      </c>
      <c r="B925" s="2">
        <v>43950</v>
      </c>
      <c r="C925">
        <v>2020</v>
      </c>
      <c r="E925" t="s">
        <v>6</v>
      </c>
      <c r="F925">
        <f>(SingleBerryDW!F925/SingleBerryFW!F925)*100</f>
        <v>17.5</v>
      </c>
      <c r="G925">
        <f>F925</f>
        <v>17.5</v>
      </c>
      <c r="H925" t="s">
        <v>27</v>
      </c>
    </row>
    <row r="926" spans="1:8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8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8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8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8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8" x14ac:dyDescent="0.25">
      <c r="A931" t="s">
        <v>14</v>
      </c>
      <c r="B931" s="2">
        <v>43907</v>
      </c>
      <c r="C931">
        <v>2020</v>
      </c>
      <c r="E931" t="s">
        <v>6</v>
      </c>
      <c r="F931">
        <f>(SingleBerryDW!F931/SingleBerryFW!F931)*100</f>
        <v>16.5</v>
      </c>
    </row>
    <row r="932" spans="1:8" x14ac:dyDescent="0.25">
      <c r="A932" t="s">
        <v>14</v>
      </c>
      <c r="B932" s="2">
        <v>43951</v>
      </c>
      <c r="C932">
        <v>2020</v>
      </c>
      <c r="E932" t="s">
        <v>6</v>
      </c>
      <c r="F932">
        <f>(SingleBerryDW!F932/SingleBerryFW!F932)*100</f>
        <v>18.800000000000004</v>
      </c>
      <c r="G932">
        <f>F932</f>
        <v>18.800000000000004</v>
      </c>
      <c r="H932" t="s">
        <v>27</v>
      </c>
    </row>
    <row r="933" spans="1:8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8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8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8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8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8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8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8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8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8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8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8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8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8" x14ac:dyDescent="0.25">
      <c r="A946" t="s">
        <v>14</v>
      </c>
      <c r="B946" s="2">
        <v>43907</v>
      </c>
      <c r="C946">
        <v>2020</v>
      </c>
      <c r="E946" t="s">
        <v>6</v>
      </c>
      <c r="F946">
        <f>(SingleBerryDW!F946/SingleBerryFW!F946)*100</f>
        <v>15.4</v>
      </c>
    </row>
    <row r="947" spans="1:8" x14ac:dyDescent="0.25">
      <c r="A947" t="s">
        <v>14</v>
      </c>
      <c r="B947" s="2">
        <v>43950</v>
      </c>
      <c r="C947">
        <v>2020</v>
      </c>
      <c r="E947" t="s">
        <v>6</v>
      </c>
      <c r="F947">
        <f>(SingleBerryDW!F947/SingleBerryFW!F947)*100</f>
        <v>18.5</v>
      </c>
      <c r="G947">
        <f>F947</f>
        <v>18.5</v>
      </c>
      <c r="H947" t="s">
        <v>27</v>
      </c>
    </row>
    <row r="948" spans="1:8" x14ac:dyDescent="0.25">
      <c r="A948" t="s">
        <v>14</v>
      </c>
      <c r="B948" s="2">
        <v>43950</v>
      </c>
      <c r="C948">
        <v>2020</v>
      </c>
      <c r="E948" t="s">
        <v>6</v>
      </c>
      <c r="F948">
        <f>(SingleBerryDW!F948/SingleBerryFW!F948)*100</f>
        <v>18.5</v>
      </c>
      <c r="G948">
        <f t="shared" ref="G948:G949" si="10">F948</f>
        <v>18.5</v>
      </c>
      <c r="H948" t="s">
        <v>27</v>
      </c>
    </row>
    <row r="949" spans="1:8" x14ac:dyDescent="0.25">
      <c r="A949" t="s">
        <v>14</v>
      </c>
      <c r="B949" s="2">
        <v>43950</v>
      </c>
      <c r="C949">
        <v>2020</v>
      </c>
      <c r="E949" t="s">
        <v>6</v>
      </c>
      <c r="F949">
        <f>(SingleBerryDW!F949/SingleBerryFW!F949)*100</f>
        <v>17.299999999999997</v>
      </c>
      <c r="G949">
        <f t="shared" si="10"/>
        <v>17.299999999999997</v>
      </c>
      <c r="H949" t="s">
        <v>27</v>
      </c>
    </row>
    <row r="950" spans="1:8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8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8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8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8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8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8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8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8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8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  <c r="G959">
        <f>F959</f>
        <v>16.600000000000005</v>
      </c>
      <c r="H959" t="s">
        <v>27</v>
      </c>
    </row>
    <row r="960" spans="1:8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8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8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8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8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8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8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8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8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8" x14ac:dyDescent="0.25">
      <c r="A969" t="s">
        <v>15</v>
      </c>
      <c r="B969" s="2">
        <v>44315</v>
      </c>
      <c r="C969">
        <v>2021</v>
      </c>
      <c r="E969" t="s">
        <v>6</v>
      </c>
      <c r="F969">
        <f>(SingleBerryDW!F969/SingleBerryFW!F969)*100</f>
        <v>15.291157419999998</v>
      </c>
      <c r="G969">
        <f>F969</f>
        <v>15.291157419999998</v>
      </c>
      <c r="H969" t="s">
        <v>27</v>
      </c>
    </row>
    <row r="970" spans="1:8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8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8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8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8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8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8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8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8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8" x14ac:dyDescent="0.25">
      <c r="A979" t="s">
        <v>15</v>
      </c>
      <c r="B979" s="2">
        <v>44315</v>
      </c>
      <c r="C979">
        <v>2021</v>
      </c>
      <c r="E979" t="s">
        <v>6</v>
      </c>
      <c r="F979">
        <f>(SingleBerryDW!F979/SingleBerryFW!F979)*100</f>
        <v>18.175619019999996</v>
      </c>
      <c r="G979">
        <f>F979</f>
        <v>18.175619019999996</v>
      </c>
      <c r="H979" t="s">
        <v>27</v>
      </c>
    </row>
    <row r="980" spans="1:8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8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8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8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8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8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8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8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8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8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8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8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8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8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8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8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8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8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8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8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8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8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8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8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8" x14ac:dyDescent="0.25">
      <c r="A1004" t="s">
        <v>15</v>
      </c>
      <c r="B1004" s="2">
        <v>44315</v>
      </c>
      <c r="C1004">
        <v>2021</v>
      </c>
      <c r="E1004" t="s">
        <v>6</v>
      </c>
      <c r="F1004">
        <f>(SingleBerryDW!F1004/SingleBerryFW!F1004)*100</f>
        <v>17.549679300000001</v>
      </c>
      <c r="G1004">
        <f>F1004</f>
        <v>17.549679300000001</v>
      </c>
      <c r="H1004" t="s">
        <v>27</v>
      </c>
    </row>
    <row r="1005" spans="1:8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8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8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8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8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8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8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8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8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8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8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8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8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8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8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8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8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8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8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8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  <c r="G1024">
        <f>F1024</f>
        <v>16.644749740000002</v>
      </c>
      <c r="H1024" t="s">
        <v>27</v>
      </c>
    </row>
    <row r="1025" spans="1:8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8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8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8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8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8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8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8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8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8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8" x14ac:dyDescent="0.25">
      <c r="A1035" t="s">
        <v>16</v>
      </c>
      <c r="B1035" s="2">
        <v>44685</v>
      </c>
      <c r="C1035">
        <v>2022</v>
      </c>
      <c r="E1035" t="s">
        <v>6</v>
      </c>
      <c r="F1035">
        <f>(SingleBerryDW!F1035/SingleBerryFW!F1035)*100</f>
        <v>15.8</v>
      </c>
      <c r="G1035">
        <f>F1035</f>
        <v>15.8</v>
      </c>
      <c r="H1035" t="s">
        <v>27</v>
      </c>
    </row>
    <row r="1036" spans="1:8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8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8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8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8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8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8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8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8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8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8" x14ac:dyDescent="0.25">
      <c r="A1046" t="s">
        <v>16</v>
      </c>
      <c r="B1046" s="2">
        <v>44685</v>
      </c>
      <c r="C1046">
        <v>2022</v>
      </c>
      <c r="E1046" t="s">
        <v>6</v>
      </c>
      <c r="F1046">
        <f>(SingleBerryDW!F1046/SingleBerryFW!F1046)*100</f>
        <v>18.3</v>
      </c>
      <c r="G1046">
        <f>F1046</f>
        <v>18.3</v>
      </c>
      <c r="H1046" t="s">
        <v>27</v>
      </c>
    </row>
    <row r="1047" spans="1:8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8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8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8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8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8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8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8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8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8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8" x14ac:dyDescent="0.25">
      <c r="A1057" t="s">
        <v>16</v>
      </c>
      <c r="B1057" s="2">
        <v>44685</v>
      </c>
      <c r="C1057">
        <v>2022</v>
      </c>
      <c r="E1057" t="s">
        <v>6</v>
      </c>
      <c r="F1057">
        <f>(SingleBerryDW!F1057/SingleBerryFW!F1057)*100</f>
        <v>18.899999999999999</v>
      </c>
      <c r="G1057">
        <f>F1057</f>
        <v>18.899999999999999</v>
      </c>
      <c r="H1057" t="s">
        <v>27</v>
      </c>
    </row>
    <row r="1058" spans="1:8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8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8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8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8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8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8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8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8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8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8" x14ac:dyDescent="0.25">
      <c r="A1068" t="s">
        <v>16</v>
      </c>
      <c r="B1068" s="2">
        <v>44685</v>
      </c>
      <c r="C1068">
        <v>2022</v>
      </c>
      <c r="E1068" t="s">
        <v>6</v>
      </c>
      <c r="F1068">
        <f>(SingleBerryDW!F1068/SingleBerryFW!F1068)*100</f>
        <v>18.199999999999996</v>
      </c>
      <c r="G1068">
        <f>F1068</f>
        <v>18.199999999999996</v>
      </c>
      <c r="H1068" t="s">
        <v>27</v>
      </c>
    </row>
    <row r="1069" spans="1:8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8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8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8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8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8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8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8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8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8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8" x14ac:dyDescent="0.25">
      <c r="A1079" t="s">
        <v>16</v>
      </c>
      <c r="B1079" s="2">
        <v>44685</v>
      </c>
      <c r="C1079">
        <v>2022</v>
      </c>
      <c r="E1079" t="s">
        <v>6</v>
      </c>
      <c r="F1079">
        <f>(SingleBerryDW!F1079/SingleBerryFW!F1079)*100</f>
        <v>14.6</v>
      </c>
      <c r="G1079">
        <f>F1079</f>
        <v>14.6</v>
      </c>
      <c r="H1079" t="s">
        <v>27</v>
      </c>
    </row>
    <row r="1080" spans="1:8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8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8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8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8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8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8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8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8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8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8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8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  <c r="G1091">
        <f>F1091</f>
        <v>18.000000000000004</v>
      </c>
      <c r="H1091" t="s">
        <v>27</v>
      </c>
    </row>
    <row r="1092" spans="1:8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8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8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8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8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8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8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8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8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  <c r="G1100">
        <f>F1100</f>
        <v>16.400000000000002</v>
      </c>
      <c r="H1100" t="s">
        <v>27</v>
      </c>
    </row>
    <row r="1101" spans="1:8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  <c r="G1101">
        <f>F1101</f>
        <v>16.7</v>
      </c>
      <c r="H1101" t="s">
        <v>27</v>
      </c>
    </row>
    <row r="1102" spans="1:8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8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8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8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8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8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8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8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8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8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  <c r="G1111">
        <f>F1111</f>
        <v>17.2</v>
      </c>
      <c r="H1111" t="s">
        <v>27</v>
      </c>
    </row>
    <row r="1112" spans="1:8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  <c r="G1112">
        <f>F1112</f>
        <v>17.399999999999999</v>
      </c>
      <c r="H1112" t="s">
        <v>27</v>
      </c>
    </row>
    <row r="1113" spans="1:8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8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8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8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8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8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8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8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8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8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  <c r="G1122">
        <f>F1122</f>
        <v>18.699999999999996</v>
      </c>
      <c r="H1122" t="s">
        <v>27</v>
      </c>
    </row>
    <row r="1123" spans="1:8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  <c r="G1123">
        <f>F1123</f>
        <v>18.2</v>
      </c>
      <c r="H1123" t="s">
        <v>27</v>
      </c>
    </row>
    <row r="1124" spans="1:8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8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8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8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8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8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8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8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8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8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  <c r="G1133">
        <f>F1133</f>
        <v>17.5</v>
      </c>
      <c r="H1133" t="s">
        <v>27</v>
      </c>
    </row>
    <row r="1134" spans="1:8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  <c r="G1134">
        <f>F1134</f>
        <v>17.8</v>
      </c>
      <c r="H1134" t="s">
        <v>27</v>
      </c>
    </row>
    <row r="1135" spans="1:8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8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8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8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8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8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8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8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8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8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  <c r="G1144">
        <f>F1144</f>
        <v>15.6</v>
      </c>
      <c r="H1144" t="s">
        <v>27</v>
      </c>
    </row>
    <row r="1145" spans="1:8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  <c r="G1145">
        <f>F1145</f>
        <v>15.4</v>
      </c>
      <c r="H1145" t="s">
        <v>27</v>
      </c>
    </row>
    <row r="1146" spans="1:8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8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8" x14ac:dyDescent="0.25">
      <c r="A1148" t="s">
        <v>22</v>
      </c>
      <c r="B1148" s="2">
        <v>44949</v>
      </c>
      <c r="C1148">
        <v>2023</v>
      </c>
      <c r="E1148" t="s">
        <v>9</v>
      </c>
      <c r="F1148">
        <f>(SingleBerryDW!F1148/SingleBerryFW!F1148)*100</f>
        <v>9.4</v>
      </c>
    </row>
    <row r="1149" spans="1:8" x14ac:dyDescent="0.25">
      <c r="A1149" t="s">
        <v>22</v>
      </c>
      <c r="B1149" s="2">
        <v>44971</v>
      </c>
      <c r="C1149">
        <v>2023</v>
      </c>
      <c r="E1149" t="s">
        <v>9</v>
      </c>
      <c r="F1149">
        <f>(SingleBerryDW!F1149/SingleBerryFW!F1149)*100</f>
        <v>12.8</v>
      </c>
    </row>
    <row r="1150" spans="1:8" x14ac:dyDescent="0.25">
      <c r="A1150" t="s">
        <v>22</v>
      </c>
      <c r="B1150" s="2">
        <v>44987</v>
      </c>
      <c r="C1150">
        <v>2023</v>
      </c>
      <c r="E1150" t="s">
        <v>9</v>
      </c>
      <c r="F1150">
        <f>(SingleBerryDW!F1150/SingleBerryFW!F1150)*100</f>
        <v>15.4</v>
      </c>
    </row>
    <row r="1151" spans="1:8" x14ac:dyDescent="0.25">
      <c r="A1151" t="s">
        <v>22</v>
      </c>
      <c r="B1151" s="2">
        <v>44998</v>
      </c>
      <c r="C1151">
        <v>2023</v>
      </c>
      <c r="E1151" t="s">
        <v>9</v>
      </c>
      <c r="F1151">
        <f>(SingleBerryDW!F1151/SingleBerryFW!F1151)*100</f>
        <v>16.2</v>
      </c>
    </row>
    <row r="1152" spans="1:8" x14ac:dyDescent="0.25">
      <c r="A1152" t="s">
        <v>22</v>
      </c>
      <c r="B1152" s="2">
        <v>45014</v>
      </c>
      <c r="C1152">
        <v>2023</v>
      </c>
      <c r="E1152" t="s">
        <v>9</v>
      </c>
      <c r="F1152">
        <f>(SingleBerryDW!F1152/SingleBerryFW!F1152)*100</f>
        <v>17.200000000000003</v>
      </c>
    </row>
    <row r="1153" spans="1:8" x14ac:dyDescent="0.25">
      <c r="A1153" t="s">
        <v>22</v>
      </c>
      <c r="B1153" s="2">
        <v>45027</v>
      </c>
      <c r="C1153">
        <v>2023</v>
      </c>
      <c r="E1153" t="s">
        <v>9</v>
      </c>
      <c r="F1153">
        <f>(SingleBerryDW!F1153/SingleBerryFW!F1153)*100</f>
        <v>18</v>
      </c>
    </row>
    <row r="1154" spans="1:8" x14ac:dyDescent="0.25">
      <c r="A1154" t="s">
        <v>22</v>
      </c>
      <c r="B1154" s="2">
        <v>45040</v>
      </c>
      <c r="C1154">
        <v>2023</v>
      </c>
      <c r="E1154" t="s">
        <v>9</v>
      </c>
      <c r="F1154">
        <f>(SingleBerryDW!F1154/SingleBerryFW!F1154)*100</f>
        <v>18.399999999999999</v>
      </c>
    </row>
    <row r="1155" spans="1:8" x14ac:dyDescent="0.25">
      <c r="A1155" t="s">
        <v>22</v>
      </c>
      <c r="B1155" s="2">
        <v>45047</v>
      </c>
      <c r="C1155">
        <v>2023</v>
      </c>
      <c r="E1155" t="s">
        <v>9</v>
      </c>
      <c r="F1155">
        <f>(SingleBerryDW!F1155/SingleBerryFW!F1155)*100</f>
        <v>18.500000000000004</v>
      </c>
    </row>
    <row r="1156" spans="1:8" x14ac:dyDescent="0.25">
      <c r="A1156" t="s">
        <v>22</v>
      </c>
      <c r="B1156" s="2">
        <v>45062</v>
      </c>
      <c r="C1156">
        <v>2023</v>
      </c>
      <c r="E1156" t="s">
        <v>9</v>
      </c>
      <c r="F1156">
        <f>(SingleBerryDW!F1156/SingleBerryFW!F1156)*100</f>
        <v>18.800000000000004</v>
      </c>
      <c r="G1156">
        <f>F1156</f>
        <v>18.800000000000004</v>
      </c>
      <c r="H1156" t="s">
        <v>27</v>
      </c>
    </row>
    <row r="1157" spans="1:8" x14ac:dyDescent="0.25">
      <c r="A1157" t="s">
        <v>22</v>
      </c>
      <c r="B1157" s="2">
        <v>45076</v>
      </c>
      <c r="C1157">
        <v>2023</v>
      </c>
      <c r="E1157" t="s">
        <v>9</v>
      </c>
      <c r="F1157">
        <f>(SingleBerryDW!F1157/SingleBerryFW!F1157)*100</f>
        <v>19.300000000000004</v>
      </c>
    </row>
    <row r="1158" spans="1:8" x14ac:dyDescent="0.25">
      <c r="A1158" t="s">
        <v>22</v>
      </c>
      <c r="B1158" s="2">
        <v>45083</v>
      </c>
      <c r="C1158">
        <v>2023</v>
      </c>
      <c r="E1158" t="s">
        <v>9</v>
      </c>
      <c r="F1158">
        <f>(SingleBerryDW!F1158/SingleBerryFW!F1158)*100</f>
        <v>19.300000000000004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  <c r="G1164">
        <f>F1164</f>
        <v>15.5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f>(SingleBerryDW!F1165/SingleBerryFW!F1165)*100</f>
        <v>16.399999999999999</v>
      </c>
      <c r="G1165">
        <f>F1165</f>
        <v>16.399999999999999</v>
      </c>
      <c r="H1165" t="s">
        <v>27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8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8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8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8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8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8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8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  <c r="G1175">
        <f>F1175</f>
        <v>17</v>
      </c>
      <c r="H1175" t="s">
        <v>27</v>
      </c>
    </row>
    <row r="1176" spans="1:8" x14ac:dyDescent="0.25">
      <c r="A1176" t="s">
        <v>18</v>
      </c>
      <c r="B1176" s="2">
        <v>45407</v>
      </c>
      <c r="C1176">
        <v>2024</v>
      </c>
      <c r="E1176" t="s">
        <v>6</v>
      </c>
      <c r="F1176">
        <f>(SingleBerryDW!F1176/SingleBerryFW!F1176)*100</f>
        <v>17.399999999999999</v>
      </c>
    </row>
    <row r="1177" spans="1:8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8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8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8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8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8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8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8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8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8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  <c r="G1186">
        <f>F1186</f>
        <v>16.8</v>
      </c>
      <c r="H1186" t="s">
        <v>27</v>
      </c>
    </row>
    <row r="1187" spans="1:8" x14ac:dyDescent="0.25">
      <c r="A1187" t="s">
        <v>18</v>
      </c>
      <c r="B1187" s="2">
        <v>45404</v>
      </c>
      <c r="C1187">
        <v>2024</v>
      </c>
      <c r="E1187" t="s">
        <v>6</v>
      </c>
      <c r="F1187">
        <f>(SingleBerryDW!F1187/SingleBerryFW!F1187)*100</f>
        <v>17.2</v>
      </c>
      <c r="G1187">
        <f>F1187</f>
        <v>17.2</v>
      </c>
      <c r="H1187" t="s">
        <v>27</v>
      </c>
    </row>
    <row r="1188" spans="1:8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8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8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8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8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8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8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8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8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8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  <c r="G1197">
        <f>F1197</f>
        <v>16.3</v>
      </c>
      <c r="H1197" t="s">
        <v>27</v>
      </c>
    </row>
    <row r="1198" spans="1:8" x14ac:dyDescent="0.25">
      <c r="A1198" t="s">
        <v>18</v>
      </c>
      <c r="B1198" s="2">
        <v>45404</v>
      </c>
      <c r="C1198">
        <v>2024</v>
      </c>
      <c r="E1198" t="s">
        <v>6</v>
      </c>
      <c r="F1198">
        <f>(SingleBerryDW!F1198/SingleBerryFW!F1198)*100</f>
        <v>16.2</v>
      </c>
      <c r="G1198">
        <f>F1198</f>
        <v>16.2</v>
      </c>
      <c r="H1198" t="s">
        <v>27</v>
      </c>
    </row>
    <row r="1199" spans="1:8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8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8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8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8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8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8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8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8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8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  <c r="G1208">
        <f>F1208</f>
        <v>16.499999999999996</v>
      </c>
      <c r="H1208" t="s">
        <v>27</v>
      </c>
    </row>
    <row r="1209" spans="1:8" x14ac:dyDescent="0.25">
      <c r="A1209" t="s">
        <v>18</v>
      </c>
      <c r="B1209" s="2">
        <v>45407</v>
      </c>
      <c r="C1209">
        <v>2024</v>
      </c>
      <c r="E1209" t="s">
        <v>6</v>
      </c>
      <c r="F1209">
        <f>(SingleBerryDW!F1209/SingleBerryFW!F1209)*100</f>
        <v>16.5</v>
      </c>
      <c r="G1209">
        <f>F1209</f>
        <v>16.5</v>
      </c>
      <c r="H1209" t="s">
        <v>27</v>
      </c>
    </row>
    <row r="1210" spans="1:8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8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8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8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8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8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8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8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8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8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8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  <c r="G1220">
        <f>F1220</f>
        <v>17.3</v>
      </c>
      <c r="H1220" t="s">
        <v>27</v>
      </c>
    </row>
    <row r="1221" spans="1:8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  <c r="G1221">
        <f>F1221</f>
        <v>17.7</v>
      </c>
      <c r="H1221" t="s">
        <v>27</v>
      </c>
    </row>
    <row r="1222" spans="1:8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8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8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8" hidden="1" x14ac:dyDescent="0.25">
      <c r="B1225" s="2"/>
    </row>
    <row r="1226" spans="1:8" hidden="1" x14ac:dyDescent="0.25">
      <c r="B1226" s="2"/>
    </row>
    <row r="1227" spans="1:8" hidden="1" x14ac:dyDescent="0.25">
      <c r="B1227" s="2"/>
    </row>
    <row r="1228" spans="1:8" hidden="1" x14ac:dyDescent="0.25">
      <c r="B1228" s="2"/>
    </row>
  </sheetData>
  <autoFilter ref="A1:A1228" xr:uid="{B3CAF195-1F50-4308-BA2B-F7BFA06853CA}">
    <filterColumn colId="0">
      <filters>
        <filter val="KKHW2020"/>
        <filter val="KKHW2021"/>
        <filter val="KKHW2022"/>
        <filter val="KKHW2023"/>
        <filter val="KKHW2024"/>
        <filter val="TPHW2016"/>
        <filter val="TPHW2017"/>
        <filter val="TPHW2018"/>
        <filter val="TPHW2019"/>
        <filter val="TPHW2020"/>
        <filter val="TPHW2021"/>
        <filter val="TPHW2022"/>
        <filter val="TPHW2023"/>
        <filter val="TPHW2024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SingleBerryFW</vt:lpstr>
      <vt:lpstr>SingleBerryDW</vt:lpstr>
      <vt:lpstr>SingleBerryDMC</vt:lpstr>
      <vt:lpstr>FullBloom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2025-08-26T04:32:52Z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